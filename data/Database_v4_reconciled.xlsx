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b172a6b7144b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Комментарии" sheetId="7" r:id="R307ebdd84d13473a"/>
    <x:sheet xmlns:r="http://schemas.openxmlformats.org/officeDocument/2006/relationships" name="Main" sheetId="1" r:id="R2ea26142314b421b"/>
    <x:sheet xmlns:r="http://schemas.openxmlformats.org/officeDocument/2006/relationships" name="Фин.показатели TTM" sheetId="2" r:id="Rd83d1309d3bb4de3"/>
    <x:sheet xmlns:r="http://schemas.openxmlformats.org/officeDocument/2006/relationships" name="Фин.показатели 2025" sheetId="6" r:id="Rf78d4748fc7243ed"/>
    <x:sheet xmlns:r="http://schemas.openxmlformats.org/officeDocument/2006/relationships" name="Расчетные показатели" sheetId="5" r:id="R1e1db21910684a96"/>
    <x:sheet xmlns:r="http://schemas.openxmlformats.org/officeDocument/2006/relationships" name="Котировки" sheetId="4" r:id="Re2a4dfe97eda4240"/>
    <x:sheet xmlns:r="http://schemas.openxmlformats.org/officeDocument/2006/relationships" name="Финансы 3 года" sheetId="3" r:id="Ra08df591c9ba4696"/>
    <x:sheet xmlns:r="http://schemas.openxmlformats.org/officeDocument/2006/relationships" name="1 пол. 2025" sheetId="8" r:id="R092be780c3344d31"/>
    <x:sheet xmlns:r="http://schemas.openxmlformats.org/officeDocument/2006/relationships" name="1 пол. 2026" sheetId="9" r:id="R6db7eafbfaef493c"/>
  </x:sheets>
</x:workbook>
</file>

<file path=xl/sharedStrings.xml><?xml version="1.0" encoding="utf-8"?>
<x:sst xmlns:x="http://schemas.openxmlformats.org/spreadsheetml/2006/main">
  <x:si>
    <x:t xml:space="preserve">Что поменял</x:t>
  </x:si>
  <x:si>
    <x:t xml:space="preserve">Если мультипликатор делится на несуществующий финансовый показатель, поставил н.п.</x:t>
  </x:si>
  <x:si>
    <x:t xml:space="preserve">Цены подтянул на котировки</x:t>
  </x:si>
  <x:si>
    <x:t xml:space="preserve">Сделал количество акций как целое число, рыночную капитализацию перевел в млн руб.</x:t>
  </x:si>
  <x:si>
    <x:t xml:space="preserve">Комментарии</x:t>
  </x:si>
  <x:si>
    <x:t xml:space="preserve">Цену и кол-во обыкновенных и привилегированных акций: найти способ проверить (Выгрузить ISS Moex?). Можешь ли скинуть ссылку на iss moex, где будет цена и количество акций?</x:t>
  </x:si>
  <x:si>
    <x:t xml:space="preserve">Высокий</x:t>
  </x:si>
  <x:si>
    <x:t xml:space="preserve">Для привилегированных акций проверить: не пропустили ли эмитентов с привилегированными акциями и вбили ли правильно те значения, которые уже имеются</x:t>
  </x:si>
  <x:si>
    <x:t xml:space="preserve">Средний</x:t>
  </x:si>
  <x:si>
    <x:t xml:space="preserve">Аналогично, финансовые показатели эмитента (Чистый долг, Выручка, EBITDA): найти удобный способ проверить правильность данных</x:t>
  </x:si>
  <x:si>
    <x:t xml:space="preserve">Разводненное количество акций: обсудить методику подсчета. Пока что не приоритет. Для mvp это слишком замудренная техника</x:t>
  </x:si>
  <x:si>
    <x:t xml:space="preserve">Низкий</x:t>
  </x:si>
  <x:si>
    <x:t xml:space="preserve">Чистый долг IAS 17/EBITDA IAS 17. Если компания не находится в отрасли, где аренда - часть операционных расходов (напр. Ретейл), пиши в расчетных показателях н.п.
Аналогично, если компания не IT, то в расчетных показателях EBITDAC пиши "н.п."</x:t>
  </x:si>
  <x:si>
    <x:t xml:space="preserve">Если появится новый вид EBITDA или ЧД в отчетах, оповести меня</x:t>
  </x:si>
  <x:si>
    <x:t xml:space="preserve">Прочие корректировки: обсудить состав и решить, что в них входит. Затем перепроверить</x:t>
  </x:si>
  <x:si>
    <x:t xml:space="preserve">Выручка, Чистая прибыль, Book Value: почему указано не у всех компаний? Все компании раскрывают Выручку, ЧП, book value. Обсудить и проверить</x:t>
  </x:si>
  <x:si>
    <x:t xml:space="preserve">По поводу EBITDA. Если компания раскрывает EBITDA, покажи расчет в базе данных. Если компания не раскрывает EBITDA, проверь, раскрывает ли скорр. EBITDA и пр. Если раскрывает, покажи расчет в базе данных. Если не раскрывает, бери расчет EBITDA как (ЧП + Проценты + Налоги + Амортизация)</x:t>
  </x:si>
  <x:si>
    <x:t xml:space="preserve">Корректировки к чистому долгу: если компания отображает скорр. ЧД и корректировка к ЧД существенна (&gt;15% от скорректированного ЧД), то добавляй колонку с данным показателем. Аналогично для EBITDA</x:t>
  </x:si>
  <x:si>
    <x:t xml:space="preserve">Добавляй колонки для расчета чистого долга и EBITDA по IAS 17 там, где применимо. Аналогично для EBITDAC</x:t>
  </x:si>
  <x:si>
    <x:t xml:space="preserve">Чистый долг и EBITDA для девелоперов: Обсудить</x:t>
  </x:si>
  <x:si>
    <x:t xml:space="preserve">Добавить расчет фин. показателей TTM</x:t>
  </x:si>
  <x:si>
    <x:t xml:space="preserve">Добавить рентабельность и рост</x:t>
  </x:si>
  <x:si>
    <x:t xml:space="preserve">Добавить перевод в руб. из USD</x:t>
  </x:si>
  <x:si>
    <x:t xml:space="preserve">На будущее: добавить различные версии EBITDA в зависимости от источника</x:t>
  </x:si>
  <x:si>
    <x:t xml:space="preserve">Расчет мультипликаторов компаний, входящих в состав Московской Биржи</x:t>
  </x:si>
  <x:si>
    <x:t xml:space="preserve">ед. изм: млн руб.</x:t>
  </x:si>
  <x:si>
    <x:t xml:space="preserve">Считать Equity Value с учетом разводнения</x:t>
  </x:si>
  <x:si>
    <x:t xml:space="preserve">Считать EV по скорр. Чистому долгу</x:t>
  </x:si>
  <x:si>
    <x:t xml:space="preserve">Информация о Компании</x:t>
  </x:si>
  <x:si>
    <x:t xml:space="preserve">Мультипликаторы</x:t>
  </x:si>
  <x:si>
    <x:t xml:space="preserve">Рыночные данные</x:t>
  </x:si>
  <x:si>
    <x:t xml:space="preserve">EV Equity Bridge</x:t>
  </x:si>
  <x:si>
    <x:t xml:space="preserve">Финансовые показатели</x:t>
  </x:si>
  <x:si>
    <x:t xml:space="preserve">№</x:t>
  </x:si>
  <x:si>
    <x:t xml:space="preserve">Наименование</x:t>
  </x:si>
  <x:si>
    <x:t xml:space="preserve">Отрасль</x:t>
  </x:si>
  <x:si>
    <x:t xml:space="preserve">EV/EBITDA</x:t>
  </x:si>
  <x:si>
    <x:t xml:space="preserve">EV/
Скорр. EBITDA</x:t>
  </x:si>
  <x:si>
    <x:t xml:space="preserve">EV/EBITDA 
IAS 17</x:t>
  </x:si>
  <x:si>
    <x:t xml:space="preserve">EV/EBITDAC</x:t>
  </x:si>
  <x:si>
    <x:t xml:space="preserve">EV/OIBDA</x:t>
  </x:si>
  <x:si>
    <x:t xml:space="preserve">EV/Sales</x:t>
  </x:si>
  <x:si>
    <x:t xml:space="preserve">P/E</x:t>
  </x:si>
  <x:si>
    <x:t xml:space="preserve">P/B</x:t>
  </x:si>
  <x:si>
    <x:t xml:space="preserve">P/S</x:t>
  </x:si>
  <x:si>
    <x:t xml:space="preserve">ND/EBITDA</x:t>
  </x:si>
  <x:si>
    <x:t xml:space="preserve">ND/
Скорр. EBITDA</x:t>
  </x:si>
  <x:si>
    <x:t xml:space="preserve">ND/
EBITDA IAS 17</x:t>
  </x:si>
  <x:si>
    <x:t xml:space="preserve">ND/
EBITDAC</x:t>
  </x:si>
  <x:si>
    <x:t xml:space="preserve">ND/
OIBDA</x:t>
  </x:si>
  <x:si>
    <x:t xml:space="preserve">Цена акции</x:t>
  </x:si>
  <x:si>
    <x:t xml:space="preserve">Количество акций</x:t>
  </x:si>
  <x:si>
    <x:t xml:space="preserve">Разводненное количество акций</x:t>
  </x:si>
  <x:si>
    <x:t xml:space="preserve">Рыночная капитализация</x:t>
  </x:si>
  <x:si>
    <x:t xml:space="preserve">Чистый долг</x:t>
  </x:si>
  <x:si>
    <x:t xml:space="preserve">Скорр. Чистый долг</x:t>
  </x:si>
  <x:si>
    <x:t xml:space="preserve">Чистый долг IAS 17</x:t>
  </x:si>
  <x:si>
    <x:t xml:space="preserve">Minority interest</x:t>
  </x:si>
  <x:si>
    <x:t xml:space="preserve">Привилегированные акции</x:t>
  </x:si>
  <x:si>
    <x:t xml:space="preserve">Прочие корректировки</x:t>
  </x:si>
  <x:si>
    <x:t xml:space="preserve">Enterprise Value</x:t>
  </x:si>
  <x:si>
    <x:t xml:space="preserve">Enterprise Value IAS 17</x:t>
  </x:si>
  <x:si>
    <x:t xml:space="preserve">Выручка</x:t>
  </x:si>
  <x:si>
    <x:t xml:space="preserve">EBITDA </x:t>
  </x:si>
  <x:si>
    <x:t xml:space="preserve">Скорр. EBITDA</x:t>
  </x:si>
  <x:si>
    <x:t xml:space="preserve">EBITDA IAS 17</x:t>
  </x:si>
  <x:si>
    <x:t xml:space="preserve">EBITDAC</x:t>
  </x:si>
  <x:si>
    <x:t xml:space="preserve">OIBDA</x:t>
  </x:si>
  <x:si>
    <x:t xml:space="preserve">Чистая прибыль</x:t>
  </x:si>
  <x:si>
    <x:t xml:space="preserve">Book Value</x:t>
  </x:si>
  <x:si>
    <x:t xml:space="preserve">ЛУКОЙЛ</x:t>
  </x:si>
  <x:si>
    <x:t xml:space="preserve">Нефть и газ</x:t>
  </x:si>
  <x:si>
    <x:t xml:space="preserve">ГАЗПРОМ ао</x:t>
  </x:si>
  <x:si>
    <x:t xml:space="preserve">ЯНДЕКС</x:t>
  </x:si>
  <x:si>
    <x:t xml:space="preserve">IT</x:t>
  </x:si>
  <x:si>
    <x:t xml:space="preserve">Т-Техно ао</x:t>
  </x:si>
  <x:si>
    <x:t xml:space="preserve">Банки</x:t>
  </x:si>
  <x:si>
    <x:t xml:space="preserve">Татнфт 3ао</x:t>
  </x:si>
  <x:si>
    <x:t xml:space="preserve">Новатэк ао</x:t>
  </x:si>
  <x:si>
    <x:t xml:space="preserve">ГМКНорНик</x:t>
  </x:si>
  <x:si>
    <x:t xml:space="preserve">Metals &amp; Mining</x:t>
  </x:si>
  <x:si>
    <x:t xml:space="preserve">Озон</x:t>
  </x:si>
  <x:si>
    <x:t xml:space="preserve">Электронная торговля</x:t>
  </x:si>
  <x:si>
    <x:t xml:space="preserve">КЦ ИКС 5</x:t>
  </x:si>
  <x:si>
    <x:t xml:space="preserve">Ритейл</x:t>
  </x:si>
  <x:si>
    <x:t xml:space="preserve">Роснефть</x:t>
  </x:si>
  <x:si>
    <x:t xml:space="preserve">Полюс</x:t>
  </x:si>
  <x:si>
    <x:t xml:space="preserve">Сургнфгз</x:t>
  </x:si>
  <x:si>
    <x:t xml:space="preserve">Хэдхантер</x:t>
  </x:si>
  <x:si>
    <x:t xml:space="preserve">МТС-ао</x:t>
  </x:si>
  <x:si>
    <x:t xml:space="preserve">Телекоммуникации</x:t>
  </x:si>
  <x:si>
    <x:t xml:space="preserve">ИнтерРАОао</x:t>
  </x:si>
  <x:si>
    <x:t xml:space="preserve">Электроэнергетика</x:t>
  </x:si>
  <x:si>
    <x:t xml:space="preserve">СевСт-ао</x:t>
  </x:si>
  <x:si>
    <x:t xml:space="preserve">РУСАЛ ао</x:t>
  </x:si>
  <x:si>
    <x:t xml:space="preserve">НЛМК ао</x:t>
  </x:si>
  <x:si>
    <x:t xml:space="preserve">ФосАгро ао</x:t>
  </x:si>
  <x:si>
    <x:t xml:space="preserve">Удобрения</x:t>
  </x:si>
  <x:si>
    <x:t xml:space="preserve">Ростел -ао</x:t>
  </x:si>
  <x:si>
    <x:t xml:space="preserve">Аэрофлот</x:t>
  </x:si>
  <x:si>
    <x:t xml:space="preserve">Авиаперевозки</x:t>
  </x:si>
  <x:si>
    <x:t xml:space="preserve">ММК</x:t>
  </x:si>
  <x:si>
    <x:t xml:space="preserve">ЭН+ГРУП ао</x:t>
  </x:si>
  <x:si>
    <x:t xml:space="preserve">MDMG-ао</x:t>
  </x:si>
  <x:si>
    <x:t xml:space="preserve">Медицина</x:t>
  </x:si>
  <x:si>
    <x:t xml:space="preserve">Лента ао</x:t>
  </x:si>
  <x:si>
    <x:t xml:space="preserve">Совкомфлот</x:t>
  </x:si>
  <x:si>
    <x:t xml:space="preserve">Морские перевозки</x:t>
  </x:si>
  <x:si>
    <x:t xml:space="preserve">БСП ао</x:t>
  </x:si>
  <x:si>
    <x:t xml:space="preserve">АЛРОСА ао</x:t>
  </x:si>
  <x:si>
    <x:t xml:space="preserve">iЦиан</x:t>
  </x:si>
  <x:si>
    <x:t xml:space="preserve">Система ао</x:t>
  </x:si>
  <x:si>
    <x:t xml:space="preserve">Диверсифицированный холдинг</x:t>
  </x:si>
  <x:si>
    <x:t xml:space="preserve">ЮГК</x:t>
  </x:si>
  <x:si>
    <x:t xml:space="preserve">iПозитив</x:t>
  </x:si>
  <x:si>
    <x:t xml:space="preserve">МКПАО "ВК"</x:t>
  </x:si>
  <x:si>
    <x:t xml:space="preserve">Русагро</x:t>
  </x:si>
  <x:si>
    <x:t xml:space="preserve">Агропромышленный комплекс</x:t>
  </x:si>
  <x:si>
    <x:t xml:space="preserve">Да</x:t>
  </x:si>
  <x:si>
    <x:t xml:space="preserve">Нет</x:t>
  </x:si>
  <x:si>
    <x:t xml:space="preserve">Компания</x:t>
  </x:si>
  <x:si>
    <x:t xml:space="preserve">Расчетные показатели</x:t>
  </x:si>
  <x:si>
    <x:t xml:space="preserve">Check</x:t>
  </x:si>
  <x:si>
    <x:t xml:space="preserve">Имя источника и страница показателя, раскрываемого компанией</x:t>
  </x:si>
  <x:si>
    <x:t xml:space="preserve">Краткосрочные кредиты и займы</x:t>
  </x:si>
  <x:si>
    <x:t xml:space="preserve">Долгосрочные кредиты и займы</x:t>
  </x:si>
  <x:si>
    <x:t xml:space="preserve">Денежные средства и эквиваленты</x:t>
  </x:si>
  <x:si>
    <x:t xml:space="preserve">Корректировки к ЧД</x:t>
  </x:si>
  <x:si>
    <x:t xml:space="preserve">Корректировки по IAS 17</x:t>
  </x:si>
  <x:si>
    <x:t xml:space="preserve">Налог на прибыль</x:t>
  </x:si>
  <x:si>
    <x:t xml:space="preserve">Проценты к уплате</x:t>
  </x:si>
  <x:si>
    <x:t xml:space="preserve">Проценты к получению</x:t>
  </x:si>
  <x:si>
    <x:t xml:space="preserve">Амортизация</x:t>
  </x:si>
  <x:si>
    <x:t xml:space="preserve">Корректировки к EBITDA</x:t>
  </x:si>
  <x:si>
    <x:t xml:space="preserve">Капитализированные расходы</x:t>
  </x:si>
  <x:si>
    <x:t xml:space="preserve">Корректировки к EBITDAC</x:t>
  </x:si>
  <x:si>
    <x:t xml:space="preserve">Скорр. EBITDAC</x:t>
  </x:si>
  <x:si>
    <x:t xml:space="preserve">Операционная прибыль</x:t>
  </x:si>
  <x:si>
    <x:t xml:space="preserve">Корректировки к OIBDA</x:t>
  </x:si>
  <x:si>
    <x:t xml:space="preserve">Скорр. OIBDA</x:t>
  </x:si>
  <x:si>
    <x:t xml:space="preserve">Цена обыкновенной акции за посл. 30 дней</x:t>
  </x:si>
  <x:si>
    <x:t xml:space="preserve">Цена привилегированной акции за последние 30 дней</x:t>
  </x:si>
  <x:si>
    <x:t xml:space="preserve">Количество обыкновенных акций </x:t>
  </x:si>
  <x:si>
    <x:t xml:space="preserve">Количество привилегированных акций</x:t>
  </x:si>
  <x:si>
    <x:t xml:space="preserve">Финансовые показатели за 2023–2025 годы</x:t>
  </x:si>
  <x:si>
    <x:t xml:space="preserve">Единицы: млн в валюте отчетности. Выручка и чистая прибыль — исключительно из МСФО. Зеленый шрифт — ссылка/формула внутри книги.</x:t>
  </x:si>
  <x:si>
    <x:t xml:space="preserve">Тикер</x:t>
  </x:si>
  <x:si>
    <x:t xml:space="preserve">Год</x:t>
  </x:si>
  <x:si>
    <x:t xml:space="preserve">Валюта</x:t>
  </x:si>
  <x:si>
    <x:t xml:space="preserve">Выручка (МСФО)</x:t>
  </x:si>
  <x:si>
    <x:t xml:space="preserve">Чистая прибыль (МСФО)</x:t>
  </x:si>
  <x:si>
    <x:t xml:space="preserve">EBITDA</x:t>
  </x:si>
  <x:si>
    <x:t xml:space="preserve">EBITDA до применения МСФО 16</x:t>
  </x:si>
  <x:si>
    <x:t xml:space="preserve">Амортизация ОС и НМА</x:t>
  </x:si>
  <x:si>
    <x:t xml:space="preserve">Амортизация аренды</x:t>
  </x:si>
  <x:si>
    <x:t xml:space="preserve">Проценты по аренде</x:t>
  </x:si>
  <x:si>
    <x:t xml:space="preserve">Капитализированные расходы НМА</x:t>
  </x:si>
  <x:si>
    <x:t xml:space="preserve">Расчетная EBITDA-вариант</x:t>
  </x:si>
  <x:si>
    <x:t xml:space="preserve">Источник МСФО</x:t>
  </x:si>
  <x:si>
    <x:t xml:space="preserve">Страница МСФО</x:t>
  </x:si>
  <x:si>
    <x:t xml:space="preserve">Статус</x:t>
  </x:si>
  <x:si>
    <x:t xml:space="preserve">LKOH</x:t>
  </x:si>
  <x:si>
    <x:t xml:space="preserve">RUB</x:t>
  </x:si>
  <x:si>
    <x:t xml:space="preserve">н.д.</x:t>
  </x:si>
  <x:si>
    <x:t xml:space="preserve">Нет исходника</x:t>
  </x:si>
  <x:si>
    <x:t xml:space="preserve">Лукойл_МСФО_2025.pdf</x:t>
  </x:si>
  <x:si>
    <x:t xml:space="preserve">7</x:t>
  </x:si>
  <x:si>
    <x:t xml:space="preserve">Подтверждено</x:t>
  </x:si>
  <x:si>
    <x:t xml:space="preserve">ГАЗПРОМ</x:t>
  </x:si>
  <x:si>
    <x:t xml:space="preserve">GAZP</x:t>
  </x:si>
  <x:si>
    <x:t xml:space="preserve">МСФО_Газпром_2025.pdf</x:t>
  </x:si>
  <x:si>
    <x:t xml:space="preserve">10</x:t>
  </x:si>
  <x:si>
    <x:t xml:space="preserve">YDEX</x:t>
  </x:si>
  <x:si>
    <x:t xml:space="preserve">МСФО_Яндекс_2025.pdf</x:t>
  </x:si>
  <x:si>
    <x:t xml:space="preserve">8, 9</x:t>
  </x:si>
  <x:si>
    <x:t xml:space="preserve">Т-Технологии</x:t>
  </x:si>
  <x:si>
    <x:t xml:space="preserve">T</x:t>
  </x:si>
  <x:si>
    <x:t xml:space="preserve">Т-Технологии_МСФО_2025.pdf</x:t>
  </x:si>
  <x:si>
    <x:t xml:space="preserve">9, 10</x:t>
  </x:si>
  <x:si>
    <x:t xml:space="preserve">Татнефть</x:t>
  </x:si>
  <x:si>
    <x:t xml:space="preserve">TATN</x:t>
  </x:si>
  <x:si>
    <x:t xml:space="preserve">Татнефть_МСФО_2025.pdf</x:t>
  </x:si>
  <x:si>
    <x:t xml:space="preserve">Новатэк</x:t>
  </x:si>
  <x:si>
    <x:t xml:space="preserve">NVTK</x:t>
  </x:si>
  <x:si>
    <x:t xml:space="preserve">Novatek FS 12m2025 RUS (disclosable).pdf</x:t>
  </x:si>
  <x:si>
    <x:t xml:space="preserve">Норникель</x:t>
  </x:si>
  <x:si>
    <x:t xml:space="preserve">GMKN</x:t>
  </x:si>
  <x:si>
    <x:t xml:space="preserve">USD</x:t>
  </x:si>
  <x:si>
    <x:t xml:space="preserve">Норникель_МСФО_2025.pdf</x:t>
  </x:si>
  <x:si>
    <x:t xml:space="preserve">6</x:t>
  </x:si>
  <x:si>
    <x:t xml:space="preserve">OZON</x:t>
  </x:si>
  <x:si>
    <x:t xml:space="preserve">Озон_МСФО_2025.pdf</x:t>
  </x:si>
  <x:si>
    <x:t xml:space="preserve">X5</x:t>
  </x:si>
  <x:si>
    <x:t xml:space="preserve">КЦ_Икс_5_МСФО_2025.pdf</x:t>
  </x:si>
  <x:si>
    <x:t xml:space="preserve">ROSN</x:t>
  </x:si>
  <x:si>
    <x:t xml:space="preserve">Роснефть_МСФО_2025.pdf</x:t>
  </x:si>
  <x:si>
    <x:t xml:space="preserve">PLZL</x:t>
  </x:si>
  <x:si>
    <x:t xml:space="preserve">Полюс_МСФО_2025.pdf</x:t>
  </x:si>
  <x:si>
    <x:t xml:space="preserve">HeadHunter</x:t>
  </x:si>
  <x:si>
    <x:t xml:space="preserve">HEAD</x:t>
  </x:si>
  <x:si>
    <x:t xml:space="preserve">ХХ_МСФО_2025.pdf</x:t>
  </x:si>
  <x:si>
    <x:t xml:space="preserve">9</x:t>
  </x:si>
  <x:si>
    <x:t xml:space="preserve">МТС</x:t>
  </x:si>
  <x:si>
    <x:t xml:space="preserve">MTSS</x:t>
  </x:si>
  <x:si>
    <x:t xml:space="preserve">МТС_МСФО_2025.pdf</x:t>
  </x:si>
  <x:si>
    <x:t xml:space="preserve">11</x:t>
  </x:si>
  <x:si>
    <x:t xml:space="preserve">Интер РАО</x:t>
  </x:si>
  <x:si>
    <x:t xml:space="preserve">IRAO</x:t>
  </x:si>
  <x:si>
    <x:t xml:space="preserve">Интер-Рао_МСФО_2025.pdf</x:t>
  </x:si>
  <x:si>
    <x:t xml:space="preserve">Северсталь</x:t>
  </x:si>
  <x:si>
    <x:t xml:space="preserve">CHMF</x:t>
  </x:si>
  <x:si>
    <x:t xml:space="preserve">Северсталь_МСФО_2025.pdf</x:t>
  </x:si>
  <x:si>
    <x:t xml:space="preserve">5, 6</x:t>
  </x:si>
  <x:si>
    <x:t xml:space="preserve">РУСАЛ</x:t>
  </x:si>
  <x:si>
    <x:t xml:space="preserve">RUAL</x:t>
  </x:si>
  <x:si>
    <x:t xml:space="preserve">Русал_МСФО_2025.pdf</x:t>
  </x:si>
  <x:si>
    <x:t xml:space="preserve">10, 11</x:t>
  </x:si>
  <x:si>
    <x:t xml:space="preserve">НЛМК</x:t>
  </x:si>
  <x:si>
    <x:t xml:space="preserve">NLMK</x:t>
  </x:si>
  <x:si>
    <x:t xml:space="preserve">НЛМК_МСФО_2025.pdf</x:t>
  </x:si>
  <x:si>
    <x:t xml:space="preserve">ФосАгро</x:t>
  </x:si>
  <x:si>
    <x:t xml:space="preserve">PHOR</x:t>
  </x:si>
  <x:si>
    <x:t xml:space="preserve">Фосагро_МСФО_2025.pdf</x:t>
  </x:si>
  <x:si>
    <x:t xml:space="preserve">8</x:t>
  </x:si>
  <x:si>
    <x:t xml:space="preserve">Ростелеком</x:t>
  </x:si>
  <x:si>
    <x:t xml:space="preserve">RTKM</x:t>
  </x:si>
  <x:si>
    <x:t xml:space="preserve">Ростелеком_МСФО_2025.pdf</x:t>
  </x:si>
  <x:si>
    <x:t xml:space="preserve">3</x:t>
  </x:si>
  <x:si>
    <x:t xml:space="preserve">AFLT</x:t>
  </x:si>
  <x:si>
    <x:t xml:space="preserve">Аэрофлот_МСФО_2025.pdf</x:t>
  </x:si>
  <x:si>
    <x:t xml:space="preserve">MAGN</x:t>
  </x:si>
  <x:si>
    <x:t xml:space="preserve">ММК_МСФО_2025.pdf</x:t>
  </x:si>
  <x:si>
    <x:t xml:space="preserve">Эн+ Груп</x:t>
  </x:si>
  <x:si>
    <x:t xml:space="preserve">ENPG</x:t>
  </x:si>
  <x:si>
    <x:t xml:space="preserve">Эн+_отчет_МСФО_2025.pdf</x:t>
  </x:si>
  <x:si>
    <x:t xml:space="preserve">MD Medical</x:t>
  </x:si>
  <x:si>
    <x:t xml:space="preserve">MDMG</x:t>
  </x:si>
  <x:si>
    <x:t xml:space="preserve">МД Медикал МСФО.pdf</x:t>
  </x:si>
  <x:si>
    <x:t xml:space="preserve">19</x:t>
  </x:si>
  <x:si>
    <x:t xml:space="preserve">Лента</x:t>
  </x:si>
  <x:si>
    <x:t xml:space="preserve">LENT</x:t>
  </x:si>
  <x:si>
    <x:t xml:space="preserve">Лента_МСФО_2025.pdf</x:t>
  </x:si>
  <x:si>
    <x:t xml:space="preserve">FLOT</x:t>
  </x:si>
  <x:si>
    <x:t xml:space="preserve">Совкомфлот_МСФО_2025.pdf</x:t>
  </x:si>
  <x:si>
    <x:t xml:space="preserve">3, 4</x:t>
  </x:si>
  <x:si>
    <x:t xml:space="preserve">Банк Санкт-Петербург</x:t>
  </x:si>
  <x:si>
    <x:t xml:space="preserve">BSPB</x:t>
  </x:si>
  <x:si>
    <x:t xml:space="preserve">н.п.</x:t>
  </x:si>
  <x:si>
    <x:t xml:space="preserve">Банк_Санкт_Петербург_МСФО_2025.pdf</x:t>
  </x:si>
  <x:si>
    <x:t xml:space="preserve">АЛРОСА</x:t>
  </x:si>
  <x:si>
    <x:t xml:space="preserve">ALRS</x:t>
  </x:si>
  <x:si>
    <x:t xml:space="preserve">Алроса_МСФО_2025.pdf</x:t>
  </x:si>
  <x:si>
    <x:t xml:space="preserve">ЦИАН</x:t>
  </x:si>
  <x:si>
    <x:t xml:space="preserve">CNRU</x:t>
  </x:si>
  <x:si>
    <x:t xml:space="preserve">Циан_МСФО_2025.pdf</x:t>
  </x:si>
  <x:si>
    <x:t xml:space="preserve">АФК Система</x:t>
  </x:si>
  <x:si>
    <x:t xml:space="preserve">AFKS</x:t>
  </x:si>
  <x:si>
    <x:t xml:space="preserve">АФК_Система_МСФО_2025.pdf</x:t>
  </x:si>
</x:sst>
</file>

<file path=xl/styles.xml><?xml version="1.0" encoding="utf-8"?>
<x:styleSheet xmlns:x="http://schemas.openxmlformats.org/spreadsheetml/2006/main">
  <x:numFmts count="8">
    <x:numFmt numFmtId="164" formatCode="#,##0.0;[Red]\(#,##0.0\);\-"/>
    <x:numFmt numFmtId="165" formatCode="0.0;\(0.0\);&quot;-&quot;"/>
    <x:numFmt numFmtId="166" formatCode="#,000;\(#,000\);&quot;-&quot;"/>
    <x:numFmt numFmtId="167" formatCode="#,##0;\(#,##0\);&quot;-&quot;"/>
    <x:numFmt numFmtId="168" formatCode="#,##0.0;\(#,##0.0\);&quot;-&quot;"/>
    <x:numFmt numFmtId="169" formatCode="0.0\x;\(0.0\)\x;&quot;-&quot;"/>
    <x:numFmt numFmtId="200" formatCode="#,##0.0;(#,##0.0);0.0"/>
    <x:numFmt numFmtId="201" formatCode="#,##0.000;(#,##0.000);0.000"/>
  </x:numFmts>
  <x:fonts count="15">
    <x:font>
      <x:sz val="11"/>
      <x:color theme="1"/>
      <x:name val="Calibri"/>
      <x:family val="2"/>
      <x:scheme val="minor"/>
    </x:font>
    <x:font>
      <x:sz val="11"/>
      <x:color theme="1"/>
      <x:name val="Century Gothic"/>
      <x:family val="2"/>
    </x:font>
    <x:font>
      <x:b/>
      <x:sz val="13"/>
      <x:color theme="1"/>
      <x:name val="Century Gothic"/>
      <x:family val="2"/>
    </x:font>
    <x:font>
      <x:b/>
      <x:sz val="11"/>
      <x:color theme="1"/>
      <x:name val="Calibri"/>
      <x:family val="2"/>
      <x:scheme val="minor"/>
    </x:font>
    <x:font>
      <x:b/>
      <x:sz val="11"/>
      <x:color theme="1"/>
      <x:name val="Century Gothic"/>
      <x:family val="2"/>
    </x:font>
    <x:font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sz val="10"/>
      <x:color rgb="FF002060"/>
      <x:name val="Century Gothic"/>
      <x:family val="2"/>
    </x:font>
    <x:font>
      <x:sz val="10"/>
      <x:color theme="1"/>
      <x:name val="Century Gothic"/>
      <x:family val="2"/>
    </x:font>
    <x:font>
      <x:sz val="11"/>
      <x:color rgb="FFFFFFFF"/>
      <x:name val="Calibri"/>
      <x:family val="2"/>
      <x:scheme val="minor"/>
    </x:font>
    <x:font>
      <x:b/>
      <x:sz val="11"/>
      <x:color rgb="FFFFFFFF"/>
      <x:name val="Calibri"/>
      <x:family val="2"/>
      <x:scheme val="minor"/>
    </x:font>
    <x:font>
      <x:sz val="11"/>
      <x:color rgb="FF0000FF"/>
      <x:name val="Calibri"/>
      <x:family val="2"/>
      <x:scheme val="minor"/>
    </x:font>
    <x:font>
      <x:sz val="11"/>
      <x:color rgb="FF008000"/>
      <x:name val="Calibri"/>
      <x:family val="2"/>
      <x:scheme val="minor"/>
    </x:font>
    <x:font>
      <x:sz val="11"/>
      <x:color rgb="FF000000"/>
      <x:name val="Calibri"/>
      <x:family val="2"/>
      <x:scheme val="minor"/>
    </x:font>
  </x:fonts>
  <x:fills count="12">
    <x:fill>
      <x:patternFill patternType="none"/>
    </x:fill>
    <x:fill>
      <x:patternFill patternType="gray125"/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F00"/>
      </x:patternFill>
    </x:fill>
    <x:fill>
      <x:patternFill patternType="solid">
        <x:fgColor theme="4" tint="0.59999"/>
      </x:patternFill>
    </x:fill>
    <x:fill>
      <x:patternFill patternType="solid">
        <x:fgColor rgb="FF203864"/>
      </x:patternFill>
    </x:fill>
    <x:fill>
      <x:patternFill patternType="solid">
        <x:fgColor rgb="FFE2EFDA"/>
      </x:patternFill>
    </x:fill>
    <x:fill>
      <x:patternFill patternType="solid">
        <x:fgColor rgb="FFD9E2F3"/>
      </x:patternFill>
    </x:fill>
    <x:fill>
      <x:patternFill patternType="solid">
        <x:fgColor rgb="FF9DC3E6"/>
      </x:patternFill>
    </x:fill>
  </x:fills>
  <x:borders count="8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rgb="FFE7E6E6"/>
      </x:top>
      <x:bottom/>
      <x:diagonal/>
    </x:border>
    <x:border>
      <x:left/>
      <x:right/>
      <x:top style="thin">
        <x:color rgb="FFE7E6E6"/>
      </x:top>
      <x:bottom style="thin">
        <x:color rgb="FFE7E6E6"/>
      </x:bottom>
      <x:diagonal/>
    </x:border>
    <x:border>
      <x:left/>
      <x:right/>
      <x:top/>
      <x:bottom style="thin">
        <x:color rgb="FFE7E6E6"/>
      </x:bottom>
      <x:diagonal/>
    </x:border>
    <x:border>
      <x:left/>
      <x:right/>
      <x:top/>
      <x:bottom style="dotted">
        <x:color indexed="64"/>
      </x:bottom>
      <x:diagonal/>
    </x:border>
    <x:border>
      <x:left/>
      <x:right/>
      <x:top style="dotted">
        <x:color indexed="64"/>
      </x:top>
      <x:bottom style="dotted">
        <x:color indexed="64"/>
      </x:bottom>
      <x:diagonal/>
    </x:border>
  </x:borders>
  <x:cellStyleXfs count="3">
    <x:xf numFmtId="0" fontId="0" fillId="0" borderId="0"/>
    <x:xf numFmtId="0" fontId="5" fillId="0" borderId="0"/>
    <x:xf numFmtId="0" fontId="5" fillId="0" borderId="0"/>
  </x:cellStyleXfs>
  <x:cellXfs count="94">
    <x:xf numFmtId="0" fontId="0" fillId="0" borderId="0" xfId="0"/>
    <x:xf numFmtId="0" fontId="1" fillId="0" borderId="0" xfId="0" applyFont="1"/>
    <x:xf numFmtId="0" fontId="1" fillId="0" borderId="0" xfId="0" applyFont="1" applyAlignment="1">
      <x:alignment horizontal="center" vertical="center"/>
    </x:xf>
    <x:xf numFmtId="0" fontId="1" fillId="0" borderId="0" xfId="0" applyFont="1" applyAlignment="1">
      <x:alignment horizontal="center"/>
    </x:xf>
    <x:xf numFmtId="0" fontId="1" fillId="0" borderId="0" xfId="0" applyFont="1" applyAlignment="1">
      <x:alignment vertical="center"/>
    </x:xf>
    <x:xf numFmtId="0" fontId="2" fillId="0" borderId="0" xfId="0" applyFont="1"/>
    <x:xf numFmtId="0" fontId="1" fillId="0" borderId="2" xfId="0" applyFont="1" applyBorder="1" applyAlignment="1">
      <x:alignment horizontal="center" vertical="center"/>
    </x:xf>
    <x:xf numFmtId="0" fontId="1" fillId="0" borderId="2" xfId="0" applyFont="1" applyBorder="1" applyAlignment="1">
      <x:alignment horizontal="center" vertical="center" wrapText="1"/>
    </x:xf>
    <x:xf numFmtId="0" fontId="5" fillId="0" borderId="0" xfId="1"/>
    <x:xf numFmtId="0" fontId="0" fillId="0" borderId="3" xfId="2" applyFont="1" applyBorder="1"/>
    <x:xf numFmtId="164" fontId="0" fillId="0" borderId="3" xfId="2" applyNumberFormat="1" applyFont="1" applyBorder="1"/>
    <x:xf numFmtId="0" fontId="0" fillId="0" borderId="4" xfId="2" applyFont="1" applyBorder="1"/>
    <x:xf numFmtId="164" fontId="0" fillId="0" borderId="4" xfId="2" applyNumberFormat="1" applyFont="1" applyBorder="1"/>
    <x:xf numFmtId="0" fontId="0" fillId="2" borderId="4" xfId="2" applyFont="1" applyFill="1" applyBorder="1"/>
    <x:xf numFmtId="164" fontId="0" fillId="2" borderId="4" xfId="2" applyNumberFormat="1" applyFont="1" applyFill="1" applyBorder="1"/>
    <x:xf numFmtId="0" fontId="0" fillId="0" borderId="5" xfId="2" applyFont="1" applyBorder="1"/>
    <x:xf numFmtId="164" fontId="0" fillId="0" borderId="5" xfId="2" applyNumberFormat="1" applyFont="1" applyBorder="1"/>
    <x:xf numFmtId="0" fontId="6" fillId="3" borderId="0" xfId="2" applyFont="1" applyFill="1" applyAlignment="1">
      <x:alignment vertical="center" wrapText="1"/>
    </x:xf>
    <x:xf numFmtId="0" fontId="7" fillId="5" borderId="0" xfId="2" applyFont="1" applyFill="1"/>
    <x:xf numFmtId="0" fontId="0" fillId="4" borderId="0" xfId="2" applyFont="1" applyFill="1" applyAlignment="1">
      <x:alignment wrapText="1"/>
    </x:xf>
    <x:xf numFmtId="0" fontId="4" fillId="0" borderId="2" xfId="0" applyFont="1" applyBorder="1" applyAlignment="1">
      <x:alignment horizontal="center" vertical="center"/>
    </x:xf>
    <x:xf numFmtId="0" fontId="4" fillId="0" borderId="2" xfId="0" applyFont="1" applyBorder="1" applyAlignment="1">
      <x:alignment horizontal="center" vertical="center" wrapText="1"/>
    </x:xf>
    <x:xf numFmtId="0" fontId="4" fillId="0" borderId="1" xfId="0" applyFont="1" applyBorder="1" applyAlignment="1">
      <x:alignment horizontal="center" vertical="center"/>
    </x:xf>
    <x:xf numFmtId="0" fontId="4" fillId="0" borderId="1" xfId="0" applyFont="1" applyBorder="1" applyAlignment="1">
      <x:alignment horizontal="center" vertical="center" wrapText="1"/>
    </x:xf>
    <x:xf numFmtId="0" fontId="1" fillId="0" borderId="0" xfId="0" applyFont="1" applyAlignment="1">
      <x:alignment wrapText="1"/>
    </x:xf>
    <x:xf numFmtId="0" fontId="2" fillId="0" borderId="0" xfId="0" applyFont="1" applyAlignment="1">
      <x:alignment wrapText="1"/>
    </x:xf>
    <x:xf numFmtId="0" fontId="0" fillId="0" borderId="0" xfId="0" applyAlignment="1">
      <x:alignment horizontal="center"/>
    </x:xf>
    <x:xf numFmtId="0" fontId="1" fillId="0" borderId="0" xfId="0" applyFont="1" applyAlignment="1">
      <x:alignment vertical="center" wrapText="1"/>
    </x:xf>
    <x:xf numFmtId="165" fontId="0" fillId="6" borderId="0" xfId="0" applyNumberFormat="1" applyFill="1"/>
    <x:xf numFmtId="0" fontId="3" fillId="0" borderId="1" xfId="0" applyFont="1" applyBorder="1"/>
    <x:xf numFmtId="166" fontId="0" fillId="6" borderId="0" xfId="0" applyNumberFormat="1" applyFill="1" applyAlignment="1">
      <x:alignment horizontal="center"/>
    </x:xf>
    <x:xf numFmtId="167" fontId="1" fillId="0" borderId="0" xfId="0" applyNumberFormat="1" applyFont="1" applyAlignment="1">
      <x:alignment horizont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vertical="center" wrapText="1"/>
    </x:xf>
    <x:xf numFmtId="167" fontId="1" fillId="6" borderId="0" xfId="0" applyNumberFormat="1" applyFont="1" applyFill="1" applyAlignment="1">
      <x:alignment horizontal="center"/>
    </x:xf>
    <x:xf numFmtId="169" fontId="1" fillId="0" borderId="0" xfId="0" applyNumberFormat="1" applyFont="1" applyAlignment="1">
      <x:alignment horizontal="center"/>
    </x:xf>
    <x:xf numFmtId="0" fontId="0" fillId="0" borderId="0" xfId="0" applyAlignment="1">
      <x:alignment wrapText="1"/>
    </x:xf>
    <x:xf numFmtId="0" fontId="0" fillId="6" borderId="0" xfId="0" applyFill="1"/>
    <x:xf numFmtId="0" fontId="0" fillId="6" borderId="0" xfId="0" applyFill="1" applyAlignment="1">
      <x:alignment horizontal="center"/>
    </x:xf>
    <x:xf numFmtId="0" fontId="4" fillId="0" borderId="1" xfId="0" applyFont="1" applyBorder="1" applyAlignment="1">
      <x:alignment horizontal="center"/>
    </x:xf>
    <x:xf numFmtId="0" fontId="1" fillId="0" borderId="0" xfId="0" applyFont="1" applyAlignment="1">
      <x:alignment horizontal="center" vertical="center"/>
    </x:xf>
    <x:xf numFmtId="0" fontId="3" fillId="0" borderId="1" xfId="0" applyFont="1" applyBorder="1" applyAlignment="1">
      <x:alignment horizontal="center"/>
    </x:xf>
    <x:xf numFmtId="0" fontId="4" fillId="0" borderId="2" xfId="0" applyFont="1" applyBorder="1" applyAlignment="1">
      <x:alignment horizontal="center" vertical="center"/>
    </x:xf>
    <x:xf numFmtId="0" fontId="8" fillId="0" borderId="1" xfId="0" applyFont="1" applyFill="1" applyBorder="1" applyAlignment="1">
      <x:alignment horizontal="center" vertical="center" wrapText="1"/>
    </x:xf>
    <x:xf numFmtId="0" fontId="9" fillId="0" borderId="6" xfId="0" applyFont="1" applyBorder="1" applyAlignment="1">
      <x:alignment horizontal="center"/>
    </x:xf>
    <x:xf numFmtId="167" fontId="9" fillId="6" borderId="6" xfId="0" applyNumberFormat="1" applyFont="1" applyFill="1" applyBorder="1" applyAlignment="1">
      <x:alignment horizontal="center"/>
    </x:xf>
    <x:xf numFmtId="167" fontId="9" fillId="6" borderId="0" xfId="0" applyNumberFormat="1" applyFont="1" applyFill="1" applyAlignment="1">
      <x:alignment horizontal="center"/>
    </x:xf>
    <x:xf numFmtId="0" fontId="9" fillId="0" borderId="7" xfId="0" applyFont="1" applyBorder="1" applyAlignment="1">
      <x:alignment horizontal="center"/>
    </x:xf>
    <x:xf numFmtId="167" fontId="9" fillId="6" borderId="7" xfId="0" applyNumberFormat="1" applyFont="1" applyFill="1" applyBorder="1" applyAlignment="1">
      <x:alignment horizontal="center"/>
    </x:xf>
    <x:xf numFmtId="0" fontId="9" fillId="0" borderId="0" xfId="0" applyFont="1" applyAlignment="1">
      <x:alignment horizontal="center"/>
    </x:xf>
    <x:xf numFmtId="0" fontId="1" fillId="0" borderId="0" xfId="0" applyFont="1" applyFill="1" applyAlignment="1">
      <x:alignment horizontal="center"/>
    </x:xf>
    <x:xf numFmtId="167" fontId="1" fillId="0" borderId="0" xfId="0" applyNumberFormat="1" applyFont="1" applyFill="1" applyAlignment="1">
      <x:alignment horizontal="center"/>
    </x:xf>
    <x:xf numFmtId="168" fontId="1" fillId="0" borderId="0" xfId="0" applyNumberFormat="1" applyFont="1" applyFill="1" applyAlignment="1">
      <x:alignment horizontal="center"/>
    </x:xf>
    <x:xf numFmtId="0" fontId="1" fillId="7" borderId="0" xfId="0" applyFont="1" applyFill="1" applyAlignment="1">
      <x:alignment horizontal="center"/>
    </x:xf>
    <x:xf numFmtId="0" fontId="3" fillId="0" borderId="0" xfId="0" applyFont="1" applyBorder="1"/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1" fillId="8" borderId="0" xfId="0" applyNumberFormat="1" applyFont="1" applyFill="1" applyBorder="1"/>
    <x:xf numFmtId="0" fontId="11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3" fillId="9" borderId="0" xfId="0" applyNumberFormat="1" applyFont="1" applyFill="1" applyBorder="1"/>
    <x:xf numFmtId="0" fontId="0" fillId="10" borderId="0" xfId="0" applyNumberFormat="1" applyFont="1" applyFill="1" applyBorder="1"/>
    <x:xf numFmtId="0" fontId="3" fillId="10" borderId="0" xfId="0" applyNumberFormat="1" applyFont="1" applyFill="1" applyBorder="1"/>
    <x:xf numFmtId="0" fontId="3" fillId="10" borderId="0" xfId="0" applyNumberFormat="1" applyFont="1" applyFill="1" applyBorder="1" applyAlignment="1">
      <x:alignment wrapText="1"/>
    </x:xf>
    <x:xf numFmtId="200" fontId="0" fillId="6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6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11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1" fontId="1" fillId="0" borderId="2" xfId="0" applyNumberFormat="1" applyFont="1" applyFill="1" applyBorder="1" applyAlignment="1">
      <x:alignment horizontal="center" vertical="center" wrapText="1"/>
    </x:xf>
    <x:xf numFmtId="201" fontId="3" fillId="9" borderId="0" xfId="0" applyNumberFormat="1" applyFont="1" applyFill="1" applyBorder="1"/>
    <x:xf numFmtId="201" fontId="1" fillId="0" borderId="2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horizontal="center" vertical="center" wrapText="1"/>
    </x:xf>
    <x:xf numFmtId="0" fontId="3" fillId="9" borderId="0" xfId="0" applyNumberFormat="1" applyFont="1" applyFill="1" applyBorder="1" applyAlignment="1">
      <x:alignment wrapText="1"/>
    </x:xf>
    <x:xf numFmtId="201" fontId="3" fillId="9" borderId="0" xfId="0" applyNumberFormat="1" applyFont="1" applyFill="1" applyBorder="1" applyAlignment="1">
      <x:alignment wrapText="1"/>
    </x:xf>
    <x:xf numFmtId="200" fontId="12" fillId="6" borderId="0" xfId="0" applyNumberFormat="1" applyFont="1" applyFill="1" applyBorder="1" applyAlignment="1">
      <x:alignment horizontal="center"/>
    </x:xf>
    <x:xf numFmtId="200" fontId="12" fillId="6" borderId="0" xfId="0" applyNumberFormat="1" applyFont="1" applyFill="1" applyBorder="1"/>
    <x:xf numFmtId="200" fontId="13" fillId="6" borderId="0" xfId="0" applyNumberFormat="1" applyFont="1" applyFill="1" applyBorder="1" applyAlignment="1">
      <x:alignment horizontal="center"/>
    </x:xf>
    <x:xf numFmtId="200" fontId="13" fillId="6" borderId="0" xfId="0" applyNumberFormat="1" applyFont="1" applyFill="1" applyBorder="1"/>
    <x:xf numFmtId="200" fontId="14" fillId="6" borderId="0" xfId="0" applyNumberFormat="1" applyFont="1" applyFill="1" applyBorder="1" applyAlignment="1">
      <x:alignment horizontal="center"/>
    </x:xf>
    <x:xf numFmtId="200" fontId="13" fillId="0" borderId="0" xfId="0" applyNumberFormat="1" applyFont="1" applyFill="1" applyBorder="1"/>
    <x:xf numFmtId="201" fontId="13" fillId="0" borderId="0" xfId="0" applyNumberFormat="1" applyFont="1" applyFill="1" applyBorder="1" applyAlignment="1">
      <x:alignment wrapText="1"/>
    </x:xf>
    <x:xf numFmtId="0" fontId="13" fillId="0" borderId="0" xfId="0" applyNumberFormat="1" applyFont="1" applyFill="1" applyBorder="1"/>
    <x:xf numFmtId="201" fontId="12" fillId="0" borderId="0" xfId="0" applyNumberFormat="1" applyFont="1" applyFill="1" applyBorder="1" applyAlignment="1">
      <x:alignment wrapText="1"/>
    </x:xf>
    <x:xf numFmtId="201" fontId="14" fillId="0" borderId="0" xfId="0" applyNumberFormat="1" applyFont="1" applyFill="1" applyBorder="1" applyAlignment="1">
      <x:alignment wrapText="1"/>
    </x:xf>
    <x:xf numFmtId="0" fontId="14" fillId="0" borderId="0" xfId="0" applyNumberFormat="1" applyFont="1" applyFill="1" applyBorder="1"/>
    <x:xf numFmtId="0" fontId="12" fillId="0" borderId="0" xfId="0" applyNumberFormat="1" applyFont="1" applyFill="1" applyBorder="1"/>
    <x:xf numFmtId="200" fontId="14" fillId="0" borderId="0" xfId="0" applyNumberFormat="1" applyFont="1" applyFill="1" applyBorder="1"/>
    <x:xf numFmtId="200" fontId="12" fillId="0" borderId="0" xfId="0" applyNumberFormat="1" applyFont="1" applyFill="1" applyBorder="1"/>
    <x:xf numFmtId="200" fontId="14" fillId="6" borderId="0" xfId="0" applyNumberFormat="1" applyFont="1" applyFill="1" applyBorder="1"/>
    <x:xf numFmtId="200" fontId="14" fillId="0" borderId="0" xfId="0" applyNumberFormat="1" applyFont="1" applyFill="1" applyBorder="1" applyAlignment="1">
      <x:alignment wrapText="1"/>
    </x:xf>
  </x:cellXfs>
  <x:cellStyles count="3">
    <x:cellStyle name="Normal" xfId="2"/>
    <x:cellStyle name="Обычный" xfId="0"/>
    <x:cellStyle name="Обычный 2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eb3648762147e5" /><Relationship Type="http://schemas.openxmlformats.org/officeDocument/2006/relationships/theme" Target="/xl/theme/theme1.xml" Id="Rdd77a0b37a6d46cc" /><Relationship Type="http://schemas.openxmlformats.org/officeDocument/2006/relationships/sharedStrings" Target="/xl/sharedStrings.xml" Id="R1042b77b635f45a4" /><Relationship Type="http://schemas.openxmlformats.org/officeDocument/2006/relationships/worksheet" Target="/xl/worksheets/sheet1.xml" Id="R307ebdd84d13473a" /><Relationship Type="http://schemas.openxmlformats.org/officeDocument/2006/relationships/worksheet" Target="/xl/worksheets/sheet2.xml" Id="R2ea26142314b421b" /><Relationship Type="http://schemas.openxmlformats.org/officeDocument/2006/relationships/worksheet" Target="/xl/worksheets/sheet3.xml" Id="Rd83d1309d3bb4de3" /><Relationship Type="http://schemas.openxmlformats.org/officeDocument/2006/relationships/worksheet" Target="/xl/worksheets/sheet4.xml" Id="Rf78d4748fc7243ed" /><Relationship Type="http://schemas.openxmlformats.org/officeDocument/2006/relationships/worksheet" Target="/xl/worksheets/sheet5.xml" Id="R1e1db21910684a96" /><Relationship Type="http://schemas.openxmlformats.org/officeDocument/2006/relationships/worksheet" Target="/xl/worksheets/sheet6.xml" Id="Re2a4dfe97eda4240" /><Relationship Type="http://schemas.openxmlformats.org/officeDocument/2006/relationships/worksheet" Target="/xl/worksheets/sheet7.xml" Id="Ra08df591c9ba4696" /><Relationship Type="http://schemas.openxmlformats.org/officeDocument/2006/relationships/worksheet" Target="/xl/worksheets/sheet8.xml" Id="R092be780c3344d31" /><Relationship Type="http://schemas.openxmlformats.org/officeDocument/2006/relationships/worksheet" Target="/xl/worksheets/sheet9.xml" Id="R6db7eafbfaef493c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3" max="3" width="53" customWidth="1"/>
    <x:col min="6" max="6" width="100" hidden="0" customWidth="1"/>
  </x:cols>
  <x:sheetData>
    <x:row r="2">
      <x:c r="B2" t="s">
        <x:v>0</x:v>
      </x:c>
    </x:row>
    <x:row r="3" ht="30">
      <x:c r="B3" s="32">
        <x:v>1</x:v>
      </x:c>
      <x:c r="C3" s="36" t="s">
        <x:v>1</x:v>
      </x:c>
    </x:row>
    <x:row r="4">
      <x:c r="B4" s="26">
        <x:v>2</x:v>
      </x:c>
      <x:c r="C4" t="s">
        <x:v>2</x:v>
      </x:c>
    </x:row>
    <x:row r="5" ht="30">
      <x:c r="B5" s="32">
        <x:v>3</x:v>
      </x:c>
      <x:c r="C5" s="36" t="s">
        <x:v>3</x:v>
      </x:c>
    </x:row>
    <x:row r="6">
      <x:c r="B6" s="26"/>
    </x:row>
    <x:row r="8">
      <x:c r="B8" t="s">
        <x:v>4</x:v>
      </x:c>
      <x:c r="F8" t="str">
        <x:v>Контроль текущей версии</x:v>
      </x:c>
    </x:row>
    <x:row r="9" ht="44" customHeight="1">
      <x:c r="B9" s="32">
        <x:v>1</x:v>
      </x:c>
      <x:c r="C9" s="33" t="s">
        <x:v>5</x:v>
      </x:c>
      <x:c r="D9" s="32" t="s">
        <x:v>6</x:v>
      </x:c>
      <x:c r="F9" s="73" t="str">
        <x:v>Рабочая версия 08.10.2026: исправлены формулы Main и IAS17. Сверка исходных данных не завершена.</x:v>
      </x:c>
    </x:row>
    <x:row r="10" ht="44" customHeight="1">
      <x:c r="B10" s="32">
        <x:v>2</x:v>
      </x:c>
      <x:c r="C10" s="33" t="s">
        <x:v>7</x:v>
      </x:c>
      <x:c r="D10" s="32" t="s">
        <x:v>8</x:v>
      </x:c>
      <x:c r="F10" s="73" t="str">
        <x:v>Main: исправления обработки пропусков, EV и IAS17 документированы в журнале. Остальные листы и финансовые исходники сохранены.</x:v>
      </x:c>
    </x:row>
    <x:row r="11" ht="44" customHeight="1">
      <x:c r="B11" s="32">
        <x:v>3</x:v>
      </x:c>
      <x:c r="C11" s="33" t="s">
        <x:v>9</x:v>
      </x:c>
      <x:c r="D11" s="32" t="s">
        <x:v>6</x:v>
      </x:c>
      <x:c r="F11" s="73" t="str">
        <x:v>Структура финансовых листов приведена к структуре TTM шаблона: I EBITDA, J скорр. EBITDA, K IAS17.</x:v>
      </x:c>
    </x:row>
    <x:row r="12" ht="44" customHeight="1">
      <x:c r="B12" s="32">
        <x:v>4</x:v>
      </x:c>
      <x:c r="C12" s="33" t="s">
        <x:v>10</x:v>
      </x:c>
      <x:c r="D12" s="32" t="s">
        <x:v>11</x:v>
      </x:c>
      <x:c r="F12" s="73" t="str">
        <x:v>Синий фон — EBITDA по формуле ЧП + налог + процентные расходы − процентные доходы + амортизация.</x:v>
      </x:c>
    </x:row>
    <x:row r="13" ht="44" customHeight="1">
      <x:c r="B13" s="32">
        <x:v>5</x:v>
      </x:c>
      <x:c r="C13" s="33" t="s">
        <x:v>12</x:v>
      </x:c>
      <x:c r="D13" s="32" t="s">
        <x:v>8</x:v>
      </x:c>
      <x:c r="F13" s="73" t="str">
        <x:v>EBITDA с дополнительными корректировками отнесена к скорректированной; название компании сохранено в расчете.</x:v>
      </x:c>
    </x:row>
    <x:row r="14" ht="44" customHeight="1">
      <x:c r="B14" s="32">
        <x:v>6</x:v>
      </x:c>
      <x:c r="C14" s="33" t="s">
        <x:v>13</x:v>
      </x:c>
      <x:c r="D14" s="32" t="s">
        <x:v>6</x:v>
      </x:c>
      <x:c r="F14" s="73" t="str">
        <x:v>Каждый сверенный расчет содержит все компоненты, документ, страницу PDF и разницу с раскрытым итогом.</x:v>
      </x:c>
    </x:row>
    <x:row r="15" ht="44" customHeight="1">
      <x:c r="B15" s="32">
        <x:v>7</x:v>
      </x:c>
      <x:c r="C15" s="33" t="s">
        <x:v>14</x:v>
      </x:c>
      <x:c r="D15" s="32" t="s">
        <x:v>6</x:v>
      </x:c>
      <x:c r="F15" s="73" t="str">
        <x:v>Корректировки &gt;10% по модулю от базы до корректировок вынесены в отдельные колонки после BR.</x:v>
      </x:c>
    </x:row>
    <x:row r="16" ht="44" customHeight="1">
      <x:c r="B16" s="32">
        <x:v>8</x:v>
      </x:c>
      <x:c r="C16" s="33" t="s">
        <x:v>15</x:v>
      </x:c>
      <x:c r="D16" s="32" t="s">
        <x:v>6</x:v>
      </x:c>
      <x:c r="F16" s="73" t="str">
        <x:v>Неподтвержденные исходные значения отмечены в Расчетных показателях; совпадение суммы не равно проверке определения.</x:v>
      </x:c>
    </x:row>
    <x:row r="17" ht="44" customHeight="1">
      <x:c r="B17" s="32">
        <x:v>9</x:v>
      </x:c>
      <x:c r="C17" s="33" t="s">
        <x:v>16</x:v>
      </x:c>
      <x:c r="D17" s="32" t="s">
        <x:v>6</x:v>
      </x:c>
      <x:c r="F17" s="73" t="str">
        <x:v>Для Retail и IT поля IAS17/EBITDAC добавлены; при отсутствии необходимых компонентов — н.д., не выдуманные нули.</x:v>
      </x:c>
    </x:row>
    <x:row r="18" ht="44" customHeight="1">
      <x:c r="B18" s="32">
        <x:v>10</x:v>
      </x:c>
      <x:c r="C18" s="33" t="s">
        <x:v>17</x:v>
      </x:c>
      <x:c r="D18" s="32" t="s">
        <x:v>6</x:v>
      </x:c>
      <x:c r="F18" s="73" t="str">
        <x:v>X5: аренда 710237 млн руб. в 2025 году и 742991 млн руб. на 30.06.2026 показана отдельно и включена в ЧД IFRS16.</x:v>
      </x:c>
    </x:row>
    <x:row r="19" ht="44" customHeight="1">
      <x:c r="B19" s="32">
        <x:v>11</x:v>
      </x:c>
      <x:c r="C19" s="33" t="s">
        <x:v>18</x:v>
      </x:c>
      <x:c r="D19" s="32" t="s">
        <x:v>6</x:v>
      </x:c>
      <x:c r="F19" s="73" t="str">
        <x:v>Чистый долг и капитал в TTM — остатки 30.06.2026; потоки — год 2025 + 1П2026 − 1П2025.</x:v>
      </x:c>
    </x:row>
    <x:row r="20" ht="44" customHeight="1">
      <x:c r="B20" s="32">
        <x:v>12</x:v>
      </x:c>
      <x:c r="C20" s="33" t="s">
        <x:v>19</x:v>
      </x:c>
      <x:c r="D20" s="32" t="s">
        <x:v>6</x:v>
      </x:c>
      <x:c r="F20" s="73" t="str">
        <x:v>Добавлены 19 значений BV на 30.06.2025 из отчета об изменениях капитала. Для TTM используется BV 30.06.2026.</x:v>
      </x:c>
    </x:row>
    <x:row r="21" ht="44" customHeight="1">
      <x:c r="B21" s="32">
        <x:v>10</x:v>
      </x:c>
      <x:c r="C21" s="33" t="s">
        <x:v>20</x:v>
      </x:c>
      <x:c r="F21" s="73" t="str">
        <x:v>Main: н.д. означает недостающие исходники, н.п. — неприменимость. Пустой обязательный источник не приравнивается к нулю.</x:v>
      </x:c>
    </x:row>
    <x:row r="22">
      <x:c r="B22" s="32">
        <x:v>11</x:v>
      </x:c>
      <x:c r="C22" s="33" t="s">
        <x:v>21</x:v>
      </x:c>
    </x:row>
    <x:row r="23">
      <x:c r="B23" s="32">
        <x:v>12</x:v>
      </x:c>
      <x:c r="C23" s="33" t="s">
        <x:v>22</x:v>
      </x:c>
    </x:row>
    <x:row r="24" ht="30">
      <x:c r="B24" s="32">
        <x:v>13</x:v>
      </x:c>
      <x:c r="C24" s="33" t="s">
        <x:v>23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002060"/>
  </x:sheetPr>
  <x:sheetViews>
    <x:sheetView showGridLines="0" workbookViewId="0"/>
  </x:sheetViews>
  <x:sheetFormatPr defaultRowHeight="16.5"/>
  <x:cols>
    <x:col min="1" max="1" width="9.140625" style="1" customWidth="0"/>
    <x:col min="2" max="2" width="24.7109375" style="1" customWidth="1"/>
    <x:col min="3" max="3" width="17.85546875" style="1" customWidth="1"/>
    <x:col min="4" max="4" width="38.85546875" style="1" customWidth="1"/>
    <x:col min="5" max="21" width="14.85546875" style="1" customWidth="1"/>
    <x:col min="22" max="22" width="20.7109375" style="1" customWidth="1"/>
    <x:col min="23" max="23" width="20.7109375" style="1" customWidth="1"/>
    <x:col min="24" max="24" width="28.140625" style="1" customWidth="1"/>
    <x:col min="25" max="29" width="14.85546875" style="1" customWidth="1"/>
    <x:col min="30" max="31" width="26.7109375" style="1" customWidth="1"/>
    <x:col min="32" max="44" width="14.85546875" style="1" customWidth="1"/>
    <x:col min="45" max="16384" width="9.140625" style="1" customWidth="0"/>
  </x:cols>
  <x:sheetData>
    <x:row r="2" ht="17.25">
      <x:c r="B2" s="5" t="s">
        <x:v>24</x:v>
      </x:c>
    </x:row>
    <x:row r="3">
      <x:c r="B3" s="1" t="s">
        <x:v>25</x:v>
      </x:c>
    </x:row>
    <x:row r="4" ht="17.25">
      <x:c r="B4" s="5"/>
    </x:row>
    <x:row r="5" ht="49.5">
      <x:c r="B5" s="27" t="s">
        <x:v>26</x:v>
      </x:c>
      <x:c r="C5" s="2" t="str">
        <x:v>Нет</x:v>
      </x:c>
    </x:row>
    <x:row r="6" ht="33">
      <x:c r="B6" s="24" t="s">
        <x:v>27</x:v>
      </x:c>
      <x:c r="C6" s="2" t="str">
        <x:v>Нет</x:v>
      </x:c>
    </x:row>
    <x:row r="7" ht="17.25">
      <x:c r="B7" s="25"/>
    </x:row>
    <x:row r="9">
      <x:c r="B9" s="39" t="s">
        <x:v>28</x:v>
      </x:c>
      <x:c r="C9" s="39"/>
      <x:c r="D9" s="39"/>
      <x:c r="F9" s="39" t="s">
        <x:v>29</x:v>
      </x:c>
      <x:c r="G9" s="39"/>
      <x:c r="H9" s="39"/>
      <x:c r="I9" s="39"/>
      <x:c r="J9" s="39"/>
      <x:c r="K9" s="39"/>
      <x:c r="L9" s="39"/>
      <x:c r="M9" s="39"/>
      <x:c r="N9" s="39"/>
      <x:c r="O9" s="39"/>
      <x:c r="P9" s="39"/>
      <x:c r="Q9" s="39"/>
      <x:c r="R9" s="39"/>
      <x:c r="S9" s="39"/>
      <x:c r="T9" s="3"/>
      <x:c r="U9" s="39" t="s">
        <x:v>30</x:v>
      </x:c>
      <x:c r="V9" s="39"/>
      <x:c r="W9" s="39"/>
      <x:c r="X9" s="39"/>
      <x:c r="Z9" s="39" t="s">
        <x:v>31</x:v>
      </x:c>
      <x:c r="AA9" s="39"/>
      <x:c r="AB9" s="39"/>
      <x:c r="AC9" s="39"/>
      <x:c r="AD9" s="39"/>
      <x:c r="AE9" s="39"/>
      <x:c r="AF9" s="39"/>
      <x:c r="AG9" s="39"/>
      <x:c r="AI9" s="39" t="s">
        <x:v>32</x:v>
      </x:c>
      <x:c r="AJ9" s="39"/>
      <x:c r="AK9" s="39"/>
      <x:c r="AL9" s="39"/>
      <x:c r="AM9" s="39"/>
      <x:c r="AN9" s="39"/>
      <x:c r="AO9" s="39"/>
      <x:c r="AP9" s="39"/>
    </x:row>
    <x:row r="10" ht="42.75">
      <x:c r="B10" s="20" t="s">
        <x:v>33</x:v>
      </x:c>
      <x:c r="C10" s="20" t="s">
        <x:v>34</x:v>
      </x:c>
      <x:c r="D10" s="20" t="s">
        <x:v>35</x:v>
      </x:c>
      <x:c r="E10" s="3"/>
      <x:c r="F10" s="22" t="s">
        <x:v>36</x:v>
      </x:c>
      <x:c r="G10" s="23" t="s">
        <x:v>37</x:v>
      </x:c>
      <x:c r="H10" s="23" t="s">
        <x:v>38</x:v>
      </x:c>
      <x:c r="I10" s="23" t="s">
        <x:v>39</x:v>
      </x:c>
      <x:c r="J10" s="23" t="s">
        <x:v>40</x:v>
      </x:c>
      <x:c r="K10" s="22" t="s">
        <x:v>41</x:v>
      </x:c>
      <x:c r="L10" s="22" t="s">
        <x:v>42</x:v>
      </x:c>
      <x:c r="M10" s="22" t="s">
        <x:v>43</x:v>
      </x:c>
      <x:c r="N10" s="22" t="s">
        <x:v>44</x:v>
      </x:c>
      <x:c r="O10" s="22" t="s">
        <x:v>45</x:v>
      </x:c>
      <x:c r="P10" s="23" t="s">
        <x:v>46</x:v>
      </x:c>
      <x:c r="Q10" s="23" t="s">
        <x:v>47</x:v>
      </x:c>
      <x:c r="R10" s="23" t="s">
        <x:v>48</x:v>
      </x:c>
      <x:c r="S10" s="23" t="s">
        <x:v>49</x:v>
      </x:c>
      <x:c r="T10" s="3"/>
      <x:c r="U10" s="20" t="s">
        <x:v>50</x:v>
      </x:c>
      <x:c r="V10" s="21" t="s">
        <x:v>51</x:v>
      </x:c>
      <x:c r="W10" s="21" t="s">
        <x:v>52</x:v>
      </x:c>
      <x:c r="X10" s="21" t="s">
        <x:v>53</x:v>
      </x:c>
      <x:c r="Y10" s="3"/>
      <x:c r="Z10" s="20" t="s">
        <x:v>54</x:v>
      </x:c>
      <x:c r="AA10" s="21" t="s">
        <x:v>55</x:v>
      </x:c>
      <x:c r="AB10" s="21" t="s">
        <x:v>56</x:v>
      </x:c>
      <x:c r="AC10" s="21" t="s">
        <x:v>57</x:v>
      </x:c>
      <x:c r="AD10" s="21" t="s">
        <x:v>58</x:v>
      </x:c>
      <x:c r="AE10" s="21" t="s">
        <x:v>59</x:v>
      </x:c>
      <x:c r="AF10" s="21" t="s">
        <x:v>60</x:v>
      </x:c>
      <x:c r="AG10" s="21" t="s">
        <x:v>61</x:v>
      </x:c>
      <x:c r="AH10" s="3"/>
      <x:c r="AI10" s="20" t="s">
        <x:v>62</x:v>
      </x:c>
      <x:c r="AJ10" s="20" t="s">
        <x:v>63</x:v>
      </x:c>
      <x:c r="AK10" s="21" t="s">
        <x:v>64</x:v>
      </x:c>
      <x:c r="AL10" s="20" t="s">
        <x:v>65</x:v>
      </x:c>
      <x:c r="AM10" s="20" t="s">
        <x:v>66</x:v>
      </x:c>
      <x:c r="AN10" s="20" t="s">
        <x:v>67</x:v>
      </x:c>
      <x:c r="AO10" s="21" t="s">
        <x:v>68</x:v>
      </x:c>
      <x:c r="AP10" s="20" t="s">
        <x:v>69</x:v>
      </x:c>
      <x:c r="AQ10" s="3"/>
      <x:c r="AR10" s="3"/>
      <x:c r="AS10" s="4"/>
    </x:row>
    <x:row r="11">
      <x:c r="B11" s="3">
        <x:v>1</x:v>
      </x:c>
      <x:c r="C11" s="3" t="s">
        <x:v>70</x:v>
      </x:c>
      <x:c r="D11" s="50" t="s">
        <x:v>71</x:v>
      </x:c>
      <x:c r="E11" s="3"/>
      <x:c r="F11" s="35" t="n">
        <x:f>IF(COLUMN()=8,IF(ISNUMBER(AJ11),IF(AJ11&lt;=0,"н.п.",IF(ISNUMBER($AG11),$AG11/AJ11,IF($AG11="","н.д.",$AG11))),IF(AJ11="","н.д.",AJ11)),IF(ISNUMBER(AJ11),IF(AJ11&lt;=0,"н.п.",IF(ISNUMBER($AF11),$AF11/AJ11,IF($AF11="","н.д.",$AF11))),IF(AJ11="","н.д.",AJ11)))</x:f>
        <x:v>2.708773058483243</x:v>
      </x:c>
      <x:c r="G11" s="35" t="str">
        <x:f>IF(COLUMN()=8,IF(ISNUMBER(AK11),IF(AK11&lt;=0,"н.п.",IF(ISNUMBER($AG11),$AG11/AK11,IF($AG11="","н.д.",$AG11))),IF(AK11="","н.д.",AK11)),IF(ISNUMBER(AK11),IF(AK11&lt;=0,"н.п.",IF(ISNUMBER($AF11),$AF11/AK11,IF($AF11="","н.д.",$AF11))),IF(AK11="","н.д.",AK11)))</x:f>
        <x:v>н.д.</x:v>
      </x:c>
      <x:c r="H11" s="35" t="str">
        <x:f>IF(COLUMN()=8,IF(ISNUMBER(AL11),IF(AL11&lt;=0,"н.п.",IF(ISNUMBER($AG11),$AG11/AL11,IF($AG11="","н.д.",$AG11))),IF(AL11="","н.д.",AL11)),IF(ISNUMBER(AL11),IF(AL11&lt;=0,"н.п.",IF(ISNUMBER($AF11),$AF11/AL11,IF($AF11="","н.д.",$AF11))),IF(AL11="","н.д.",AL11)))</x:f>
        <x:v>н.п.</x:v>
      </x:c>
      <x:c r="I11" s="35" t="str">
        <x:f>IF(COLUMN()=8,IF(ISNUMBER(AM11),IF(AM11&lt;=0,"н.п.",IF(ISNUMBER($AG11),$AG11/AM11,IF($AG11="","н.д.",$AG11))),IF(AM11="","н.д.",AM11)),IF(ISNUMBER(AM11),IF(AM11&lt;=0,"н.п.",IF(ISNUMBER($AF11),$AF11/AM11,IF($AF11="","н.д.",$AF11))),IF(AM11="","н.д.",AM11)))</x:f>
        <x:v>н.п.</x:v>
      </x:c>
      <x:c r="J11" s="35" t="str">
        <x:f>IF(COLUMN()=8,IF(ISNUMBER(AN11),IF(AN11&lt;=0,"н.п.",IF(ISNUMBER($AG11),$AG11/AN11,IF($AG11="","н.д.",$AG11))),IF(AN11="","н.д.",AN11)),IF(ISNUMBER(AN11),IF(AN11&lt;=0,"н.п.",IF(ISNUMBER($AF11),$AF11/AN11,IF($AF11="","н.д.",$AF11))),IF(AN11="","н.д.",AN11)))</x:f>
        <x:v>н.д.</x:v>
      </x:c>
      <x:c r="K11" s="35" t="n">
        <x:f t="shared" ref="K11:K44" si="0">IF(ISNUMBER(AI11),IF(AI11=0,"н.п.",IF(ISNUMBER(AF11),AF11/AI11,IF(AF11="","н.д.",AF11))),IF(AI11="","н.д.",AI11))</x:f>
        <x:v>0.8884626130572305</x:v>
      </x:c>
      <x:c r="L11" s="35" t="str">
        <x:f>IF(ISNUMBER(AO11),IF(AO11&lt;=0,"н.п.",IF(ISNUMBER(X11),X11/AO11,IF(X11="","н.д.",X11))),IF(AO11="","н.д.",AO11))</x:f>
        <x:v>н.п.</x:v>
      </x:c>
      <x:c r="M11" s="35" t="n">
        <x:f t="shared" ref="M11:M44" si="1">IF(ISNUMBER(AP11),IF(AP11=0,"н.п.",IF(ISNUMBER(X11),X11/AP11,IF(X11="","н.д.",X11))),IF(AP11="","н.д.",AP11))</x:f>
        <x:v>0.9853984170705742</x:v>
      </x:c>
      <x:c r="N11" s="35" t="n">
        <x:f t="shared" ref="N11:N44" si="2">IF(ISNUMBER(AI11),IF(AI11=0,"н.п.",IF(ISNUMBER(X11),X11/AI11,IF(X11="","н.д.",X11))),IF(AI11="","н.д.",AI11))</x:f>
        <x:v>0.912659412399178</x:v>
      </x:c>
      <x:c r="O11" s="35" t="n">
        <x:f>IF(COLUMN()=17,IF(ISNUMBER(AJ11),IF(AJ11&lt;=0,"н.п.",IF(ISNUMBER($AB11),$AB11/AJ11,IF($AB11="","н.д.",$AB11))),IF(AJ11="","н.д.",AJ11)),IF($C$6="Да",IF(ISNUMBER(AJ11),IF(AJ11&lt;=0,"н.п.",IF(ISNUMBER($AA11),$AA11/AJ11,IF($AA11="","н.д.",$AA11))),IF(AJ11="","н.д.",AJ11)),IF(ISNUMBER(AJ11),IF(AJ11&lt;=0,"н.п.",IF(ISNUMBER($Z11),$Z11/AJ11,IF($Z11="","н.д.",$Z11))),IF(AJ11="","н.д.",AJ11))))</x:f>
        <x:v>-0.26657026220561375</x:v>
      </x:c>
      <x:c r="P11" s="35" t="str">
        <x:f>IF(COLUMN()=17,IF(ISNUMBER(AK11),IF(AK11&lt;=0,"н.п.",IF(ISNUMBER($AB11),$AB11/AK11,IF($AB11="","н.д.",$AB11))),IF(AK11="","н.д.",AK11)),IF($C$6="Да",IF(ISNUMBER(AK11),IF(AK11&lt;=0,"н.п.",IF(ISNUMBER($AA11),$AA11/AK11,IF($AA11="","н.д.",$AA11))),IF(AK11="","н.д.",AK11)),IF(ISNUMBER(AK11),IF(AK11&lt;=0,"н.п.",IF(ISNUMBER($Z11),$Z11/AK11,IF($Z11="","н.д.",$Z11))),IF(AK11="","н.д.",AK11))))</x:f>
        <x:v>н.д.</x:v>
      </x:c>
      <x:c r="Q11" s="35" t="str">
        <x:f>IF(COLUMN()=17,IF(ISNUMBER(AL11),IF(AL11&lt;=0,"н.п.",IF(ISNUMBER($AB11),$AB11/AL11,IF($AB11="","н.д.",$AB11))),IF(AL11="","н.д.",AL11)),IF($C$6="Да",IF(ISNUMBER(AL11),IF(AL11&lt;=0,"н.п.",IF(ISNUMBER($AA11),$AA11/AL11,IF($AA11="","н.д.",$AA11))),IF(AL11="","н.д.",AL11)),IF(ISNUMBER(AL11),IF(AL11&lt;=0,"н.п.",IF(ISNUMBER($Z11),$Z11/AL11,IF($Z11="","н.д.",$Z11))),IF(AL11="","н.д.",AL11))))</x:f>
        <x:v>н.п.</x:v>
      </x:c>
      <x:c r="R11" s="35" t="str">
        <x:f>IF(COLUMN()=17,IF(ISNUMBER(AM11),IF(AM11&lt;=0,"н.п.",IF(ISNUMBER($AB11),$AB11/AM11,IF($AB11="","н.д.",$AB11))),IF(AM11="","н.д.",AM11)),IF($C$6="Да",IF(ISNUMBER(AM11),IF(AM11&lt;=0,"н.п.",IF(ISNUMBER($AA11),$AA11/AM11,IF($AA11="","н.д.",$AA11))),IF(AM11="","н.д.",AM11)),IF(ISNUMBER(AM11),IF(AM11&lt;=0,"н.п.",IF(ISNUMBER($Z11),$Z11/AM11,IF($Z11="","н.д.",$Z11))),IF(AM11="","н.д.",AM11))))</x:f>
        <x:v>н.п.</x:v>
      </x:c>
      <x:c r="S11" s="35" t="str">
        <x:f>IF(COLUMN()=17,IF(ISNUMBER(AN11),IF(AN11&lt;=0,"н.п.",IF(ISNUMBER($AB11),$AB11/AN11,IF($AB11="","н.д.",$AB11))),IF(AN11="","н.д.",AN11)),IF($C$6="Да",IF(ISNUMBER(AN11),IF(AN11&lt;=0,"н.п.",IF(ISNUMBER($AA11),$AA11/AN11,IF($AA11="","н.д.",$AA11))),IF(AN11="","н.д.",AN11)),IF(ISNUMBER(AN11),IF(AN11&lt;=0,"н.п.",IF(ISNUMBER($Z11),$Z11/AN11,IF($Z11="","н.д.",$Z11))),IF(AN11="","н.д.",AN11))))</x:f>
        <x:v>н.д.</x:v>
      </x:c>
      <x:c r="T11" s="3"/>
      <x:c r="U11" s="51" t="n">
        <x:f>Котировки!C3</x:f>
        <x:v>5162.785714286</x:v>
      </x:c>
      <x:c r="V11" s="51" t="n">
        <x:f>Котировки!E3</x:f>
        <x:v>692865762</x:v>
      </x:c>
      <x:c r="W11" s="53"/>
      <x:c r="X11" s="31" t="n">
        <x:f>IF($C$5="Да",IF(ISNUMBER(W11),IF(ISNUMBER(U11),U11*W11/10^6,IF(U11="","н.д.",U11)),IF(W11="","н.д.",W11)),IF(ISNUMBER(V11),IF(ISNUMBER(U11),U11*V11/10^6,IF(U11="","н.д.",U11)),IF(V11="","н.д.",V11)))</x:f>
        <x:v>3577117.457971484</x:v>
      </x:c>
      <x:c r="Y11" s="3"/>
      <x:c r="Z11" s="31" t="n">
        <x:f>IF(ISNUMBER('Фин.показатели TTM'!E7),'Фин.показатели TTM'!E7,IF('Фин.показатели TTM'!E7="",IF(ISNUMBER('Фин.показатели TTM'!R7),'Фин.показатели TTM'!R7,IF('Фин.показатели TTM'!R7="","н.д.",'Фин.показатели TTM'!R7)),'Фин.показатели TTM'!E7))</x:f>
        <x:v>-342691</x:v>
      </x:c>
      <x:c r="AA11" s="31" t="str">
        <x:f>IF(ISNUMBER('Фин.показатели TTM'!F7),'Фин.показатели TTM'!F7,IF('Фин.показатели TTM'!F7="","н.д.",'Фин.показатели TTM'!F7))</x:f>
        <x:v>н.д.</x:v>
      </x:c>
      <x:c r="AB11" s="31" t="str">
        <x:f>IF(ISNUMBER('Фин.показатели TTM'!G7),'Фин.показатели TTM'!G7,IF('Фин.показатели TTM'!G7="",IF(ISNUMBER('Фин.показатели TTM'!Y7),'Фин.показатели TTM'!Y7,IF('Фин.показатели TTM'!Y7="","н.д.",'Фин.показатели TTM'!Y7)),'Фин.показатели TTM'!G7))</x:f>
        <x:v>н.п.</x:v>
      </x:c>
      <x:c r="AC11" s="34">
        <x:v>247853</x:v>
      </x:c>
      <x:c r="AD11" s="34" t="n">
        <x:f>Котировки!D3*Котировки!F3/10^6</x:f>
        <x:v>0</x:v>
      </x:c>
      <x:c r="AE11" s="34"/>
      <x:c r="AF11" s="31" t="n">
        <x:f>IF($C$6="Да",IF(ISNUMBER(AA11),IF(ISNUMBER(X11),IF(COUNTIF(AC11:AE11,"н.д.")&gt;0,"н.д.",X11+AA11+SUM(AC11:AE11)),IF(X11="","н.д.",X11)),IF(AA11="","н.д.",AA11)),IF(ISNUMBER(Z11),IF(ISNUMBER(X11),IF(COUNTIF(AC11:AE11,"н.д.")&gt;0,"н.д.",X11+Z11+SUM(AC11:AE11)),IF(X11="","н.д.",X11)),IF(Z11="","н.д.",Z11)))</x:f>
        <x:v>3482279.457971484</x:v>
      </x:c>
      <x:c r="AG11" s="31" t="str">
        <x:f>IF(ISNUMBER(AB11),IF(ISNUMBER(X11),IF(COUNTIF(AC11:AE11,"н.д.")&gt;0,"н.д.",X11+AB11+SUM(AC11:AE11)),IF(X11="","н.д.",X11)),IF(AB11="","н.д.",AB11))</x:f>
        <x:v>н.п.</x:v>
      </x:c>
      <x:c r="AH11" s="3"/>
      <x:c r="AI11" s="31" t="n">
        <x:f>IF(ISNUMBER('Фин.показатели TTM'!H7),'Фин.показатели TTM'!H7,IF('Фин.показатели TTM'!H7="","н.д.",'Фин.показатели TTM'!H7))</x:f>
        <x:v>3919444</x:v>
      </x:c>
      <x:c r="AJ11" s="31" t="n">
        <x:f>IF(ISNUMBER('Фин.показатели TTM'!I7),'Фин.показатели TTM'!I7,IF('Фин.показатели TTM'!I7="",IF(ISNUMBER('Фин.показатели TTM'!Z7),'Фин.показатели TTM'!Z7,IF('Фин.показатели TTM'!Z7="","н.д.",'Фин.показатели TTM'!Z7)),'Фин.показатели TTM'!I7))</x:f>
        <x:v>1285556</x:v>
      </x:c>
      <x:c r="AK11" s="31" t="str">
        <x:f>IF(ISNUMBER('Фин.показатели TTM'!J7),'Фин.показатели TTM'!J7,IF('Фин.показатели TTM'!J7="","н.д.",'Фин.показатели TTM'!J7))</x:f>
        <x:v>н.д.</x:v>
      </x:c>
      <x:c r="AL11" s="31" t="str">
        <x:f>IF(ISNUMBER('Фин.показатели TTM'!K7),'Фин.показатели TTM'!K7,IF('Фин.показатели TTM'!K7="",IF(ISNUMBER('Фин.показатели TTM'!AI7),'Фин.показатели TTM'!AI7,IF('Фин.показатели TTM'!AI7="","н.д.",'Фин.показатели TTM'!AI7)),'Фин.показатели TTM'!K7))</x:f>
        <x:v>н.п.</x:v>
      </x:c>
      <x:c r="AM11" s="31" t="str">
        <x:f>IF(ISNUMBER('Фин.показатели TTM'!L7),'Фин.показатели TTM'!L7,IF('Фин.показатели TTM'!L7="",IF(ISNUMBER('Фин.показатели TTM'!AK7),'Фин.показатели TTM'!AK7,IF('Фин.показатели TTM'!AK7="","н.д.",'Фин.показатели TTM'!AK7)),'Фин.показатели TTM'!L7))</x:f>
        <x:v>н.п.</x:v>
      </x:c>
      <x:c r="AN11" s="31" t="str">
        <x:f>IF(ISNUMBER('Фин.показатели TTM'!M7),'Фин.показатели TTM'!M7,IF('Фин.показатели TTM'!M7="","н.д.",'Фин.показатели TTM'!M7))</x:f>
        <x:v>н.д.</x:v>
      </x:c>
      <x:c r="AO11" s="31" t="n">
        <x:f>IF(ISNUMBER('Фин.показатели TTM'!N7),'Фин.показатели TTM'!N7,IF('Фин.показатели TTM'!N7="","н.д.",'Фин.показатели TTM'!N7))</x:f>
        <x:v>-920385</x:v>
      </x:c>
      <x:c r="AP11" s="31" t="n">
        <x:f>IF(ISNUMBER('Фин.показатели TTM'!O7),'Фин.показатели TTM'!O7,IF('Фин.показатели TTM'!O7="","н.д.",'Фин.показатели TTM'!O7))</x:f>
        <x:v>3630123</x:v>
      </x:c>
      <x:c r="AQ11" s="3"/>
      <x:c r="AR11" s="3"/>
    </x:row>
    <x:row r="12">
      <x:c r="B12" s="3">
        <x:v>2</x:v>
      </x:c>
      <x:c r="C12" s="3" t="s">
        <x:v>72</x:v>
      </x:c>
      <x:c r="D12" s="50" t="s">
        <x:v>71</x:v>
      </x:c>
      <x:c r="E12" s="3"/>
      <x:c r="F12" s="35" t="str">
        <x:f t="shared" ref="F12:J44" si="3">IF(COLUMN()=8,IF(ISNUMBER(AJ12),IF(AJ12&lt;=0,"н.п.",IF(ISNUMBER($AG12),$AG12/AJ12,IF($AG12="","н.д.",$AG12))),IF(AJ12="","н.д.",AJ12)),IF(ISNUMBER(AJ12),IF(AJ12&lt;=0,"н.п.",IF(ISNUMBER($AF12),$AF12/AJ12,IF($AF12="","н.д.",$AF12))),IF(AJ12="","н.д.",AJ12)))</x:f>
        <x:v>н.д.</x:v>
      </x:c>
      <x:c r="G12" s="35" t="n">
        <x:f t="shared" si="3">IF(COLUMN()=8,IF(ISNUMBER(AK12),IF(AK12&lt;=0,"н.п.",IF(ISNUMBER($AG12),$AG12/AK12,IF($AG12="","н.д.",$AG12))),IF(AK12="","н.д.",AK12)),IF(ISNUMBER(AK12),IF(AK12&lt;=0,"н.п.",IF(ISNUMBER($AF12),$AF12/AK12,IF($AF12="","н.д.",$AF12))),IF(AK12="","н.д.",AK12)))</x:f>
        <x:v>2.7399698665365597</x:v>
      </x:c>
      <x:c r="H12" s="35" t="str">
        <x:f t="shared" si="3">IF(COLUMN()=8,IF(ISNUMBER(AL12),IF(AL12&lt;=0,"н.п.",IF(ISNUMBER($AG12),$AG12/AL12,IF($AG12="","н.д.",$AG12))),IF(AL12="","н.д.",AL12)),IF(ISNUMBER(AL12),IF(AL12&lt;=0,"н.п.",IF(ISNUMBER($AF12),$AF12/AL12,IF($AF12="","н.д.",$AF12))),IF(AL12="","н.д.",AL12)))</x:f>
        <x:v>н.п.</x:v>
      </x:c>
      <x:c r="I12" s="35" t="str">
        <x:f t="shared" si="3">IF(COLUMN()=8,IF(ISNUMBER(AM12),IF(AM12&lt;=0,"н.п.",IF(ISNUMBER($AG12),$AG12/AM12,IF($AG12="","н.д.",$AG12))),IF(AM12="","н.д.",AM12)),IF(ISNUMBER(AM12),IF(AM12&lt;=0,"н.п.",IF(ISNUMBER($AF12),$AF12/AM12,IF($AF12="","н.д.",$AF12))),IF(AM12="","н.д.",AM12)))</x:f>
        <x:v>н.п.</x:v>
      </x:c>
      <x:c r="J12" s="35" t="str">
        <x:f t="shared" si="3">IF(COLUMN()=8,IF(ISNUMBER(AN12),IF(AN12&lt;=0,"н.п.",IF(ISNUMBER($AG12),$AG12/AN12,IF($AG12="","н.д.",$AG12))),IF(AN12="","н.д.",AN12)),IF(ISNUMBER(AN12),IF(AN12&lt;=0,"н.п.",IF(ISNUMBER($AF12),$AF12/AN12,IF($AF12="","н.д.",$AF12))),IF(AN12="","н.д.",AN12)))</x:f>
        <x:v>н.д.</x:v>
      </x:c>
      <x:c r="K12" s="35" t="n">
        <x:f t="shared" si="0">IF(ISNUMBER(AI12),IF(AI12=0,"н.п.",IF(ISNUMBER(AF12),AF12/AI12,IF(AF12="","н.д.",AF12))),IF(AI12="","н.д.",AI12))</x:f>
        <x:v>0.9096555802938834</x:v>
      </x:c>
      <x:c r="L12" s="35" t="n">
        <x:f t="shared" ref="L12:L44" si="4">IF(ISNUMBER(AO12),IF(AO12&lt;=0,"н.п.",IF(ISNUMBER(X12),X12/AO12,IF(X12="","н.д.",X12))),IF(AO12="","н.д.",AO12))</x:f>
        <x:v>1.8642846411484384</x:v>
      </x:c>
      <x:c r="M12" s="35" t="n">
        <x:f t="shared" si="1">IF(ISNUMBER(AP12),IF(AP12=0,"н.п.",IF(ISNUMBER(X12),X12/AP12,IF(X12="","н.д.",X12))),IF(AP12="","н.д.",AP12))</x:f>
        <x:v>0.1217723786942172</x:v>
      </x:c>
      <x:c r="N12" s="35" t="n">
        <x:f t="shared" si="2">IF(ISNUMBER(AI12),IF(AI12=0,"н.п.",IF(ISNUMBER(X12),X12/AI12,IF(X12="","н.д.",X12))),IF(AI12="","н.д.",AI12))</x:f>
        <x:v>0.21956296467014413</x:v>
      </x:c>
      <x:c r="O12" s="35" t="str">
        <x:f t="shared" ref="O12:S44" si="5">IF(COLUMN()=17,IF(ISNUMBER(AJ12),IF(AJ12&lt;=0,"н.п.",IF(ISNUMBER($AB12),$AB12/AJ12,IF($AB12="","н.д.",$AB12))),IF(AJ12="","н.д.",AJ12)),IF($C$6="Да",IF(ISNUMBER(AJ12),IF(AJ12&lt;=0,"н.п.",IF(ISNUMBER($AA12),$AA12/AJ12,IF($AA12="","н.д.",$AA12))),IF(AJ12="","н.д.",AJ12)),IF(ISNUMBER(AJ12),IF(AJ12&lt;=0,"н.п.",IF(ISNUMBER($Z12),$Z12/AJ12,IF($Z12="","н.д.",$Z12))),IF(AJ12="","н.д.",AJ12))))</x:f>
        <x:v>н.д.</x:v>
      </x:c>
      <x:c r="P12" s="35" t="n">
        <x:f t="shared" si="5">IF(COLUMN()=17,IF(ISNUMBER(AK12),IF(AK12&lt;=0,"н.п.",IF(ISNUMBER($AB12),$AB12/AK12,IF($AB12="","н.д.",$AB12))),IF(AK12="","н.д.",AK12)),IF($C$6="Да",IF(ISNUMBER(AK12),IF(AK12&lt;=0,"н.п.",IF(ISNUMBER($AA12),$AA12/AK12,IF($AA12="","н.д.",$AA12))),IF(AK12="","н.д.",AK12)),IF(ISNUMBER(AK12),IF(AK12&lt;=0,"н.п.",IF(ISNUMBER($Z12),$Z12/AK12,IF($Z12="","н.д.",$Z12))),IF(AK12="","н.д.",AK12))))</x:f>
        <x:v>1.824694375578605</x:v>
      </x:c>
      <x:c r="Q12" s="35" t="str">
        <x:f t="shared" si="5">IF(COLUMN()=17,IF(ISNUMBER(AL12),IF(AL12&lt;=0,"н.п.",IF(ISNUMBER($AB12),$AB12/AL12,IF($AB12="","н.д.",$AB12))),IF(AL12="","н.д.",AL12)),IF($C$6="Да",IF(ISNUMBER(AL12),IF(AL12&lt;=0,"н.п.",IF(ISNUMBER($AA12),$AA12/AL12,IF($AA12="","н.д.",$AA12))),IF(AL12="","н.д.",AL12)),IF(ISNUMBER(AL12),IF(AL12&lt;=0,"н.п.",IF(ISNUMBER($Z12),$Z12/AL12,IF($Z12="","н.д.",$Z12))),IF(AL12="","н.д.",AL12))))</x:f>
        <x:v>н.п.</x:v>
      </x:c>
      <x:c r="R12" s="35" t="str">
        <x:f t="shared" si="5">IF(COLUMN()=17,IF(ISNUMBER(AM12),IF(AM12&lt;=0,"н.п.",IF(ISNUMBER($AB12),$AB12/AM12,IF($AB12="","н.д.",$AB12))),IF(AM12="","н.д.",AM12)),IF($C$6="Да",IF(ISNUMBER(AM12),IF(AM12&lt;=0,"н.п.",IF(ISNUMBER($AA12),$AA12/AM12,IF($AA12="","н.д.",$AA12))),IF(AM12="","н.д.",AM12)),IF(ISNUMBER(AM12),IF(AM12&lt;=0,"н.п.",IF(ISNUMBER($Z12),$Z12/AM12,IF($Z12="","н.д.",$Z12))),IF(AM12="","н.д.",AM12))))</x:f>
        <x:v>н.п.</x:v>
      </x:c>
      <x:c r="S12" s="35" t="str">
        <x:f t="shared" si="5">IF(COLUMN()=17,IF(ISNUMBER(AN12),IF(AN12&lt;=0,"н.п.",IF(ISNUMBER($AB12),$AB12/AN12,IF($AB12="","н.д.",$AB12))),IF(AN12="","н.д.",AN12)),IF($C$6="Да",IF(ISNUMBER(AN12),IF(AN12&lt;=0,"н.п.",IF(ISNUMBER($AA12),$AA12/AN12,IF($AA12="","н.д.",$AA12))),IF(AN12="","н.д.",AN12)),IF(ISNUMBER(AN12),IF(AN12&lt;=0,"н.п.",IF(ISNUMBER($Z12),$Z12/AN12,IF($Z12="","н.д.",$Z12))),IF(AN12="","н.д.",AN12))))</x:f>
        <x:v>н.д.</x:v>
      </x:c>
      <x:c r="T12" s="3"/>
      <x:c r="U12" s="51" t="n">
        <x:f>Котировки!C4</x:f>
        <x:v>93.515714286</x:v>
      </x:c>
      <x:c r="V12" s="51" t="n">
        <x:f>Котировки!E4</x:f>
        <x:v>23673512900</x:v>
      </x:c>
      <x:c r="W12" s="53"/>
      <x:c r="X12" s="31" t="n">
        <x:f t="shared" ref="X12:X44" si="6">IF($C$5="Да",IF(ISNUMBER(W12),IF(ISNUMBER(U12),U12*W12/10^6,IF(U12="","н.д.",U12)),IF(W12="","н.д.",W12)),IF(ISNUMBER(V12),IF(ISNUMBER(U12),U12*V12/10^6,IF(U12="","н.д.",U12)),IF(V12="","н.д.",V12)))</x:f>
        <x:v>2213845.4685023353</x:v>
      </x:c>
      <x:c r="Y12" s="3"/>
      <x:c r="Z12" s="31" t="n">
        <x:f>IF(ISNUMBER('Фин.показатели TTM'!E8),'Фин.показатели TTM'!E8,IF('Фин.показатели TTM'!E8="",IF(ISNUMBER('Фин.показатели TTM'!R8),'Фин.показатели TTM'!R8,IF('Фин.показатели TTM'!R8="","н.д.",'Фин.показатели TTM'!R8)),'Фин.показатели TTM'!E8))</x:f>
        <x:v>6108148</x:v>
      </x:c>
      <x:c r="AA12" s="31" t="str">
        <x:f>IF(ISNUMBER('Фин.показатели TTM'!F8),'Фин.показатели TTM'!F8,IF('Фин.показатели TTM'!F8="","н.д.",'Фин.показатели TTM'!F8))</x:f>
        <x:v>н.д.</x:v>
      </x:c>
      <x:c r="AB12" s="31" t="str">
        <x:f>IF(ISNUMBER('Фин.показатели TTM'!G8),'Фин.показатели TTM'!G8,IF('Фин.показатели TTM'!G8="",IF(ISNUMBER('Фин.показатели TTM'!Y8),'Фин.показатели TTM'!Y8,IF('Фин.показатели TTM'!Y8="","н.д.",'Фин.показатели TTM'!Y8)),'Фин.показатели TTM'!G8))</x:f>
        <x:v>н.п.</x:v>
      </x:c>
      <x:c r="AC12" s="34">
        <x:v>850031</x:v>
      </x:c>
      <x:c r="AD12" s="34" t="n">
        <x:f>Котировки!D4*Котировки!F4/10^6</x:f>
        <x:v>0</x:v>
      </x:c>
      <x:c r="AE12" s="34"/>
      <x:c r="AF12" s="31" t="n">
        <x:f t="shared" ref="AF12:AF44" si="7">IF($C$6="Да",IF(ISNUMBER(AA12),IF(ISNUMBER(X12),IF(COUNTIF(AC12:AE12,"н.д.")&gt;0,"н.д.",X12+AA12+SUM(AC12:AE12)),IF(X12="","н.д.",X12)),IF(AA12="","н.д.",AA12)),IF(ISNUMBER(Z12),IF(ISNUMBER(X12),IF(COUNTIF(AC12:AE12,"н.д.")&gt;0,"н.д.",X12+Z12+SUM(AC12:AE12)),IF(X12="","н.д.",X12)),IF(Z12="","н.д.",Z12)))</x:f>
        <x:v>9172024.468502335</x:v>
      </x:c>
      <x:c r="AG12" s="31" t="str">
        <x:f t="shared" ref="AG12:AG44" si="8">IF(ISNUMBER(AB12),IF(ISNUMBER(X12),IF(COUNTIF(AC12:AE12,"н.д.")&gt;0,"н.д.",X12+AB12+SUM(AC12:AE12)),IF(X12="","н.д.",X12)),IF(AB12="","н.д.",AB12))</x:f>
        <x:v>н.п.</x:v>
      </x:c>
      <x:c r="AH12" s="3"/>
      <x:c r="AI12" s="31" t="n">
        <x:f>IF(ISNUMBER('Фин.показатели TTM'!H8),'Фин.показатели TTM'!H8,IF('Фин.показатели TTM'!H8="","н.д.",'Фин.показатели TTM'!H8))</x:f>
        <x:v>10082964</x:v>
      </x:c>
      <x:c r="AJ12" s="31" t="str">
        <x:f>IF(ISNUMBER('Фин.показатели TTM'!I8),'Фин.показатели TTM'!I8,IF('Фин.показатели TTM'!I8="",IF(ISNUMBER('Фин.показатели TTM'!Z8),'Фин.показатели TTM'!Z8,IF('Фин.показатели TTM'!Z8="","н.д.",'Фин.показатели TTM'!Z8)),'Фин.показатели TTM'!I8))</x:f>
        <x:v>н.д.</x:v>
      </x:c>
      <x:c r="AK12" s="31" t="n">
        <x:f>IF(ISNUMBER('Фин.показатели TTM'!J8),'Фин.показатели TTM'!J8,IF('Фин.показатели TTM'!J8="","н.д.",'Фин.показатели TTM'!J8))</x:f>
        <x:v>3347491</x:v>
      </x:c>
      <x:c r="AL12" s="31" t="str">
        <x:f>IF(ISNUMBER('Фин.показатели TTM'!K8),'Фин.показатели TTM'!K8,IF('Фин.показатели TTM'!K8="",IF(ISNUMBER('Фин.показатели TTM'!AI8),'Фин.показатели TTM'!AI8,IF('Фин.показатели TTM'!AI8="","н.д.",'Фин.показатели TTM'!AI8)),'Фин.показатели TTM'!K8))</x:f>
        <x:v>н.п.</x:v>
      </x:c>
      <x:c r="AM12" s="31" t="str">
        <x:f>IF(ISNUMBER('Фин.показатели TTM'!L8),'Фин.показатели TTM'!L8,IF('Фин.показатели TTM'!L8="",IF(ISNUMBER('Фин.показатели TTM'!AK8),'Фин.показатели TTM'!AK8,IF('Фин.показатели TTM'!AK8="","н.д.",'Фин.показатели TTM'!AK8)),'Фин.показатели TTM'!L8))</x:f>
        <x:v>н.п.</x:v>
      </x:c>
      <x:c r="AN12" s="31" t="str">
        <x:f>IF(ISNUMBER('Фин.показатели TTM'!M8),'Фин.показатели TTM'!M8,IF('Фин.показатели TTM'!M8="","н.д.",'Фин.показатели TTM'!M8))</x:f>
        <x:v>н.д.</x:v>
      </x:c>
      <x:c r="AO12" s="31" t="n">
        <x:f>IF(ISNUMBER('Фин.показатели TTM'!N8),'Фин.показатели TTM'!N8,IF('Фин.показатели TTM'!N8="","н.д.",'Фин.показатели TTM'!N8))</x:f>
        <x:v>1187504</x:v>
      </x:c>
      <x:c r="AP12" s="31" t="n">
        <x:f>IF(ISNUMBER('Фин.показатели TTM'!O8),'Фин.показатели TTM'!O8,IF('Фин.показатели TTM'!O8="","н.д.",'Фин.показатели TTM'!O8))</x:f>
        <x:v>18180194</x:v>
      </x:c>
      <x:c r="AQ12" s="3"/>
      <x:c r="AR12" s="3"/>
    </x:row>
    <x:row r="13">
      <x:c r="B13" s="3">
        <x:v>3</x:v>
      </x:c>
      <x:c r="C13" s="3" t="s">
        <x:v>73</x:v>
      </x:c>
      <x:c r="D13" s="50" t="s">
        <x:v>74</x:v>
      </x:c>
      <x:c r="E13" s="3"/>
      <x:c r="F13" s="35" t="str">
        <x:f t="shared" si="3">IF(COLUMN()=8,IF(ISNUMBER(AJ13),IF(AJ13&lt;=0,"н.п.",IF(ISNUMBER($AG13),$AG13/AJ13,IF($AG13="","н.д.",$AG13))),IF(AJ13="","н.д.",AJ13)),IF(ISNUMBER(AJ13),IF(AJ13&lt;=0,"н.п.",IF(ISNUMBER($AF13),$AF13/AJ13,IF($AF13="","н.д.",$AF13))),IF(AJ13="","н.д.",AJ13)))</x:f>
        <x:v>н.д.</x:v>
      </x:c>
      <x:c r="G13" s="35" t="n">
        <x:f t="shared" si="3">IF(COLUMN()=8,IF(ISNUMBER(AK13),IF(AK13&lt;=0,"н.п.",IF(ISNUMBER($AG13),$AG13/AK13,IF($AG13="","н.д.",$AG13))),IF(AK13="","н.д.",AK13)),IF(ISNUMBER(AK13),IF(AK13&lt;=0,"н.п.",IF(ISNUMBER($AF13),$AF13/AK13,IF($AF13="","н.д.",$AF13))),IF(AK13="","н.д.",AK13)))</x:f>
        <x:v>4.738215586609501</x:v>
      </x:c>
      <x:c r="H13" s="35" t="str">
        <x:f t="shared" si="3">IF(COLUMN()=8,IF(ISNUMBER(AL13),IF(AL13&lt;=0,"н.п.",IF(ISNUMBER($AG13),$AG13/AL13,IF($AG13="","н.д.",$AG13))),IF(AL13="","н.д.",AL13)),IF(ISNUMBER(AL13),IF(AL13&lt;=0,"н.п.",IF(ISNUMBER($AF13),$AF13/AL13,IF($AF13="","н.д.",$AF13))),IF(AL13="","н.д.",AL13)))</x:f>
        <x:v>н.п.</x:v>
      </x:c>
      <x:c r="I13" s="35" t="str">
        <x:f t="shared" si="3">IF(COLUMN()=8,IF(ISNUMBER(AM13),IF(AM13&lt;=0,"н.п.",IF(ISNUMBER($AG13),$AG13/AM13,IF($AG13="","н.д.",$AG13))),IF(AM13="","н.д.",AM13)),IF(ISNUMBER(AM13),IF(AM13&lt;=0,"н.п.",IF(ISNUMBER($AF13),$AF13/AM13,IF($AF13="","н.д.",$AF13))),IF(AM13="","н.д.",AM13)))</x:f>
        <x:v>н.д.</x:v>
      </x:c>
      <x:c r="J13" s="35" t="str">
        <x:f t="shared" si="3">IF(COLUMN()=8,IF(ISNUMBER(AN13),IF(AN13&lt;=0,"н.п.",IF(ISNUMBER($AG13),$AG13/AN13,IF($AG13="","н.д.",$AG13))),IF(AN13="","н.д.",AN13)),IF(ISNUMBER(AN13),IF(AN13&lt;=0,"н.п.",IF(ISNUMBER($AF13),$AF13/AN13,IF($AF13="","н.д.",$AF13))),IF(AN13="","н.д.",AN13)))</x:f>
        <x:v>н.д.</x:v>
      </x:c>
      <x:c r="K13" s="35" t="n">
        <x:f t="shared" si="0">IF(ISNUMBER(AI13),IF(AI13=0,"н.п.",IF(ISNUMBER(AF13),AF13/AI13,IF(AF13="","н.д.",AF13))),IF(AI13="","н.д.",AI13))</x:f>
        <x:v>0.9958445963485703</x:v>
      </x:c>
      <x:c r="L13" s="35" t="n">
        <x:f t="shared" si="4">IF(ISNUMBER(AO13),IF(AO13&lt;=0,"н.п.",IF(ISNUMBER(X13),X13/AO13,IF(X13="","н.д.",X13))),IF(AO13="","н.д.",AO13))</x:f>
        <x:v>8.836328605913096</x:v>
      </x:c>
      <x:c r="M13" s="35" t="n">
        <x:f t="shared" si="1">IF(ISNUMBER(AP13),IF(AP13=0,"н.п.",IF(ISNUMBER(X13),X13/AP13,IF(X13="","н.д.",X13))),IF(AP13="","н.д.",AP13))</x:f>
        <x:v>3.6444515874629655</x:v>
      </x:c>
      <x:c r="N13" s="35" t="n">
        <x:f t="shared" si="2">IF(ISNUMBER(AI13),IF(AI13=0,"н.п.",IF(ISNUMBER(X13),X13/AI13,IF(X13="","н.д.",X13))),IF(AI13="","н.д.",AI13))</x:f>
        <x:v>0.9484577131147189</x:v>
      </x:c>
      <x:c r="O13" s="35" t="str">
        <x:f t="shared" si="5">IF(COLUMN()=17,IF(ISNUMBER(AJ13),IF(AJ13&lt;=0,"н.п.",IF(ISNUMBER($AB13),$AB13/AJ13,IF($AB13="","н.д.",$AB13))),IF(AJ13="","н.д.",AJ13)),IF($C$6="Да",IF(ISNUMBER(AJ13),IF(AJ13&lt;=0,"н.п.",IF(ISNUMBER($AA13),$AA13/AJ13,IF($AA13="","н.д.",$AA13))),IF(AJ13="","н.д.",AJ13)),IF(ISNUMBER(AJ13),IF(AJ13&lt;=0,"н.п.",IF(ISNUMBER($Z13),$Z13/AJ13,IF($Z13="","н.д.",$Z13))),IF(AJ13="","н.д.",AJ13))))</x:f>
        <x:v>н.д.</x:v>
      </x:c>
      <x:c r="P13" s="35" t="n">
        <x:f t="shared" si="5">IF(COLUMN()=17,IF(ISNUMBER(AK13),IF(AK13&lt;=0,"н.п.",IF(ISNUMBER($AB13),$AB13/AK13,IF($AB13="","н.д.",$AB13))),IF(AK13="","н.д.",AK13)),IF($C$6="Да",IF(ISNUMBER(AK13),IF(AK13&lt;=0,"н.п.",IF(ISNUMBER($AA13),$AA13/AK13,IF($AA13="","н.д.",$AA13))),IF(AK13="","н.д.",AK13)),IF(ISNUMBER(AK13),IF(AK13&lt;=0,"н.п.",IF(ISNUMBER($Z13),$Z13/AK13,IF($Z13="","н.д.",$Z13))),IF(AK13="","н.д.",AK13))))</x:f>
        <x:v>0.22546617169260405</x:v>
      </x:c>
      <x:c r="Q13" s="35" t="str">
        <x:f t="shared" si="5">IF(COLUMN()=17,IF(ISNUMBER(AL13),IF(AL13&lt;=0,"н.п.",IF(ISNUMBER($AB13),$AB13/AL13,IF($AB13="","н.д.",$AB13))),IF(AL13="","н.д.",AL13)),IF($C$6="Да",IF(ISNUMBER(AL13),IF(AL13&lt;=0,"н.п.",IF(ISNUMBER($AA13),$AA13/AL13,IF($AA13="","н.д.",$AA13))),IF(AL13="","н.д.",AL13)),IF(ISNUMBER(AL13),IF(AL13&lt;=0,"н.п.",IF(ISNUMBER($Z13),$Z13/AL13,IF($Z13="","н.д.",$Z13))),IF(AL13="","н.д.",AL13))))</x:f>
        <x:v>н.п.</x:v>
      </x:c>
      <x:c r="R13" s="35" t="str">
        <x:f t="shared" si="5">IF(COLUMN()=17,IF(ISNUMBER(AM13),IF(AM13&lt;=0,"н.п.",IF(ISNUMBER($AB13),$AB13/AM13,IF($AB13="","н.д.",$AB13))),IF(AM13="","н.д.",AM13)),IF($C$6="Да",IF(ISNUMBER(AM13),IF(AM13&lt;=0,"н.п.",IF(ISNUMBER($AA13),$AA13/AM13,IF($AA13="","н.д.",$AA13))),IF(AM13="","н.д.",AM13)),IF(ISNUMBER(AM13),IF(AM13&lt;=0,"н.п.",IF(ISNUMBER($Z13),$Z13/AM13,IF($Z13="","н.д.",$Z13))),IF(AM13="","н.д.",AM13))))</x:f>
        <x:v>н.д.</x:v>
      </x:c>
      <x:c r="S13" s="35" t="str">
        <x:f t="shared" si="5">IF(COLUMN()=17,IF(ISNUMBER(AN13),IF(AN13&lt;=0,"н.п.",IF(ISNUMBER($AB13),$AB13/AN13,IF($AB13="","н.д.",$AB13))),IF(AN13="","н.д.",AN13)),IF($C$6="Да",IF(ISNUMBER(AN13),IF(AN13&lt;=0,"н.п.",IF(ISNUMBER($AA13),$AA13/AN13,IF($AA13="","н.д.",$AA13))),IF(AN13="","н.д.",AN13)),IF(ISNUMBER(AN13),IF(AN13&lt;=0,"н.п.",IF(ISNUMBER($Z13),$Z13/AN13,IF($Z13="","н.д.",$Z13))),IF(AN13="","н.д.",AN13))))</x:f>
        <x:v>н.д.</x:v>
      </x:c>
      <x:c r="T13" s="3"/>
      <x:c r="U13" s="51" t="n">
        <x:f>Котировки!C5</x:f>
        <x:v>3730.404761905</x:v>
      </x:c>
      <x:c r="V13" s="51" t="n">
        <x:f>Котировки!E5</x:f>
        <x:v>396907079</x:v>
      </x:c>
      <x:c r="W13" s="53"/>
      <x:c r="X13" s="31" t="n">
        <x:f t="shared" si="6">IF($C$5="Да",IF(ISNUMBER(W13),IF(ISNUMBER(U13),U13*W13/10^6,IF(U13="","н.д.",U13)),IF(W13="","н.д.",W13)),IF(ISNUMBER(V13),IF(ISNUMBER(U13),U13*V13/10^6,IF(U13="","н.д.",U13)),IF(V13="","н.д.",V13)))</x:f>
        <x:v>1480624.057535404</x:v>
      </x:c>
      <x:c r="Y13" s="3"/>
      <x:c r="Z13" s="31" t="n">
        <x:f>IF(ISNUMBER('Фин.показатели TTM'!E9),'Фин.показатели TTM'!E9,IF('Фин.показатели TTM'!E9="",IF(ISNUMBER('Фин.показатели TTM'!R9),'Фин.показатели TTM'!R9,IF('Фин.показатели TTM'!R9="","н.д.",'Фин.показатели TTM'!R9)),'Фин.показатели TTM'!E9))</x:f>
        <x:v>73975</x:v>
      </x:c>
      <x:c r="AA13" s="31" t="n">
        <x:f>IF(ISNUMBER('Фин.показатели TTM'!F9),'Фин.показатели TTM'!F9,IF('Фин.показатели TTM'!F9="","н.д.",'Фин.показатели TTM'!F9))</x:f>
        <x:v>7000</x:v>
      </x:c>
      <x:c r="AB13" s="31" t="str">
        <x:f>IF(ISNUMBER('Фин.показатели TTM'!G9),'Фин.показатели TTM'!G9,IF('Фин.показатели TTM'!G9="",IF(ISNUMBER('Фин.показатели TTM'!Y9),'Фин.показатели TTM'!Y9,IF('Фин.показатели TTM'!Y9="","н.д.",'Фин.показатели TTM'!Y9)),'Фин.показатели TTM'!G9))</x:f>
        <x:v>н.п.</x:v>
      </x:c>
      <x:c r="AC13" s="34">
        <x:v>0</x:v>
      </x:c>
      <x:c r="AD13" s="34" t="n">
        <x:f>Котировки!D5*Котировки!F5/10^6</x:f>
        <x:v>0</x:v>
      </x:c>
      <x:c r="AE13" s="34"/>
      <x:c r="AF13" s="31" t="n">
        <x:f t="shared" si="7">IF($C$6="Да",IF(ISNUMBER(AA13),IF(ISNUMBER(X13),IF(COUNTIF(AC13:AE13,"н.д.")&gt;0,"н.д.",X13+AA13+SUM(AC13:AE13)),IF(X13="","н.д.",X13)),IF(AA13="","н.д.",AA13)),IF(ISNUMBER(Z13),IF(ISNUMBER(X13),IF(COUNTIF(AC13:AE13,"н.д.")&gt;0,"н.д.",X13+Z13+SUM(AC13:AE13)),IF(X13="","н.д.",X13)),IF(Z13="","н.д.",Z13)))</x:f>
        <x:v>1554599.057535404</x:v>
      </x:c>
      <x:c r="AG13" s="31" t="str">
        <x:f t="shared" si="8">IF(ISNUMBER(AB13),IF(ISNUMBER(X13),IF(COUNTIF(AC13:AE13,"н.д.")&gt;0,"н.д.",X13+AB13+SUM(AC13:AE13)),IF(X13="","н.д.",X13)),IF(AB13="","н.д.",AB13))</x:f>
        <x:v>н.п.</x:v>
      </x:c>
      <x:c r="AH13" s="3"/>
      <x:c r="AI13" s="31" t="n">
        <x:f>IF(ISNUMBER('Фин.показатели TTM'!H9),'Фин.показатели TTM'!H9,IF('Фин.показатели TTM'!H9="","н.д.",'Фин.показатели TTM'!H9))</x:f>
        <x:v>1561086</x:v>
      </x:c>
      <x:c r="AJ13" s="31" t="str">
        <x:f>IF(ISNUMBER('Фин.показатели TTM'!I9),'Фин.показатели TTM'!I9,IF('Фин.показатели TTM'!I9="",IF(ISNUMBER('Фин.показатели TTM'!Z9),'Фин.показатели TTM'!Z9,IF('Фин.показатели TTM'!Z9="","н.д.",'Фин.показатели TTM'!Z9)),'Фин.показатели TTM'!I9))</x:f>
        <x:v>н.д.</x:v>
      </x:c>
      <x:c r="AK13" s="31" t="n">
        <x:f>IF(ISNUMBER('Фин.показатели TTM'!J9),'Фин.показатели TTM'!J9,IF('Фин.показатели TTM'!J9="","н.д.",'Фин.показатели TTM'!J9))</x:f>
        <x:v>328098</x:v>
      </x:c>
      <x:c r="AL13" s="31" t="str">
        <x:f>IF(ISNUMBER('Фин.показатели TTM'!K9),'Фин.показатели TTM'!K9,IF('Фин.показатели TTM'!K9="",IF(ISNUMBER('Фин.показатели TTM'!AI9),'Фин.показатели TTM'!AI9,IF('Фин.показатели TTM'!AI9="","н.д.",'Фин.показатели TTM'!AI9)),'Фин.показатели TTM'!K9))</x:f>
        <x:v>н.п.</x:v>
      </x:c>
      <x:c r="AM13" s="31" t="str">
        <x:f>IF(ISNUMBER('Фин.показатели TTM'!L9),'Фин.показатели TTM'!L9,IF('Фин.показатели TTM'!L9="",IF(ISNUMBER('Фин.показатели TTM'!AK9),'Фин.показатели TTM'!AK9,IF('Фин.показатели TTM'!AK9="","н.д.",'Фин.показатели TTM'!AK9)),'Фин.показатели TTM'!L9))</x:f>
        <x:v>н.д.</x:v>
      </x:c>
      <x:c r="AN13" s="31" t="str">
        <x:f>IF(ISNUMBER('Фин.показатели TTM'!M9),'Фин.показатели TTM'!M9,IF('Фин.показатели TTM'!M9="","н.д.",'Фин.показатели TTM'!M9))</x:f>
        <x:v>н.д.</x:v>
      </x:c>
      <x:c r="AO13" s="31" t="n">
        <x:f>IF(ISNUMBER('Фин.показатели TTM'!N9),'Фин.показатели TTM'!N9,IF('Фин.показатели TTM'!N9="","н.д.",'Фин.показатели TTM'!N9))</x:f>
        <x:v>167561</x:v>
      </x:c>
      <x:c r="AP13" s="31" t="n">
        <x:f>IF(ISNUMBER('Фин.показатели TTM'!O9),'Фин.показатели TTM'!O9,IF('Фин.показатели TTM'!O9="","н.д.",'Фин.показатели TTM'!O9))</x:f>
        <x:v>406268</x:v>
      </x:c>
      <x:c r="AQ13" s="3"/>
      <x:c r="AR13" s="3"/>
    </x:row>
    <x:row r="14">
      <x:c r="B14" s="3">
        <x:v>4</x:v>
      </x:c>
      <x:c r="C14" s="3" t="s">
        <x:v>75</x:v>
      </x:c>
      <x:c r="D14" s="50" t="s">
        <x:v>76</x:v>
      </x:c>
      <x:c r="E14" s="3"/>
      <x:c r="F14" s="35" t="str">
        <x:f t="shared" si="3">IF(COLUMN()=8,IF(ISNUMBER(AJ14),IF(AJ14&lt;=0,"н.п.",IF(ISNUMBER($AG14),$AG14/AJ14,IF($AG14="","н.д.",$AG14))),IF(AJ14="","н.д.",AJ14)),IF(ISNUMBER(AJ14),IF(AJ14&lt;=0,"н.п.",IF(ISNUMBER($AF14),$AF14/AJ14,IF($AF14="","н.д.",$AF14))),IF(AJ14="","н.д.",AJ14)))</x:f>
        <x:v>н.п.</x:v>
      </x:c>
      <x:c r="G14" s="35" t="str">
        <x:f t="shared" si="3">IF(COLUMN()=8,IF(ISNUMBER(AK14),IF(AK14&lt;=0,"н.п.",IF(ISNUMBER($AG14),$AG14/AK14,IF($AG14="","н.д.",$AG14))),IF(AK14="","н.д.",AK14)),IF(ISNUMBER(AK14),IF(AK14&lt;=0,"н.п.",IF(ISNUMBER($AF14),$AF14/AK14,IF($AF14="","н.д.",$AF14))),IF(AK14="","н.д.",AK14)))</x:f>
        <x:v>н.п.</x:v>
      </x:c>
      <x:c r="H14" s="35" t="str">
        <x:f t="shared" si="3">IF(COLUMN()=8,IF(ISNUMBER(AL14),IF(AL14&lt;=0,"н.п.",IF(ISNUMBER($AG14),$AG14/AL14,IF($AG14="","н.д.",$AG14))),IF(AL14="","н.д.",AL14)),IF(ISNUMBER(AL14),IF(AL14&lt;=0,"н.п.",IF(ISNUMBER($AF14),$AF14/AL14,IF($AF14="","н.д.",$AF14))),IF(AL14="","н.д.",AL14)))</x:f>
        <x:v>н.п.</x:v>
      </x:c>
      <x:c r="I14" s="35" t="str">
        <x:f t="shared" si="3">IF(COLUMN()=8,IF(ISNUMBER(AM14),IF(AM14&lt;=0,"н.п.",IF(ISNUMBER($AG14),$AG14/AM14,IF($AG14="","н.д.",$AG14))),IF(AM14="","н.д.",AM14)),IF(ISNUMBER(AM14),IF(AM14&lt;=0,"н.п.",IF(ISNUMBER($AF14),$AF14/AM14,IF($AF14="","н.д.",$AF14))),IF(AM14="","н.д.",AM14)))</x:f>
        <x:v>н.п.</x:v>
      </x:c>
      <x:c r="J14" s="35" t="str">
        <x:f t="shared" si="3">IF(COLUMN()=8,IF(ISNUMBER(AN14),IF(AN14&lt;=0,"н.п.",IF(ISNUMBER($AG14),$AG14/AN14,IF($AG14="","н.д.",$AG14))),IF(AN14="","н.д.",AN14)),IF(ISNUMBER(AN14),IF(AN14&lt;=0,"н.п.",IF(ISNUMBER($AF14),$AF14/AN14,IF($AF14="","н.д.",$AF14))),IF(AN14="","н.д.",AN14)))</x:f>
        <x:v>н.д.</x:v>
      </x:c>
      <x:c r="K14" s="35" t="str">
        <x:f t="shared" si="0">IF(ISNUMBER(AI14),IF(AI14=0,"н.п.",IF(ISNUMBER(AF14),AF14/AI14,IF(AF14="","н.д.",AF14))),IF(AI14="","н.д.",AI14))</x:f>
        <x:v>н.п.</x:v>
      </x:c>
      <x:c r="L14" s="35" t="n">
        <x:f t="shared" si="4">IF(ISNUMBER(AO14),IF(AO14&lt;=0,"н.п.",IF(ISNUMBER(X14),X14/AO14,IF(X14="","н.д.",X14))),IF(AO14="","н.д.",AO14))</x:f>
        <x:v>3.754967804735158</x:v>
      </x:c>
      <x:c r="M14" s="35" t="n">
        <x:f t="shared" si="1">IF(ISNUMBER(AP14),IF(AP14=0,"н.п.",IF(ISNUMBER(X14),X14/AP14,IF(X14="","н.д.",X14))),IF(AP14="","н.д.",AP14))</x:f>
        <x:v>0.9150153972167657</x:v>
      </x:c>
      <x:c r="N14" s="35" t="n">
        <x:f t="shared" si="2">IF(ISNUMBER(AI14),IF(AI14=0,"н.п.",IF(ISNUMBER(X14),X14/AI14,IF(X14="","н.д.",X14))),IF(AI14="","н.д.",AI14))</x:f>
        <x:v>0.45945223548769987</x:v>
      </x:c>
      <x:c r="O14" s="35" t="str">
        <x:f t="shared" si="5">IF(COLUMN()=17,IF(ISNUMBER(AJ14),IF(AJ14&lt;=0,"н.п.",IF(ISNUMBER($AB14),$AB14/AJ14,IF($AB14="","н.д.",$AB14))),IF(AJ14="","н.д.",AJ14)),IF($C$6="Да",IF(ISNUMBER(AJ14),IF(AJ14&lt;=0,"н.п.",IF(ISNUMBER($AA14),$AA14/AJ14,IF($AA14="","н.д.",$AA14))),IF(AJ14="","н.д.",AJ14)),IF(ISNUMBER(AJ14),IF(AJ14&lt;=0,"н.п.",IF(ISNUMBER($Z14),$Z14/AJ14,IF($Z14="","н.д.",$Z14))),IF(AJ14="","н.д.",AJ14))))</x:f>
        <x:v>н.п.</x:v>
      </x:c>
      <x:c r="P14" s="35" t="str">
        <x:f t="shared" si="5">IF(COLUMN()=17,IF(ISNUMBER(AK14),IF(AK14&lt;=0,"н.п.",IF(ISNUMBER($AB14),$AB14/AK14,IF($AB14="","н.д.",$AB14))),IF(AK14="","н.д.",AK14)),IF($C$6="Да",IF(ISNUMBER(AK14),IF(AK14&lt;=0,"н.п.",IF(ISNUMBER($AA14),$AA14/AK14,IF($AA14="","н.д.",$AA14))),IF(AK14="","н.д.",AK14)),IF(ISNUMBER(AK14),IF(AK14&lt;=0,"н.п.",IF(ISNUMBER($Z14),$Z14/AK14,IF($Z14="","н.д.",$Z14))),IF(AK14="","н.д.",AK14))))</x:f>
        <x:v>н.п.</x:v>
      </x:c>
      <x:c r="Q14" s="35" t="str">
        <x:f t="shared" si="5">IF(COLUMN()=17,IF(ISNUMBER(AL14),IF(AL14&lt;=0,"н.п.",IF(ISNUMBER($AB14),$AB14/AL14,IF($AB14="","н.д.",$AB14))),IF(AL14="","н.д.",AL14)),IF($C$6="Да",IF(ISNUMBER(AL14),IF(AL14&lt;=0,"н.п.",IF(ISNUMBER($AA14),$AA14/AL14,IF($AA14="","н.д.",$AA14))),IF(AL14="","н.д.",AL14)),IF(ISNUMBER(AL14),IF(AL14&lt;=0,"н.п.",IF(ISNUMBER($Z14),$Z14/AL14,IF($Z14="","н.д.",$Z14))),IF(AL14="","н.д.",AL14))))</x:f>
        <x:v>н.п.</x:v>
      </x:c>
      <x:c r="R14" s="35" t="str">
        <x:f t="shared" si="5">IF(COLUMN()=17,IF(ISNUMBER(AM14),IF(AM14&lt;=0,"н.п.",IF(ISNUMBER($AB14),$AB14/AM14,IF($AB14="","н.д.",$AB14))),IF(AM14="","н.д.",AM14)),IF($C$6="Да",IF(ISNUMBER(AM14),IF(AM14&lt;=0,"н.п.",IF(ISNUMBER($AA14),$AA14/AM14,IF($AA14="","н.д.",$AA14))),IF(AM14="","н.д.",AM14)),IF(ISNUMBER(AM14),IF(AM14&lt;=0,"н.п.",IF(ISNUMBER($Z14),$Z14/AM14,IF($Z14="","н.д.",$Z14))),IF(AM14="","н.д.",AM14))))</x:f>
        <x:v>н.п.</x:v>
      </x:c>
      <x:c r="S14" s="35" t="str">
        <x:f t="shared" si="5">IF(COLUMN()=17,IF(ISNUMBER(AN14),IF(AN14&lt;=0,"н.п.",IF(ISNUMBER($AB14),$AB14/AN14,IF($AB14="","н.д.",$AB14))),IF(AN14="","н.д.",AN14)),IF($C$6="Да",IF(ISNUMBER(AN14),IF(AN14&lt;=0,"н.п.",IF(ISNUMBER($AA14),$AA14/AN14,IF($AA14="","н.д.",$AA14))),IF(AN14="","н.д.",AN14)),IF(ISNUMBER(AN14),IF(AN14&lt;=0,"н.п.",IF(ISNUMBER($Z14),$Z14/AN14,IF($Z14="","н.д.",$Z14))),IF(AN14="","н.д.",AN14))))</x:f>
        <x:v>н.д.</x:v>
      </x:c>
      <x:c r="T14" s="3"/>
      <x:c r="U14" s="51" t="n">
        <x:f>Котировки!C6</x:f>
        <x:v>258.124761905</x:v>
      </x:c>
      <x:c r="V14" s="51" t="n">
        <x:f>Котировки!E6</x:f>
        <x:v>2682747860</x:v>
      </x:c>
      <x:c r="W14" s="53"/>
      <x:c r="X14" s="31" t="n">
        <x:f t="shared" si="6">IF($C$5="Да",IF(ISNUMBER(W14),IF(ISNUMBER(U14),U14*W14/10^6,IF(U14="","н.д.",U14)),IF(W14="","н.д.",W14)),IF(ISNUMBER(V14),IF(ISNUMBER(U14),U14*V14/10^6,IF(U14="","н.д.",U14)),IF(V14="","н.д.",V14)))</x:f>
        <x:v>692483.6526136483</x:v>
      </x:c>
      <x:c r="Y14" s="3"/>
      <x:c r="Z14" s="31" t="str">
        <x:f>IF(ISNUMBER('Фин.показатели TTM'!E10),'Фин.показатели TTM'!E10,IF('Фин.показатели TTM'!E10="",IF(ISNUMBER('Фин.показатели TTM'!R10),'Фин.показатели TTM'!R10,IF('Фин.показатели TTM'!R10="","н.д.",'Фин.показатели TTM'!R10)),'Фин.показатели TTM'!E10))</x:f>
        <x:v>н.п.</x:v>
      </x:c>
      <x:c r="AA14" s="31" t="str">
        <x:f>IF(ISNUMBER('Фин.показатели TTM'!F10),'Фин.показатели TTM'!F10,IF('Фин.показатели TTM'!F10="","н.д.",'Фин.показатели TTM'!F10))</x:f>
        <x:v>н.д.</x:v>
      </x:c>
      <x:c r="AB14" s="31" t="str">
        <x:f>IF(ISNUMBER('Фин.показатели TTM'!G10),'Фин.показатели TTM'!G10,IF('Фин.показатели TTM'!G10="",IF(ISNUMBER('Фин.показатели TTM'!Y10),'Фин.показатели TTM'!Y10,IF('Фин.показатели TTM'!Y10="","н.д.",'Фин.показатели TTM'!Y10)),'Фин.показатели TTM'!G10))</x:f>
        <x:v>н.п.</x:v>
      </x:c>
      <x:c r="AC14" s="34">
        <x:v>112600</x:v>
      </x:c>
      <x:c r="AD14" s="34" t="n">
        <x:f>Котировки!D6*Котировки!F6/10^6</x:f>
        <x:v>0</x:v>
      </x:c>
      <x:c r="AE14" s="34"/>
      <x:c r="AF14" s="31" t="str">
        <x:f t="shared" si="7">IF($C$6="Да",IF(ISNUMBER(AA14),IF(ISNUMBER(X14),IF(COUNTIF(AC14:AE14,"н.д.")&gt;0,"н.д.",X14+AA14+SUM(AC14:AE14)),IF(X14="","н.д.",X14)),IF(AA14="","н.д.",AA14)),IF(ISNUMBER(Z14),IF(ISNUMBER(X14),IF(COUNTIF(AC14:AE14,"н.д.")&gt;0,"н.д.",X14+Z14+SUM(AC14:AE14)),IF(X14="","н.д.",X14)),IF(Z14="","н.д.",Z14)))</x:f>
        <x:v>н.п.</x:v>
      </x:c>
      <x:c r="AG14" s="31" t="str">
        <x:f t="shared" si="8">IF(ISNUMBER(AB14),IF(ISNUMBER(X14),IF(COUNTIF(AC14:AE14,"н.д.")&gt;0,"н.д.",X14+AB14+SUM(AC14:AE14)),IF(X14="","н.д.",X14)),IF(AB14="","н.д.",AB14))</x:f>
        <x:v>н.п.</x:v>
      </x:c>
      <x:c r="AH14" s="3"/>
      <x:c r="AI14" s="31" t="n">
        <x:f>IF(ISNUMBER('Фин.показатели TTM'!H10),'Фин.показатели TTM'!H10,IF('Фин.показатели TTM'!H10="","н.д.",'Фин.показатели TTM'!H10))</x:f>
        <x:v>1507194</x:v>
      </x:c>
      <x:c r="AJ14" s="31" t="n">
        <x:f>IF(ISNUMBER('Фин.показатели TTM'!I10),'Фин.показатели TTM'!I10,IF('Фин.показатели TTM'!I10="",IF(ISNUMBER('Фин.показатели TTM'!Z10),'Фин.показатели TTM'!Z10,IF('Фин.показатели TTM'!Z10="","н.д.",'Фин.показатели TTM'!Z10)),'Фин.показатели TTM'!I10))</x:f>
        <x:v>320143</x:v>
      </x:c>
      <x:c r="AK14" s="31" t="n">
        <x:f>IF(ISNUMBER('Фин.показатели TTM'!J10),'Фин.показатели TTM'!J10,IF('Фин.показатели TTM'!J10="","н.д.",'Фин.показатели TTM'!J10))</x:f>
        <x:v>358205</x:v>
      </x:c>
      <x:c r="AL14" s="31" t="str">
        <x:f>IF(ISNUMBER('Фин.показатели TTM'!K10),'Фин.показатели TTM'!K10,IF('Фин.показатели TTM'!K10="",IF(ISNUMBER('Фин.показатели TTM'!AI10),'Фин.показатели TTM'!AI10,IF('Фин.показатели TTM'!AI10="","н.д.",'Фин.показатели TTM'!AI10)),'Фин.показатели TTM'!K10))</x:f>
        <x:v>н.п.</x:v>
      </x:c>
      <x:c r="AM14" s="31" t="str">
        <x:f>IF(ISNUMBER('Фин.показатели TTM'!L10),'Фин.показатели TTM'!L10,IF('Фин.показатели TTM'!L10="",IF(ISNUMBER('Фин.показатели TTM'!AK10),'Фин.показатели TTM'!AK10,IF('Фин.показатели TTM'!AK10="","н.д.",'Фин.показатели TTM'!AK10)),'Фин.показатели TTM'!L10))</x:f>
        <x:v>н.п.</x:v>
      </x:c>
      <x:c r="AN14" s="31" t="str">
        <x:f>IF(ISNUMBER('Фин.показатели TTM'!M10),'Фин.показатели TTM'!M10,IF('Фин.показатели TTM'!M10="","н.д.",'Фин.показатели TTM'!M10))</x:f>
        <x:v>н.д.</x:v>
      </x:c>
      <x:c r="AO14" s="31" t="n">
        <x:f>IF(ISNUMBER('Фин.показатели TTM'!N10),'Фин.показатели TTM'!N10,IF('Фин.показатели TTM'!N10="","н.д.",'Фин.показатели TTM'!N10))</x:f>
        <x:v>184418</x:v>
      </x:c>
      <x:c r="AP14" s="31" t="n">
        <x:f>IF(ISNUMBER('Фин.показатели TTM'!O10),'Фин.показатели TTM'!O10,IF('Фин.показатели TTM'!O10="","н.д.",'Фин.показатели TTM'!O10))</x:f>
        <x:v>756800</x:v>
      </x:c>
      <x:c r="AQ14" s="3"/>
      <x:c r="AR14" s="3"/>
    </x:row>
    <x:row r="15">
      <x:c r="B15" s="3">
        <x:v>5</x:v>
      </x:c>
      <x:c r="C15" s="3" t="s">
        <x:v>77</x:v>
      </x:c>
      <x:c r="D15" s="50" t="s">
        <x:v>71</x:v>
      </x:c>
      <x:c r="E15" s="3"/>
      <x:c r="F15" s="35" t="str">
        <x:f t="shared" si="3">IF(COLUMN()=8,IF(ISNUMBER(AJ15),IF(AJ15&lt;=0,"н.п.",IF(ISNUMBER($AG15),$AG15/AJ15,IF($AG15="","н.д.",$AG15))),IF(AJ15="","н.д.",AJ15)),IF(ISNUMBER(AJ15),IF(AJ15&lt;=0,"н.п.",IF(ISNUMBER($AF15),$AF15/AJ15,IF($AF15="","н.д.",$AF15))),IF(AJ15="","н.д.",AJ15)))</x:f>
        <x:v>н.д.</x:v>
      </x:c>
      <x:c r="G15" s="35" t="str">
        <x:f t="shared" si="3">IF(COLUMN()=8,IF(ISNUMBER(AK15),IF(AK15&lt;=0,"н.п.",IF(ISNUMBER($AG15),$AG15/AK15,IF($AG15="","н.д.",$AG15))),IF(AK15="","н.д.",AK15)),IF(ISNUMBER(AK15),IF(AK15&lt;=0,"н.п.",IF(ISNUMBER($AF15),$AF15/AK15,IF($AF15="","н.д.",$AF15))),IF(AK15="","н.д.",AK15)))</x:f>
        <x:v>н.д.</x:v>
      </x:c>
      <x:c r="H15" s="35" t="str">
        <x:f t="shared" si="3">IF(COLUMN()=8,IF(ISNUMBER(AL15),IF(AL15&lt;=0,"н.п.",IF(ISNUMBER($AG15),$AG15/AL15,IF($AG15="","н.д.",$AG15))),IF(AL15="","н.д.",AL15)),IF(ISNUMBER(AL15),IF(AL15&lt;=0,"н.п.",IF(ISNUMBER($AF15),$AF15/AL15,IF($AF15="","н.д.",$AF15))),IF(AL15="","н.д.",AL15)))</x:f>
        <x:v>н.п.</x:v>
      </x:c>
      <x:c r="I15" s="35" t="str">
        <x:f t="shared" si="3">IF(COLUMN()=8,IF(ISNUMBER(AM15),IF(AM15&lt;=0,"н.п.",IF(ISNUMBER($AG15),$AG15/AM15,IF($AG15="","н.д.",$AG15))),IF(AM15="","н.д.",AM15)),IF(ISNUMBER(AM15),IF(AM15&lt;=0,"н.п.",IF(ISNUMBER($AF15),$AF15/AM15,IF($AF15="","н.д.",$AF15))),IF(AM15="","н.д.",AM15)))</x:f>
        <x:v>н.п.</x:v>
      </x:c>
      <x:c r="J15" s="35" t="str">
        <x:f t="shared" si="3">IF(COLUMN()=8,IF(ISNUMBER(AN15),IF(AN15&lt;=0,"н.п.",IF(ISNUMBER($AG15),$AG15/AN15,IF($AG15="","н.д.",$AG15))),IF(AN15="","н.д.",AN15)),IF(ISNUMBER(AN15),IF(AN15&lt;=0,"н.п.",IF(ISNUMBER($AF15),$AF15/AN15,IF($AF15="","н.д.",$AF15))),IF(AN15="","н.д.",AN15)))</x:f>
        <x:v>н.д.</x:v>
      </x:c>
      <x:c r="K15" s="35" t="n">
        <x:f t="shared" si="0">IF(ISNUMBER(AI15),IF(AI15=0,"н.п.",IF(ISNUMBER(AF15),AF15/AI15,IF(AF15="","н.д.",AF15))),IF(AI15="","н.д.",AI15))</x:f>
        <x:v>0.7095534644799938</x:v>
      </x:c>
      <x:c r="L15" s="35" t="n">
        <x:f t="shared" si="4">IF(ISNUMBER(AO15),IF(AO15&lt;=0,"н.п.",IF(ISNUMBER(X15),X15/AO15,IF(X15="","н.д.",X15))),IF(AO15="","н.д.",AO15))</x:f>
        <x:v>5.005242491871576</x:v>
      </x:c>
      <x:c r="M15" s="35" t="n">
        <x:f t="shared" si="1">IF(ISNUMBER(AP15),IF(AP15=0,"н.п.",IF(ISNUMBER(X15),X15/AP15,IF(X15="","н.д.",X15))),IF(AP15="","н.д.",AP15))</x:f>
        <x:v>0.9492752378000028</x:v>
      </x:c>
      <x:c r="N15" s="35" t="n">
        <x:f t="shared" si="2">IF(ISNUMBER(AI15),IF(AI15=0,"н.п.",IF(ISNUMBER(X15),X15/AI15,IF(X15="","н.д.",X15))),IF(AI15="","н.д.",AI15))</x:f>
        <x:v>0.7304364808518985</x:v>
      </x:c>
      <x:c r="O15" s="35" t="str">
        <x:f t="shared" si="5">IF(COLUMN()=17,IF(ISNUMBER(AJ15),IF(AJ15&lt;=0,"н.п.",IF(ISNUMBER($AB15),$AB15/AJ15,IF($AB15="","н.д.",$AB15))),IF(AJ15="","н.д.",AJ15)),IF($C$6="Да",IF(ISNUMBER(AJ15),IF(AJ15&lt;=0,"н.п.",IF(ISNUMBER($AA15),$AA15/AJ15,IF($AA15="","н.д.",$AA15))),IF(AJ15="","н.д.",AJ15)),IF(ISNUMBER(AJ15),IF(AJ15&lt;=0,"н.п.",IF(ISNUMBER($Z15),$Z15/AJ15,IF($Z15="","н.д.",$Z15))),IF(AJ15="","н.д.",AJ15))))</x:f>
        <x:v>н.д.</x:v>
      </x:c>
      <x:c r="P15" s="35" t="str">
        <x:f t="shared" si="5">IF(COLUMN()=17,IF(ISNUMBER(AK15),IF(AK15&lt;=0,"н.п.",IF(ISNUMBER($AB15),$AB15/AK15,IF($AB15="","н.д.",$AB15))),IF(AK15="","н.д.",AK15)),IF($C$6="Да",IF(ISNUMBER(AK15),IF(AK15&lt;=0,"н.п.",IF(ISNUMBER($AA15),$AA15/AK15,IF($AA15="","н.д.",$AA15))),IF(AK15="","н.д.",AK15)),IF(ISNUMBER(AK15),IF(AK15&lt;=0,"н.п.",IF(ISNUMBER($Z15),$Z15/AK15,IF($Z15="","н.д.",$Z15))),IF(AK15="","н.д.",AK15))))</x:f>
        <x:v>н.д.</x:v>
      </x:c>
      <x:c r="Q15" s="35" t="str">
        <x:f t="shared" si="5">IF(COLUMN()=17,IF(ISNUMBER(AL15),IF(AL15&lt;=0,"н.п.",IF(ISNUMBER($AB15),$AB15/AL15,IF($AB15="","н.д.",$AB15))),IF(AL15="","н.д.",AL15)),IF($C$6="Да",IF(ISNUMBER(AL15),IF(AL15&lt;=0,"н.п.",IF(ISNUMBER($AA15),$AA15/AL15,IF($AA15="","н.д.",$AA15))),IF(AL15="","н.д.",AL15)),IF(ISNUMBER(AL15),IF(AL15&lt;=0,"н.п.",IF(ISNUMBER($Z15),$Z15/AL15,IF($Z15="","н.д.",$Z15))),IF(AL15="","н.д.",AL15))))</x:f>
        <x:v>н.п.</x:v>
      </x:c>
      <x:c r="R15" s="35" t="str">
        <x:f t="shared" si="5">IF(COLUMN()=17,IF(ISNUMBER(AM15),IF(AM15&lt;=0,"н.п.",IF(ISNUMBER($AB15),$AB15/AM15,IF($AB15="","н.д.",$AB15))),IF(AM15="","н.д.",AM15)),IF($C$6="Да",IF(ISNUMBER(AM15),IF(AM15&lt;=0,"н.п.",IF(ISNUMBER($AA15),$AA15/AM15,IF($AA15="","н.д.",$AA15))),IF(AM15="","н.д.",AM15)),IF(ISNUMBER(AM15),IF(AM15&lt;=0,"н.п.",IF(ISNUMBER($Z15),$Z15/AM15,IF($Z15="","н.д.",$Z15))),IF(AM15="","н.д.",AM15))))</x:f>
        <x:v>н.п.</x:v>
      </x:c>
      <x:c r="S15" s="35" t="str">
        <x:f t="shared" si="5">IF(COLUMN()=17,IF(ISNUMBER(AN15),IF(AN15&lt;=0,"н.п.",IF(ISNUMBER($AB15),$AB15/AN15,IF($AB15="","н.д.",$AB15))),IF(AN15="","н.д.",AN15)),IF($C$6="Да",IF(ISNUMBER(AN15),IF(AN15&lt;=0,"н.п.",IF(ISNUMBER($AA15),$AA15/AN15,IF($AA15="","н.д.",$AA15))),IF(AN15="","н.д.",AN15)),IF(ISNUMBER(AN15),IF(AN15&lt;=0,"н.п.",IF(ISNUMBER($Z15),$Z15/AN15,IF($Z15="","н.д.",$Z15))),IF(AN15="","н.д.",AN15))))</x:f>
        <x:v>н.д.</x:v>
      </x:c>
      <x:c r="T15" s="3"/>
      <x:c r="U15" s="51" t="n">
        <x:f>Котировки!C7</x:f>
        <x:v>610.728571429</x:v>
      </x:c>
      <x:c r="V15" s="51" t="n">
        <x:f>Котировки!E7</x:f>
        <x:v>2178690700</x:v>
      </x:c>
      <x:c r="W15" s="53"/>
      <x:c r="X15" s="31" t="n">
        <x:f t="shared" si="6">IF($C$5="Да",IF(ISNUMBER(W15),IF(ISNUMBER(U15),U15*W15/10^6,IF(U15="","н.д.",U15)),IF(W15="","н.д.",W15)),IF(ISNUMBER(V15),IF(ISNUMBER(U15),U15*V15/10^6,IF(U15="","н.д.",U15)),IF(V15="","н.д.",V15)))</x:f>
        <x:v>1330588.658796648</x:v>
      </x:c>
      <x:c r="Y15" s="3"/>
      <x:c r="Z15" s="31" t="n">
        <x:f>IF(ISNUMBER('Фин.показатели TTM'!E11),'Фин.показатели TTM'!E11,IF('Фин.показатели TTM'!E11="",IF(ISNUMBER('Фин.показатели TTM'!R11),'Фин.показатели TTM'!R11,IF('Фин.показатели TTM'!R11="","н.д.",'Фин.показатели TTM'!R11)),'Фин.показатели TTM'!E11))</x:f>
        <x:v>-133401</x:v>
      </x:c>
      <x:c r="AA15" s="31" t="str">
        <x:f>IF(ISNUMBER('Фин.показатели TTM'!F11),'Фин.показатели TTM'!F11,IF('Фин.показатели TTM'!F11="","н.д.",'Фин.показатели TTM'!F11))</x:f>
        <x:v>н.д.</x:v>
      </x:c>
      <x:c r="AB15" s="31" t="str">
        <x:f>IF(ISNUMBER('Фин.показатели TTM'!G11),'Фин.показатели TTM'!G11,IF('Фин.показатели TTM'!G11="",IF(ISNUMBER('Фин.показатели TTM'!Y11),'Фин.показатели TTM'!Y11,IF('Фин.показатели TTM'!Y11="","н.д.",'Фин.показатели TTM'!Y11)),'Фин.показатели TTM'!G11))</x:f>
        <x:v>н.п.</x:v>
      </x:c>
      <x:c r="AC15" s="34">
        <x:v>8924</x:v>
      </x:c>
      <x:c r="AD15" s="34" t="n">
        <x:f>Котировки!D7*Котировки!F7/10^6</x:f>
        <x:v>86435.76647136535</x:v>
      </x:c>
      <x:c r="AE15" s="34"/>
      <x:c r="AF15" s="31" t="n">
        <x:f t="shared" si="7">IF($C$6="Да",IF(ISNUMBER(AA15),IF(ISNUMBER(X15),IF(COUNTIF(AC15:AE15,"н.д.")&gt;0,"н.д.",X15+AA15+SUM(AC15:AE15)),IF(X15="","н.д.",X15)),IF(AA15="","н.д.",AA15)),IF(ISNUMBER(Z15),IF(ISNUMBER(X15),IF(COUNTIF(AC15:AE15,"н.д.")&gt;0,"н.д.",X15+Z15+SUM(AC15:AE15)),IF(X15="","н.д.",X15)),IF(Z15="","н.д.",Z15)))</x:f>
        <x:v>1292547.4252680135</x:v>
      </x:c>
      <x:c r="AG15" s="31" t="str">
        <x:f t="shared" si="8">IF(ISNUMBER(AB15),IF(ISNUMBER(X15),IF(COUNTIF(AC15:AE15,"н.д.")&gt;0,"н.д.",X15+AB15+SUM(AC15:AE15)),IF(X15="","н.д.",X15)),IF(AB15="","н.д.",AB15))</x:f>
        <x:v>н.п.</x:v>
      </x:c>
      <x:c r="AH15" s="3"/>
      <x:c r="AI15" s="31" t="n">
        <x:f>IF(ISNUMBER('Фин.показатели TTM'!H11),'Фин.показатели TTM'!H11,IF('Фин.показатели TTM'!H11="","н.д.",'Фин.показатели TTM'!H11))</x:f>
        <x:v>1821635</x:v>
      </x:c>
      <x:c r="AJ15" s="31" t="str">
        <x:f>IF(ISNUMBER('Фин.показатели TTM'!I11),'Фин.показатели TTM'!I11,IF('Фин.показатели TTM'!I11="",IF(ISNUMBER('Фин.показатели TTM'!Z11),'Фин.показатели TTM'!Z11,IF('Фин.показатели TTM'!Z11="","н.д.",'Фин.показатели TTM'!Z11)),'Фин.показатели TTM'!I11))</x:f>
        <x:v>н.д.</x:v>
      </x:c>
      <x:c r="AK15" s="31" t="str">
        <x:f>IF(ISNUMBER('Фин.показатели TTM'!J11),'Фин.показатели TTM'!J11,IF('Фин.показатели TTM'!J11="","н.д.",'Фин.показатели TTM'!J11))</x:f>
        <x:v>н.д.</x:v>
      </x:c>
      <x:c r="AL15" s="31" t="str">
        <x:f>IF(ISNUMBER('Фин.показатели TTM'!K11),'Фин.показатели TTM'!K11,IF('Фин.показатели TTM'!K11="",IF(ISNUMBER('Фин.показатели TTM'!AI11),'Фин.показатели TTM'!AI11,IF('Фин.показатели TTM'!AI11="","н.д.",'Фин.показатели TTM'!AI11)),'Фин.показатели TTM'!K11))</x:f>
        <x:v>н.п.</x:v>
      </x:c>
      <x:c r="AM15" s="31" t="str">
        <x:f>IF(ISNUMBER('Фин.показатели TTM'!L11),'Фин.показатели TTM'!L11,IF('Фин.показатели TTM'!L11="",IF(ISNUMBER('Фин.показатели TTM'!AK11),'Фин.показатели TTM'!AK11,IF('Фин.показатели TTM'!AK11="","н.д.",'Фин.показатели TTM'!AK11)),'Фин.показатели TTM'!L11))</x:f>
        <x:v>н.п.</x:v>
      </x:c>
      <x:c r="AN15" s="31" t="str">
        <x:f>IF(ISNUMBER('Фин.показатели TTM'!M11),'Фин.показатели TTM'!M11,IF('Фин.показатели TTM'!M11="","н.д.",'Фин.показатели TTM'!M11))</x:f>
        <x:v>н.д.</x:v>
      </x:c>
      <x:c r="AO15" s="31" t="n">
        <x:f>IF(ISNUMBER('Фин.показатели TTM'!N11),'Фин.показатели TTM'!N11,IF('Фин.показатели TTM'!N11="","н.д.",'Фин.показатели TTM'!N11))</x:f>
        <x:v>265839</x:v>
      </x:c>
      <x:c r="AP15" s="31" t="n">
        <x:f>IF(ISNUMBER('Фин.показатели TTM'!O11),'Фин.показатели TTM'!O11,IF('Фин.показатели TTM'!O11="","н.д.",'Фин.показатели TTM'!O11))</x:f>
        <x:v>1401689</x:v>
      </x:c>
      <x:c r="AQ15" s="3"/>
      <x:c r="AR15" s="3"/>
    </x:row>
    <x:row r="16">
      <x:c r="B16" s="3">
        <x:v>6</x:v>
      </x:c>
      <x:c r="C16" s="3" t="s">
        <x:v>78</x:v>
      </x:c>
      <x:c r="D16" s="50" t="s">
        <x:v>71</x:v>
      </x:c>
      <x:c r="E16" s="3"/>
      <x:c r="F16" s="35" t="str">
        <x:f t="shared" si="3">IF(COLUMN()=8,IF(ISNUMBER(AJ16),IF(AJ16&lt;=0,"н.п.",IF(ISNUMBER($AG16),$AG16/AJ16,IF($AG16="","н.д.",$AG16))),IF(AJ16="","н.д.",AJ16)),IF(ISNUMBER(AJ16),IF(AJ16&lt;=0,"н.п.",IF(ISNUMBER($AF16),$AF16/AJ16,IF($AF16="","н.д.",$AF16))),IF(AJ16="","н.д.",AJ16)))</x:f>
        <x:v>н.д.</x:v>
      </x:c>
      <x:c r="G16" s="35" t="n">
        <x:f t="shared" si="3">IF(COLUMN()=8,IF(ISNUMBER(AK16),IF(AK16&lt;=0,"н.п.",IF(ISNUMBER($AG16),$AG16/AK16,IF($AG16="","н.д.",$AG16))),IF(AK16="","н.д.",AK16)),IF(ISNUMBER(AK16),IF(AK16&lt;=0,"н.п.",IF(ISNUMBER($AF16),$AF16/AK16,IF($AF16="","н.д.",$AF16))),IF(AK16="","н.д.",AK16)))</x:f>
        <x:v>3.7634119168309352</x:v>
      </x:c>
      <x:c r="H16" s="35" t="str">
        <x:f t="shared" si="3">IF(COLUMN()=8,IF(ISNUMBER(AL16),IF(AL16&lt;=0,"н.п.",IF(ISNUMBER($AG16),$AG16/AL16,IF($AG16="","н.д.",$AG16))),IF(AL16="","н.д.",AL16)),IF(ISNUMBER(AL16),IF(AL16&lt;=0,"н.п.",IF(ISNUMBER($AF16),$AF16/AL16,IF($AF16="","н.д.",$AF16))),IF(AL16="","н.д.",AL16)))</x:f>
        <x:v>н.п.</x:v>
      </x:c>
      <x:c r="I16" s="35" t="str">
        <x:f t="shared" si="3">IF(COLUMN()=8,IF(ISNUMBER(AM16),IF(AM16&lt;=0,"н.п.",IF(ISNUMBER($AG16),$AG16/AM16,IF($AG16="","н.д.",$AG16))),IF(AM16="","н.д.",AM16)),IF(ISNUMBER(AM16),IF(AM16&lt;=0,"н.п.",IF(ISNUMBER($AF16),$AF16/AM16,IF($AF16="","н.д.",$AF16))),IF(AM16="","н.д.",AM16)))</x:f>
        <x:v>н.п.</x:v>
      </x:c>
      <x:c r="J16" s="35" t="str">
        <x:f t="shared" si="3">IF(COLUMN()=8,IF(ISNUMBER(AN16),IF(AN16&lt;=0,"н.п.",IF(ISNUMBER($AG16),$AG16/AN16,IF($AG16="","н.д.",$AG16))),IF(AN16="","н.д.",AN16)),IF(ISNUMBER(AN16),IF(AN16&lt;=0,"н.п.",IF(ISNUMBER($AF16),$AF16/AN16,IF($AF16="","н.д.",$AF16))),IF(AN16="","н.д.",AN16)))</x:f>
        <x:v>н.д.</x:v>
      </x:c>
      <x:c r="K16" s="35" t="n">
        <x:f t="shared" si="0">IF(ISNUMBER(AI16),IF(AI16=0,"н.п.",IF(ISNUMBER(AF16),AF16/AI16,IF(AF16="","н.д.",AF16))),IF(AI16="","н.д.",AI16))</x:f>
        <x:v>2.083164175096291</x:v>
      </x:c>
      <x:c r="L16" s="35" t="n">
        <x:f t="shared" si="4">IF(ISNUMBER(AO16),IF(AO16&lt;=0,"н.п.",IF(ISNUMBER(X16),X16/AO16,IF(X16="","н.д.",X16))),IF(AO16="","н.д.",AO16))</x:f>
        <x:v>17.652909381000804</x:v>
      </x:c>
      <x:c r="M16" s="35" t="n">
        <x:f t="shared" si="1">IF(ISNUMBER(AP16),IF(AP16=0,"н.п.",IF(ISNUMBER(X16),X16/AP16,IF(X16="","н.д.",X16))),IF(AP16="","н.д.",AP16))</x:f>
        <x:v>1.0686338737832155</x:v>
      </x:c>
      <x:c r="N16" s="35" t="n">
        <x:f t="shared" si="2">IF(ISNUMBER(AI16),IF(AI16=0,"н.п.",IF(ISNUMBER(X16),X16/AI16,IF(X16="","н.д.",X16))),IF(AI16="","н.д.",AI16))</x:f>
        <x:v>2.1025901531459645</x:v>
      </x:c>
      <x:c r="O16" s="35" t="str">
        <x:f t="shared" si="5">IF(COLUMN()=17,IF(ISNUMBER(AJ16),IF(AJ16&lt;=0,"н.п.",IF(ISNUMBER($AB16),$AB16/AJ16,IF($AB16="","н.д.",$AB16))),IF(AJ16="","н.д.",AJ16)),IF($C$6="Да",IF(ISNUMBER(AJ16),IF(AJ16&lt;=0,"н.п.",IF(ISNUMBER($AA16),$AA16/AJ16,IF($AA16="","н.д.",$AA16))),IF(AJ16="","н.д.",AJ16)),IF(ISNUMBER(AJ16),IF(AJ16&lt;=0,"н.п.",IF(ISNUMBER($Z16),$Z16/AJ16,IF($Z16="","н.д.",$Z16))),IF(AJ16="","н.д.",AJ16))))</x:f>
        <x:v>н.д.</x:v>
      </x:c>
      <x:c r="P16" s="35" t="n">
        <x:f t="shared" si="5">IF(COLUMN()=17,IF(ISNUMBER(AK16),IF(AK16&lt;=0,"н.п.",IF(ISNUMBER($AB16),$AB16/AK16,IF($AB16="","н.д.",$AB16))),IF(AK16="","н.д.",AK16)),IF($C$6="Да",IF(ISNUMBER(AK16),IF(AK16&lt;=0,"н.п.",IF(ISNUMBER($AA16),$AA16/AK16,IF($AA16="","н.д.",$AA16))),IF(AK16="","н.д.",AK16)),IF(ISNUMBER(AK16),IF(AK16&lt;=0,"н.п.",IF(ISNUMBER($Z16),$Z16/AK16,IF($Z16="","н.д.",$Z16))),IF(AK16="","н.д.",AK16))))</x:f>
        <x:v>-0.05319830493139765</x:v>
      </x:c>
      <x:c r="Q16" s="35" t="str">
        <x:f t="shared" si="5">IF(COLUMN()=17,IF(ISNUMBER(AL16),IF(AL16&lt;=0,"н.п.",IF(ISNUMBER($AB16),$AB16/AL16,IF($AB16="","н.д.",$AB16))),IF(AL16="","н.д.",AL16)),IF($C$6="Да",IF(ISNUMBER(AL16),IF(AL16&lt;=0,"н.п.",IF(ISNUMBER($AA16),$AA16/AL16,IF($AA16="","н.д.",$AA16))),IF(AL16="","н.д.",AL16)),IF(ISNUMBER(AL16),IF(AL16&lt;=0,"н.п.",IF(ISNUMBER($Z16),$Z16/AL16,IF($Z16="","н.д.",$Z16))),IF(AL16="","н.д.",AL16))))</x:f>
        <x:v>н.п.</x:v>
      </x:c>
      <x:c r="R16" s="35" t="str">
        <x:f t="shared" si="5">IF(COLUMN()=17,IF(ISNUMBER(AM16),IF(AM16&lt;=0,"н.п.",IF(ISNUMBER($AB16),$AB16/AM16,IF($AB16="","н.д.",$AB16))),IF(AM16="","н.д.",AM16)),IF($C$6="Да",IF(ISNUMBER(AM16),IF(AM16&lt;=0,"н.п.",IF(ISNUMBER($AA16),$AA16/AM16,IF($AA16="","н.д.",$AA16))),IF(AM16="","н.д.",AM16)),IF(ISNUMBER(AM16),IF(AM16&lt;=0,"н.п.",IF(ISNUMBER($Z16),$Z16/AM16,IF($Z16="","н.д.",$Z16))),IF(AM16="","н.д.",AM16))))</x:f>
        <x:v>н.п.</x:v>
      </x:c>
      <x:c r="S16" s="35" t="str">
        <x:f t="shared" si="5">IF(COLUMN()=17,IF(ISNUMBER(AN16),IF(AN16&lt;=0,"н.п.",IF(ISNUMBER($AB16),$AB16/AN16,IF($AB16="","н.д.",$AB16))),IF(AN16="","н.д.",AN16)),IF($C$6="Да",IF(ISNUMBER(AN16),IF(AN16&lt;=0,"н.п.",IF(ISNUMBER($AA16),$AA16/AN16,IF($AA16="","н.д.",$AA16))),IF(AN16="","н.д.",AN16)),IF(ISNUMBER(AN16),IF(AN16&lt;=0,"н.п.",IF(ISNUMBER($Z16),$Z16/AN16,IF($Z16="","н.д.",$Z16))),IF(AN16="","н.д.",AN16))))</x:f>
        <x:v>н.д.</x:v>
      </x:c>
      <x:c r="T16" s="3"/>
      <x:c r="U16" s="51" t="n">
        <x:f>Котировки!C8</x:f>
        <x:v>1023.219047619</x:v>
      </x:c>
      <x:c r="V16" s="51" t="n">
        <x:f>Котировки!E8</x:f>
        <x:v>3036306000</x:v>
      </x:c>
      <x:c r="W16" s="53"/>
      <x:c r="X16" s="31" t="n">
        <x:f t="shared" si="6">IF($C$5="Да",IF(ISNUMBER(W16),IF(ISNUMBER(U16),U16*W16/10^6,IF(U16="","н.д.",U16)),IF(W16="","н.д.",W16)),IF(ISNUMBER(V16),IF(ISNUMBER(U16),U16*V16/10^6,IF(U16="","н.д.",U16)),IF(V16="","н.д.",V16)))</x:f>
        <x:v>3106806.1335998555</x:v>
      </x:c>
      <x:c r="Y16" s="3"/>
      <x:c r="Z16" s="31" t="n">
        <x:f>IF(ISNUMBER('Фин.показатели TTM'!E12),'Фин.показатели TTM'!E12,IF('Фин.показатели TTM'!E12="",IF(ISNUMBER('Фин.показатели TTM'!R12),'Фин.показатели TTM'!R12,IF('Фин.показатели TTM'!R12="","н.д.",'Фин.показатели TTM'!R12)),'Фин.показатели TTM'!E12))</x:f>
        <x:v>-43511</x:v>
      </x:c>
      <x:c r="AA16" s="31" t="str">
        <x:f>IF(ISNUMBER('Фин.показатели TTM'!F12),'Фин.показатели TTM'!F12,IF('Фин.показатели TTM'!F12="","н.д.",'Фин.показатели TTM'!F12))</x:f>
        <x:v>н.д.</x:v>
      </x:c>
      <x:c r="AB16" s="31" t="str">
        <x:f>IF(ISNUMBER('Фин.показатели TTM'!G12),'Фин.показатели TTM'!G12,IF('Фин.показатели TTM'!G12="",IF(ISNUMBER('Фин.показатели TTM'!Y12),'Фин.показатели TTM'!Y12,IF('Фин.показатели TTM'!Y12="","н.д.",'Фин.показатели TTM'!Y12)),'Фин.показатели TTM'!G12))</x:f>
        <x:v>н.п.</x:v>
      </x:c>
      <x:c r="AC16" s="34">
        <x:v>14807</x:v>
      </x:c>
      <x:c r="AD16" s="34" t="n">
        <x:f>Котировки!D8*Котировки!F8/10^6</x:f>
        <x:v>0</x:v>
      </x:c>
      <x:c r="AE16" s="34"/>
      <x:c r="AF16" s="31" t="n">
        <x:f t="shared" si="7">IF($C$6="Да",IF(ISNUMBER(AA16),IF(ISNUMBER(X16),IF(COUNTIF(AC16:AE16,"н.д.")&gt;0,"н.д.",X16+AA16+SUM(AC16:AE16)),IF(X16="","н.д.",X16)),IF(AA16="","н.д.",AA16)),IF(ISNUMBER(Z16),IF(ISNUMBER(X16),IF(COUNTIF(AC16:AE16,"н.д.")&gt;0,"н.д.",X16+Z16+SUM(AC16:AE16)),IF(X16="","н.д.",X16)),IF(Z16="","н.д.",Z16)))</x:f>
        <x:v>3078102.1335998555</x:v>
      </x:c>
      <x:c r="AG16" s="31" t="str">
        <x:f t="shared" si="8">IF(ISNUMBER(AB16),IF(ISNUMBER(X16),IF(COUNTIF(AC16:AE16,"н.д.")&gt;0,"н.д.",X16+AB16+SUM(AC16:AE16)),IF(X16="","н.д.",X16)),IF(AB16="","н.д.",AB16))</x:f>
        <x:v>н.п.</x:v>
      </x:c>
      <x:c r="AH16" s="3"/>
      <x:c r="AI16" s="31" t="n">
        <x:f>IF(ISNUMBER('Фин.показатели TTM'!H12),'Фин.показатели TTM'!H12,IF('Фин.показатели TTM'!H12="","н.д.",'Фин.показатели TTM'!H12))</x:f>
        <x:v>1477609</x:v>
      </x:c>
      <x:c r="AJ16" s="31" t="str">
        <x:f>IF(ISNUMBER('Фин.показатели TTM'!I12),'Фин.показатели TTM'!I12,IF('Фин.показатели TTM'!I12="",IF(ISNUMBER('Фин.показатели TTM'!Z12),'Фин.показатели TTM'!Z12,IF('Фин.показатели TTM'!Z12="","н.д.",'Фин.показатели TTM'!Z12)),'Фин.показатели TTM'!I12))</x:f>
        <x:v>н.д.</x:v>
      </x:c>
      <x:c r="AK16" s="31" t="n">
        <x:f>IF(ISNUMBER('Фин.показатели TTM'!J12),'Фин.показатели TTM'!J12,IF('Фин.показатели TTM'!J12="","н.д.",'Фин.показатели TTM'!J12))</x:f>
        <x:v>817902</x:v>
      </x:c>
      <x:c r="AL16" s="31" t="str">
        <x:f>IF(ISNUMBER('Фин.показатели TTM'!K12),'Фин.показатели TTM'!K12,IF('Фин.показатели TTM'!K12="",IF(ISNUMBER('Фин.показатели TTM'!AI12),'Фин.показатели TTM'!AI12,IF('Фин.показатели TTM'!AI12="","н.д.",'Фин.показатели TTM'!AI12)),'Фин.показатели TTM'!K12))</x:f>
        <x:v>н.п.</x:v>
      </x:c>
      <x:c r="AM16" s="31" t="str">
        <x:f>IF(ISNUMBER('Фин.показатели TTM'!L12),'Фин.показатели TTM'!L12,IF('Фин.показатели TTM'!L12="",IF(ISNUMBER('Фин.показатели TTM'!AK12),'Фин.показатели TTM'!AK12,IF('Фин.показатели TTM'!AK12="","н.д.",'Фин.показатели TTM'!AK12)),'Фин.показатели TTM'!L12))</x:f>
        <x:v>н.п.</x:v>
      </x:c>
      <x:c r="AN16" s="31" t="str">
        <x:f>IF(ISNUMBER('Фин.показатели TTM'!M12),'Фин.показатели TTM'!M12,IF('Фин.показатели TTM'!M12="","н.д.",'Фин.показатели TTM'!M12))</x:f>
        <x:v>н.д.</x:v>
      </x:c>
      <x:c r="AO16" s="31" t="n">
        <x:f>IF(ISNUMBER('Фин.показатели TTM'!N12),'Фин.показатели TTM'!N12,IF('Фин.показатели TTM'!N12="","н.д.",'Фин.показатели TTM'!N12))</x:f>
        <x:v>175994</x:v>
      </x:c>
      <x:c r="AP16" s="31" t="n">
        <x:f>IF(ISNUMBER('Фин.показатели TTM'!O12),'Фин.показатели TTM'!O12,IF('Фин.показатели TTM'!O12="","н.д.",'Фин.показатели TTM'!O12))</x:f>
        <x:v>2907269</x:v>
      </x:c>
      <x:c r="AQ16" s="3"/>
      <x:c r="AR16" s="3"/>
    </x:row>
    <x:row r="17">
      <x:c r="B17" s="3">
        <x:v>7</x:v>
      </x:c>
      <x:c r="C17" s="3" t="s">
        <x:v>79</x:v>
      </x:c>
      <x:c r="D17" s="50" t="s">
        <x:v>80</x:v>
      </x:c>
      <x:c r="E17" s="3"/>
      <x:c r="F17" s="35" t="str">
        <x:f t="shared" si="3">IF(COLUMN()=8,IF(ISNUMBER(AJ17),IF(AJ17&lt;=0,"н.п.",IF(ISNUMBER($AG17),$AG17/AJ17,IF($AG17="","н.д.",$AG17))),IF(AJ17="","н.д.",AJ17)),IF(ISNUMBER(AJ17),IF(AJ17&lt;=0,"н.п.",IF(ISNUMBER($AF17),$AF17/AJ17,IF($AF17="","н.д.",$AF17))),IF(AJ17="","н.д.",AJ17)))</x:f>
        <x:v>н.д.</x:v>
      </x:c>
      <x:c r="G17" s="35" t="n">
        <x:f t="shared" si="3">IF(COLUMN()=8,IF(ISNUMBER(AK17),IF(AK17&lt;=0,"н.п.",IF(ISNUMBER($AG17),$AG17/AK17,IF($AG17="","н.д.",$AG17))),IF(AK17="","н.д.",AK17)),IF(ISNUMBER(AK17),IF(AK17&lt;=0,"н.п.",IF(ISNUMBER($AF17),$AF17/AK17,IF($AF17="","н.д.",$AF17))),IF(AK17="","н.д.",AK17)))</x:f>
        <x:v>5.212151289875168</x:v>
      </x:c>
      <x:c r="H17" s="35" t="str">
        <x:f t="shared" si="3">IF(COLUMN()=8,IF(ISNUMBER(AL17),IF(AL17&lt;=0,"н.п.",IF(ISNUMBER($AG17),$AG17/AL17,IF($AG17="","н.д.",$AG17))),IF(AL17="","н.д.",AL17)),IF(ISNUMBER(AL17),IF(AL17&lt;=0,"н.п.",IF(ISNUMBER($AF17),$AF17/AL17,IF($AF17="","н.д.",$AF17))),IF(AL17="","н.д.",AL17)))</x:f>
        <x:v>н.п.</x:v>
      </x:c>
      <x:c r="I17" s="35" t="str">
        <x:f t="shared" si="3">IF(COLUMN()=8,IF(ISNUMBER(AM17),IF(AM17&lt;=0,"н.п.",IF(ISNUMBER($AG17),$AG17/AM17,IF($AG17="","н.д.",$AG17))),IF(AM17="","н.д.",AM17)),IF(ISNUMBER(AM17),IF(AM17&lt;=0,"н.п.",IF(ISNUMBER($AF17),$AF17/AM17,IF($AF17="","н.д.",$AF17))),IF(AM17="","н.д.",AM17)))</x:f>
        <x:v>н.п.</x:v>
      </x:c>
      <x:c r="J17" s="35" t="str">
        <x:f t="shared" si="3">IF(COLUMN()=8,IF(ISNUMBER(AN17),IF(AN17&lt;=0,"н.п.",IF(ISNUMBER($AG17),$AG17/AN17,IF($AG17="","н.д.",$AG17))),IF(AN17="","н.д.",AN17)),IF(ISNUMBER(AN17),IF(AN17&lt;=0,"н.п.",IF(ISNUMBER($AF17),$AF17/AN17,IF($AF17="","н.д.",$AF17))),IF(AN17="","н.д.",AN17)))</x:f>
        <x:v>н.д.</x:v>
      </x:c>
      <x:c r="K17" s="35" t="n">
        <x:f t="shared" si="0">IF(ISNUMBER(AI17),IF(AI17=0,"н.п.",IF(ISNUMBER(AF17),AF17/AI17,IF(AF17="","н.д.",AF17))),IF(AI17="","н.д.",AI17))</x:f>
        <x:v>2.3214277527858154</x:v>
      </x:c>
      <x:c r="L17" s="35" t="n">
        <x:f t="shared" si="4">IF(ISNUMBER(AO17),IF(AO17&lt;=0,"н.п.",IF(ISNUMBER(X17),X17/AO17,IF(X17="","н.д.",X17))),IF(AO17="","н.д.",AO17))</x:f>
        <x:v>8.81043278112921</x:v>
      </x:c>
      <x:c r="M17" s="35" t="n">
        <x:f t="shared" si="1">IF(ISNUMBER(AP17),IF(AP17=0,"н.п.",IF(ISNUMBER(X17),X17/AP17,IF(X17="","н.д.",X17))),IF(AP17="","н.д.",AP17))</x:f>
        <x:v>1.9513899808857336</x:v>
      </x:c>
      <x:c r="N17" s="35" t="n">
        <x:f t="shared" si="2">IF(ISNUMBER(AI17),IF(AI17=0,"н.п.",IF(ISNUMBER(X17),X17/AI17,IF(X17="","н.д.",X17))),IF(AI17="","н.д.",AI17))</x:f>
        <x:v>1.606758124257292</x:v>
      </x:c>
      <x:c r="O17" s="35" t="str">
        <x:f t="shared" si="5">IF(COLUMN()=17,IF(ISNUMBER(AJ17),IF(AJ17&lt;=0,"н.п.",IF(ISNUMBER($AB17),$AB17/AJ17,IF($AB17="","н.д.",$AB17))),IF(AJ17="","н.д.",AJ17)),IF($C$6="Да",IF(ISNUMBER(AJ17),IF(AJ17&lt;=0,"н.п.",IF(ISNUMBER($AA17),$AA17/AJ17,IF($AA17="","н.д.",$AA17))),IF(AJ17="","н.д.",AJ17)),IF(ISNUMBER(AJ17),IF(AJ17&lt;=0,"н.п.",IF(ISNUMBER($Z17),$Z17/AJ17,IF($Z17="","н.д.",$Z17))),IF(AJ17="","н.д.",AJ17))))</x:f>
        <x:v>н.д.</x:v>
      </x:c>
      <x:c r="P17" s="35" t="n">
        <x:f t="shared" si="5">IF(COLUMN()=17,IF(ISNUMBER(AK17),IF(AK17&lt;=0,"н.п.",IF(ISNUMBER($AB17),$AB17/AK17,IF($AB17="","н.д.",$AB17))),IF(AK17="","н.д.",AK17)),IF($C$6="Да",IF(ISNUMBER(AK17),IF(AK17&lt;=0,"н.п.",IF(ISNUMBER($AA17),$AA17/AK17,IF($AA17="","н.д.",$AA17))),IF(AK17="","н.д.",AK17)),IF(ISNUMBER(AK17),IF(AK17&lt;=0,"н.п.",IF(ISNUMBER($Z17),$Z17/AK17,IF($Z17="","н.д.",$Z17))),IF(AK17="","н.д.",AK17))))</x:f>
        <x:v>1.293291534506395</x:v>
      </x:c>
      <x:c r="Q17" s="35" t="str">
        <x:f t="shared" si="5">IF(COLUMN()=17,IF(ISNUMBER(AL17),IF(AL17&lt;=0,"н.п.",IF(ISNUMBER($AB17),$AB17/AL17,IF($AB17="","н.д.",$AB17))),IF(AL17="","н.д.",AL17)),IF($C$6="Да",IF(ISNUMBER(AL17),IF(AL17&lt;=0,"н.п.",IF(ISNUMBER($AA17),$AA17/AL17,IF($AA17="","н.д.",$AA17))),IF(AL17="","н.д.",AL17)),IF(ISNUMBER(AL17),IF(AL17&lt;=0,"н.п.",IF(ISNUMBER($Z17),$Z17/AL17,IF($Z17="","н.д.",$Z17))),IF(AL17="","н.д.",AL17))))</x:f>
        <x:v>н.п.</x:v>
      </x:c>
      <x:c r="R17" s="35" t="str">
        <x:f t="shared" si="5">IF(COLUMN()=17,IF(ISNUMBER(AM17),IF(AM17&lt;=0,"н.п.",IF(ISNUMBER($AB17),$AB17/AM17,IF($AB17="","н.д.",$AB17))),IF(AM17="","н.д.",AM17)),IF($C$6="Да",IF(ISNUMBER(AM17),IF(AM17&lt;=0,"н.п.",IF(ISNUMBER($AA17),$AA17/AM17,IF($AA17="","н.д.",$AA17))),IF(AM17="","н.д.",AM17)),IF(ISNUMBER(AM17),IF(AM17&lt;=0,"н.п.",IF(ISNUMBER($Z17),$Z17/AM17,IF($Z17="","н.д.",$Z17))),IF(AM17="","н.д.",AM17))))</x:f>
        <x:v>н.п.</x:v>
      </x:c>
      <x:c r="S17" s="35" t="str">
        <x:f t="shared" si="5">IF(COLUMN()=17,IF(ISNUMBER(AN17),IF(AN17&lt;=0,"н.п.",IF(ISNUMBER($AB17),$AB17/AN17,IF($AB17="","н.д.",$AB17))),IF(AN17="","н.д.",AN17)),IF($C$6="Да",IF(ISNUMBER(AN17),IF(AN17&lt;=0,"н.п.",IF(ISNUMBER($AA17),$AA17/AN17,IF($AA17="","н.д.",$AA17))),IF(AN17="","н.д.",AN17)),IF(ISNUMBER(AN17),IF(AN17&lt;=0,"н.п.",IF(ISNUMBER($Z17),$Z17/AN17,IF($Z17="","н.д.",$Z17))),IF(AN17="","н.д.",AN17))))</x:f>
        <x:v>н.д.</x:v>
      </x:c>
      <x:c r="T17" s="3"/>
      <x:c r="U17" s="51" t="n">
        <x:f>Котировки!C9</x:f>
        <x:v>128.48952381</x:v>
      </x:c>
      <x:c r="V17" s="51" t="n">
        <x:f>Котировки!E9</x:f>
        <x:v>15286339700</x:v>
      </x:c>
      <x:c r="W17" s="53"/>
      <x:c r="X17" s="31" t="n">
        <x:f t="shared" si="6">IF($C$5="Да",IF(ISNUMBER(W17),IF(ISNUMBER(U17),U17*W17/10^6,IF(U17="","н.д.",U17)),IF(W17="","н.д.",W17)),IF(ISNUMBER(V17),IF(ISNUMBER(U17),U17*V17/10^6,IF(U17="","н.д.",U17)),IF(V17="","н.д.",V17)))</x:f>
        <x:v>1964134.5088508984</x:v>
      </x:c>
      <x:c r="Y17" s="3"/>
      <x:c r="Z17" s="31" t="n">
        <x:f>IF(ISNUMBER('Фин.показатели TTM'!E13),'Фин.показатели TTM'!E13,IF('Фин.показатели TTM'!E13="",IF(ISNUMBER('Фин.показатели TTM'!R13),'Фин.показатели TTM'!R13,IF('Фин.показатели TTM'!R13="","н.д.",'Фин.показатели TTM'!R13)),'Фин.показатели TTM'!E13))</x:f>
        <x:v>704134</x:v>
      </x:c>
      <x:c r="AA17" s="31" t="str">
        <x:f>IF(ISNUMBER('Фин.показатели TTM'!F13),'Фин.показатели TTM'!F13,IF('Фин.показатели TTM'!F13="","н.д.",'Фин.показатели TTM'!F13))</x:f>
        <x:v>н.д.</x:v>
      </x:c>
      <x:c r="AB17" s="31" t="str">
        <x:f>IF(ISNUMBER('Фин.показатели TTM'!G13),'Фин.показатели TTM'!G13,IF('Фин.показатели TTM'!G13="",IF(ISNUMBER('Фин.показатели TTM'!Y13),'Фин.показатели TTM'!Y13,IF('Фин.показатели TTM'!Y13="","н.д.",'Фин.показатели TTM'!Y13)),'Фин.показатели TTM'!G13))</x:f>
        <x:v>н.п.</x:v>
      </x:c>
      <x:c r="AC17" s="34">
        <x:v>169493</x:v>
      </x:c>
      <x:c r="AD17" s="34" t="n">
        <x:f>Котировки!D9*Котировки!F9/10^6</x:f>
        <x:v>0</x:v>
      </x:c>
      <x:c r="AE17" s="34"/>
      <x:c r="AF17" s="31" t="n">
        <x:f t="shared" si="7">IF($C$6="Да",IF(ISNUMBER(AA17),IF(ISNUMBER(X17),IF(COUNTIF(AC17:AE17,"н.д.")&gt;0,"н.д.",X17+AA17+SUM(AC17:AE17)),IF(X17="","н.д.",X17)),IF(AA17="","н.д.",AA17)),IF(ISNUMBER(Z17),IF(ISNUMBER(X17),IF(COUNTIF(AC17:AE17,"н.д.")&gt;0,"н.д.",X17+Z17+SUM(AC17:AE17)),IF(X17="","н.д.",X17)),IF(Z17="","н.д.",Z17)))</x:f>
        <x:v>2837761.5088508986</x:v>
      </x:c>
      <x:c r="AG17" s="31" t="str">
        <x:f t="shared" si="8">IF(ISNUMBER(AB17),IF(ISNUMBER(X17),IF(COUNTIF(AC17:AE17,"н.д.")&gt;0,"н.д.",X17+AB17+SUM(AC17:AE17)),IF(X17="","н.д.",X17)),IF(AB17="","н.д.",AB17))</x:f>
        <x:v>н.п.</x:v>
      </x:c>
      <x:c r="AH17" s="3"/>
      <x:c r="AI17" s="31" t="n">
        <x:f>IF(ISNUMBER('Фин.показатели TTM'!H13),'Фин.показатели TTM'!H13,IF('Фин.показатели TTM'!H13="","н.д.",'Фин.показатели TTM'!H13))</x:f>
        <x:v>1222420.773356164</x:v>
      </x:c>
      <x:c r="AJ17" s="31" t="str">
        <x:f>IF(ISNUMBER('Фин.показатели TTM'!I13),'Фин.показатели TTM'!I13,IF('Фин.показатели TTM'!I13="",IF(ISNUMBER('Фин.показатели TTM'!Z13),'Фин.показатели TTM'!Z13,IF('Фин.показатели TTM'!Z13="","н.д.",'Фин.показатели TTM'!Z13)),'Фин.показатели TTM'!I13))</x:f>
        <x:v>н.д.</x:v>
      </x:c>
      <x:c r="AK17" s="31" t="n">
        <x:f>IF(ISNUMBER('Фин.показатели TTM'!J13),'Фин.показатели TTM'!J13,IF('Фин.показатели TTM'!J13="","н.д.",'Фин.показатели TTM'!J13))</x:f>
        <x:v>544451.10109589</x:v>
      </x:c>
      <x:c r="AL17" s="31" t="str">
        <x:f>IF(ISNUMBER('Фин.показатели TTM'!K13),'Фин.показатели TTM'!K13,IF('Фин.показатели TTM'!K13="",IF(ISNUMBER('Фин.показатели TTM'!AI13),'Фин.показатели TTM'!AI13,IF('Фин.показатели TTM'!AI13="","н.д.",'Фин.показатели TTM'!AI13)),'Фин.показатели TTM'!K13))</x:f>
        <x:v>н.п.</x:v>
      </x:c>
      <x:c r="AM17" s="31" t="str">
        <x:f>IF(ISNUMBER('Фин.показатели TTM'!L13),'Фин.показатели TTM'!L13,IF('Фин.показатели TTM'!L13="",IF(ISNUMBER('Фин.показатели TTM'!AK13),'Фин.показатели TTM'!AK13,IF('Фин.показатели TTM'!AK13="","н.д.",'Фин.показатели TTM'!AK13)),'Фин.показатели TTM'!L13))</x:f>
        <x:v>н.п.</x:v>
      </x:c>
      <x:c r="AN17" s="31" t="str">
        <x:f>IF(ISNUMBER('Фин.показатели TTM'!M13),'Фин.показатели TTM'!M13,IF('Фин.показатели TTM'!M13="","н.д.",'Фин.показатели TTM'!M13))</x:f>
        <x:v>н.д.</x:v>
      </x:c>
      <x:c r="AO17" s="31" t="n">
        <x:f>IF(ISNUMBER('Фин.показатели TTM'!N13),'Фин.показатели TTM'!N13,IF('Фин.показатели TTM'!N13="","н.д.",'Фин.показатели TTM'!N13))</x:f>
        <x:v>222932.806780822</x:v>
      </x:c>
      <x:c r="AP17" s="31" t="n">
        <x:f>IF(ISNUMBER('Фин.показатели TTM'!O13),'Фин.показатели TTM'!O13,IF('Фин.показатели TTM'!O13="","н.д.",'Фин.показатели TTM'!O13))</x:f>
        <x:v>1006531</x:v>
      </x:c>
      <x:c r="AQ17" s="3"/>
      <x:c r="AR17" s="3"/>
    </x:row>
    <x:row r="18">
      <x:c r="B18" s="3">
        <x:v>8</x:v>
      </x:c>
      <x:c r="C18" s="3" t="s">
        <x:v>81</x:v>
      </x:c>
      <x:c r="D18" s="50" t="s">
        <x:v>82</x:v>
      </x:c>
      <x:c r="E18" s="3"/>
      <x:c r="F18" s="35" t="str">
        <x:f t="shared" si="3">IF(COLUMN()=8,IF(ISNUMBER(AJ18),IF(AJ18&lt;=0,"н.п.",IF(ISNUMBER($AG18),$AG18/AJ18,IF($AG18="","н.д.",$AG18))),IF(AJ18="","н.д.",AJ18)),IF(ISNUMBER(AJ18),IF(AJ18&lt;=0,"н.п.",IF(ISNUMBER($AF18),$AF18/AJ18,IF($AF18="","н.д.",$AF18))),IF(AJ18="","н.д.",AJ18)))</x:f>
        <x:v>н.д.</x:v>
      </x:c>
      <x:c r="G18" s="35" t="n">
        <x:f t="shared" si="3">IF(COLUMN()=8,IF(ISNUMBER(AK18),IF(AK18&lt;=0,"н.п.",IF(ISNUMBER($AG18),$AG18/AK18,IF($AG18="","н.д.",$AG18))),IF(AK18="","н.д.",AK18)),IF(ISNUMBER(AK18),IF(AK18&lt;=0,"н.п.",IF(ISNUMBER($AF18),$AF18/AK18,IF($AF18="","н.д.",$AF18))),IF(AK18="","н.д.",AK18)))</x:f>
        <x:v>1.632114321696352</x:v>
      </x:c>
      <x:c r="H18" s="35" t="str">
        <x:f t="shared" si="3">IF(COLUMN()=8,IF(ISNUMBER(AL18),IF(AL18&lt;=0,"н.п.",IF(ISNUMBER($AG18),$AG18/AL18,IF($AG18="","н.д.",$AG18))),IF(AL18="","н.д.",AL18)),IF(ISNUMBER(AL18),IF(AL18&lt;=0,"н.п.",IF(ISNUMBER($AF18),$AF18/AL18,IF($AF18="","н.д.",$AF18))),IF(AL18="","н.д.",AL18)))</x:f>
        <x:v>н.д.</x:v>
      </x:c>
      <x:c r="I18" s="35" t="str">
        <x:f t="shared" si="3">IF(COLUMN()=8,IF(ISNUMBER(AM18),IF(AM18&lt;=0,"н.п.",IF(ISNUMBER($AG18),$AG18/AM18,IF($AG18="","н.д.",$AG18))),IF(AM18="","н.д.",AM18)),IF(ISNUMBER(AM18),IF(AM18&lt;=0,"н.п.",IF(ISNUMBER($AF18),$AF18/AM18,IF($AF18="","н.д.",$AF18))),IF(AM18="","н.д.",AM18)))</x:f>
        <x:v>н.д.</x:v>
      </x:c>
      <x:c r="J18" s="35" t="str">
        <x:f t="shared" si="3">IF(COLUMN()=8,IF(ISNUMBER(AN18),IF(AN18&lt;=0,"н.п.",IF(ISNUMBER($AG18),$AG18/AN18,IF($AG18="","н.д.",$AG18))),IF(AN18="","н.д.",AN18)),IF(ISNUMBER(AN18),IF(AN18&lt;=0,"н.п.",IF(ISNUMBER($AF18),$AF18/AN18,IF($AF18="","н.д.",$AF18))),IF(AN18="","н.д.",AN18)))</x:f>
        <x:v>н.д.</x:v>
      </x:c>
      <x:c r="K18" s="35" t="n">
        <x:f t="shared" si="0">IF(ISNUMBER(AI18),IF(AI18=0,"н.п.",IF(ISNUMBER(AF18),AF18/AI18,IF(AF18="","н.д.",AF18))),IF(AI18="","н.д.",AI18))</x:f>
        <x:v>0.25965190023799406</x:v>
      </x:c>
      <x:c r="L18" s="35" t="n">
        <x:f t="shared" si="4">IF(ISNUMBER(AO18),IF(AO18&lt;=0,"н.п.",IF(ISNUMBER(X18),X18/AO18,IF(X18="","н.д.",X18))),IF(AO18="","н.д.",AO18))</x:f>
        <x:v>27.00528763129296</x:v>
      </x:c>
      <x:c r="M18" s="35" t="n">
        <x:f t="shared" si="1">IF(ISNUMBER(AP18),IF(AP18=0,"н.п.",IF(ISNUMBER(X18),X18/AP18,IF(X18="","н.д.",X18))),IF(AP18="","н.д.",AP18))</x:f>
        <x:v>-3.722768562131047</x:v>
      </x:c>
      <x:c r="N18" s="35" t="n">
        <x:f t="shared" si="2">IF(ISNUMBER(AI18),IF(AI18=0,"н.п.",IF(ISNUMBER(X18),X18/AI18,IF(X18="","н.д.",X18))),IF(AI18="","н.д.",AI18))</x:f>
        <x:v>0.47632153082297185</x:v>
      </x:c>
      <x:c r="O18" s="35" t="str">
        <x:f t="shared" si="5">IF(COLUMN()=17,IF(ISNUMBER(AJ18),IF(AJ18&lt;=0,"н.п.",IF(ISNUMBER($AB18),$AB18/AJ18,IF($AB18="","н.д.",$AB18))),IF(AJ18="","н.д.",AJ18)),IF($C$6="Да",IF(ISNUMBER(AJ18),IF(AJ18&lt;=0,"н.п.",IF(ISNUMBER($AA18),$AA18/AJ18,IF($AA18="","н.д.",$AA18))),IF(AJ18="","н.д.",AJ18)),IF(ISNUMBER(AJ18),IF(AJ18&lt;=0,"н.п.",IF(ISNUMBER($Z18),$Z18/AJ18,IF($Z18="","н.д.",$Z18))),IF(AJ18="","н.д.",AJ18))))</x:f>
        <x:v>н.д.</x:v>
      </x:c>
      <x:c r="P18" s="35" t="n">
        <x:f t="shared" si="5">IF(COLUMN()=17,IF(ISNUMBER(AK18),IF(AK18&lt;=0,"н.п.",IF(ISNUMBER($AB18),$AB18/AK18,IF($AB18="","н.д.",$AB18))),IF(AK18="","н.д.",AK18)),IF($C$6="Да",IF(ISNUMBER(AK18),IF(AK18&lt;=0,"н.п.",IF(ISNUMBER($AA18),$AA18/AK18,IF($AA18="","н.д.",$AA18))),IF(AK18="","н.д.",AK18)),IF(ISNUMBER(AK18),IF(AK18&lt;=0,"н.п.",IF(ISNUMBER($Z18),$Z18/AK18,IF($Z18="","н.д.",$Z18))),IF(AK18="","н.д.",AK18))))</x:f>
        <x:v>-1.3619372969358865</x:v>
      </x:c>
      <x:c r="Q18" s="35" t="str">
        <x:f t="shared" si="5">IF(COLUMN()=17,IF(ISNUMBER(AL18),IF(AL18&lt;=0,"н.п.",IF(ISNUMBER($AB18),$AB18/AL18,IF($AB18="","н.д.",$AB18))),IF(AL18="","н.д.",AL18)),IF($C$6="Да",IF(ISNUMBER(AL18),IF(AL18&lt;=0,"н.п.",IF(ISNUMBER($AA18),$AA18/AL18,IF($AA18="","н.д.",$AA18))),IF(AL18="","н.д.",AL18)),IF(ISNUMBER(AL18),IF(AL18&lt;=0,"н.п.",IF(ISNUMBER($Z18),$Z18/AL18,IF($Z18="","н.д.",$Z18))),IF(AL18="","н.д.",AL18))))</x:f>
        <x:v>н.д.</x:v>
      </x:c>
      <x:c r="R18" s="35" t="str">
        <x:f t="shared" si="5">IF(COLUMN()=17,IF(ISNUMBER(AM18),IF(AM18&lt;=0,"н.п.",IF(ISNUMBER($AB18),$AB18/AM18,IF($AB18="","н.д.",$AB18))),IF(AM18="","н.д.",AM18)),IF($C$6="Да",IF(ISNUMBER(AM18),IF(AM18&lt;=0,"н.п.",IF(ISNUMBER($AA18),$AA18/AM18,IF($AA18="","н.д.",$AA18))),IF(AM18="","н.д.",AM18)),IF(ISNUMBER(AM18),IF(AM18&lt;=0,"н.п.",IF(ISNUMBER($Z18),$Z18/AM18,IF($Z18="","н.д.",$Z18))),IF(AM18="","н.д.",AM18))))</x:f>
        <x:v>н.д.</x:v>
      </x:c>
      <x:c r="S18" s="35" t="str">
        <x:f t="shared" si="5">IF(COLUMN()=17,IF(ISNUMBER(AN18),IF(AN18&lt;=0,"н.п.",IF(ISNUMBER($AB18),$AB18/AN18,IF($AB18="","н.д.",$AB18))),IF(AN18="","н.д.",AN18)),IF($C$6="Да",IF(ISNUMBER(AN18),IF(AN18&lt;=0,"н.п.",IF(ISNUMBER($AA18),$AA18/AN18,IF($AA18="","н.д.",$AA18))),IF(AN18="","н.д.",AN18)),IF(ISNUMBER(AN18),IF(AN18&lt;=0,"н.п.",IF(ISNUMBER($Z18),$Z18/AN18,IF($Z18="","н.д.",$Z18))),IF(AN18="","н.д.",AN18))))</x:f>
        <x:v>н.д.</x:v>
      </x:c>
      <x:c r="T18" s="3"/>
      <x:c r="U18" s="51" t="n">
        <x:f>Котировки!C10</x:f>
        <x:v>2648.571428571</x:v>
      </x:c>
      <x:c r="V18" s="51" t="n">
        <x:f>Котировки!E10</x:f>
        <x:v>216413733</x:v>
      </x:c>
      <x:c r="W18" s="53"/>
      <x:c r="X18" s="31" t="n">
        <x:f t="shared" si="6">IF($C$5="Да",IF(ISNUMBER(W18),IF(ISNUMBER(U18),U18*W18/10^6,IF(U18="","н.д.",U18)),IF(W18="","н.д.",W18)),IF(ISNUMBER(V18),IF(ISNUMBER(U18),U18*V18/10^6,IF(U18="","н.д.",U18)),IF(V18="","н.д.",V18)))</x:f>
        <x:v>573187.229974193</x:v>
      </x:c>
      <x:c r="Y18" s="3"/>
      <x:c r="Z18" s="31" t="n">
        <x:f>IF(ISNUMBER('Фин.показатели TTM'!E14),'Фин.показатели TTM'!E14,IF('Фин.показатели TTM'!E14="",IF(ISNUMBER('Фин.показатели TTM'!R14),'Фин.показатели TTM'!R14,IF('Фин.показатели TTM'!R14="","н.д.",'Фин.показатели TTM'!R14)),'Фин.показатели TTM'!E14))</x:f>
        <x:v>-260732</x:v>
      </x:c>
      <x:c r="AA18" s="31" t="str">
        <x:f>IF(ISNUMBER('Фин.показатели TTM'!F14),'Фин.показатели TTM'!F14,IF('Фин.показатели TTM'!F14="","н.д.",'Фин.показатели TTM'!F14))</x:f>
        <x:v>н.д.</x:v>
      </x:c>
      <x:c r="AB18" s="31" t="n">
        <x:f>IF(ISNUMBER('Фин.показатели TTM'!G14),'Фин.показатели TTM'!G14,IF('Фин.показатели TTM'!G14="",IF(ISNUMBER('Фин.показатели TTM'!Y14),'Фин.показатели TTM'!Y14,IF('Фин.показатели TTM'!Y14="","н.д.",'Фин.показатели TTM'!Y14)),'Фин.показатели TTM'!G14))</x:f>
        <x:v>-632765</x:v>
      </x:c>
      <x:c r="AC18" s="34"/>
      <x:c r="AD18" s="34" t="n">
        <x:f>Котировки!D10*Котировки!F10/10^6</x:f>
        <x:v>0</x:v>
      </x:c>
      <x:c r="AE18" s="34"/>
      <x:c r="AF18" s="31" t="n">
        <x:f t="shared" si="7">IF($C$6="Да",IF(ISNUMBER(AA18),IF(ISNUMBER(X18),IF(COUNTIF(AC18:AE18,"н.д.")&gt;0,"н.д.",X18+AA18+SUM(AC18:AE18)),IF(X18="","н.д.",X18)),IF(AA18="","н.д.",AA18)),IF(ISNUMBER(Z18),IF(ISNUMBER(X18),IF(COUNTIF(AC18:AE18,"н.д.")&gt;0,"н.д.",X18+Z18+SUM(AC18:AE18)),IF(X18="","н.д.",X18)),IF(Z18="","н.д.",Z18)))</x:f>
        <x:v>312455.22997419303</x:v>
      </x:c>
      <x:c r="AG18" s="31" t="n">
        <x:f t="shared" si="8">IF(ISNUMBER(AB18),IF(ISNUMBER(X18),IF(COUNTIF(AC18:AE18,"н.д.")&gt;0,"н.д.",X18+AB18+SUM(AC18:AE18)),IF(X18="","н.д.",X18)),IF(AB18="","н.д.",AB18))</x:f>
        <x:v>-59577.77002580697</x:v>
      </x:c>
      <x:c r="AH18" s="3"/>
      <x:c r="AI18" s="31" t="n">
        <x:f>IF(ISNUMBER('Фин.показатели TTM'!H14),'Фин.показатели TTM'!H14,IF('Фин.показатели TTM'!H14="","н.д.",'Фин.показатели TTM'!H14))</x:f>
        <x:v>1203362</x:v>
      </x:c>
      <x:c r="AJ18" s="31" t="str">
        <x:f>IF(ISNUMBER('Фин.показатели TTM'!I14),'Фин.показатели TTM'!I14,IF('Фин.показатели TTM'!I14="",IF(ISNUMBER('Фин.показатели TTM'!Z14),'Фин.показатели TTM'!Z14,IF('Фин.показатели TTM'!Z14="","н.д.",'Фин.показатели TTM'!Z14)),'Фин.показатели TTM'!I14))</x:f>
        <x:v>н.д.</x:v>
      </x:c>
      <x:c r="AK18" s="31" t="n">
        <x:f>IF(ISNUMBER('Фин.показатели TTM'!J14),'Фин.показатели TTM'!J14,IF('Фин.показатели TTM'!J14="","н.д.",'Фин.показатели TTM'!J14))</x:f>
        <x:v>191442</x:v>
      </x:c>
      <x:c r="AL18" s="31" t="str">
        <x:f>IF(ISNUMBER('Фин.показатели TTM'!K14),'Фин.показатели TTM'!K14,IF('Фин.показатели TTM'!K14="",IF(ISNUMBER('Фин.показатели TTM'!AI14),'Фин.показатели TTM'!AI14,IF('Фин.показатели TTM'!AI14="","н.д.",'Фин.показатели TTM'!AI14)),'Фин.показатели TTM'!K14))</x:f>
        <x:v>н.д.</x:v>
      </x:c>
      <x:c r="AM18" s="31" t="str">
        <x:f>IF(ISNUMBER('Фин.показатели TTM'!L14),'Фин.показатели TTM'!L14,IF('Фин.показатели TTM'!L14="",IF(ISNUMBER('Фин.показатели TTM'!AK14),'Фин.показатели TTM'!AK14,IF('Фин.показатели TTM'!AK14="","н.д.",'Фин.показатели TTM'!AK14)),'Фин.показатели TTM'!L14))</x:f>
        <x:v>н.д.</x:v>
      </x:c>
      <x:c r="AN18" s="31" t="str">
        <x:f>IF(ISNUMBER('Фин.показатели TTM'!M14),'Фин.показатели TTM'!M14,IF('Фин.показатели TTM'!M14="","н.д.",'Фин.показатели TTM'!M14))</x:f>
        <x:v>н.д.</x:v>
      </x:c>
      <x:c r="AO18" s="31" t="n">
        <x:f>IF(ISNUMBER('Фин.показатели TTM'!N14),'Фин.показатели TTM'!N14,IF('Фин.показатели TTM'!N14="","н.д.",'Фин.показатели TTM'!N14))</x:f>
        <x:v>21225</x:v>
      </x:c>
      <x:c r="AP18" s="31" t="n">
        <x:f>IF(ISNUMBER('Фин.показатели TTM'!O14),'Фин.показатели TTM'!O14,IF('Фин.показатели TTM'!O14="","н.д.",'Фин.показатели TTM'!O14))</x:f>
        <x:v>-153968</x:v>
      </x:c>
      <x:c r="AQ18" s="3"/>
      <x:c r="AR18" s="3"/>
    </x:row>
    <x:row r="19">
      <x:c r="B19" s="3">
        <x:v>9</x:v>
      </x:c>
      <x:c r="C19" s="3" t="s">
        <x:v>83</x:v>
      </x:c>
      <x:c r="D19" s="50" t="s">
        <x:v>84</x:v>
      </x:c>
      <x:c r="E19" s="3"/>
      <x:c r="F19" s="35" t="n">
        <x:f t="shared" si="3">IF(COLUMN()=8,IF(ISNUMBER(AJ19),IF(AJ19&lt;=0,"н.п.",IF(ISNUMBER($AG19),$AG19/AJ19,IF($AG19="","н.д.",$AG19))),IF(AJ19="","н.д.",AJ19)),IF(ISNUMBER(AJ19),IF(AJ19&lt;=0,"н.п.",IF(ISNUMBER($AF19),$AF19/AJ19,IF($AF19="","н.д.",$AF19))),IF(AJ19="","н.д.",AJ19)))</x:f>
        <x:v>3.324110423629748</x:v>
      </x:c>
      <x:c r="G19" s="35" t="n">
        <x:f t="shared" si="3">IF(COLUMN()=8,IF(ISNUMBER(AK19),IF(AK19&lt;=0,"н.п.",IF(ISNUMBER($AG19),$AG19/AK19,IF($AG19="","н.д.",$AG19))),IF(AK19="","н.д.",AK19)),IF(ISNUMBER(AK19),IF(AK19&lt;=0,"н.п.",IF(ISNUMBER($AF19),$AF19/AK19,IF($AF19="","н.д.",$AF19))),IF(AK19="","н.д.",AK19)))</x:f>
        <x:v>3.2559849034005386</x:v>
      </x:c>
      <x:c r="H19" s="35" t="n">
        <x:f t="shared" si="3">IF(COLUMN()=8,IF(ISNUMBER(AL19),IF(AL19&lt;=0,"н.п.",IF(ISNUMBER($AG19),$AG19/AL19,IF($AG19="","н.д.",$AG19))),IF(AL19="","н.д.",AL19)),IF(ISNUMBER(AL19),IF(AL19&lt;=0,"н.п.",IF(ISNUMBER($AF19),$AF19/AL19,IF($AF19="","н.д.",$AF19))),IF(AL19="","н.д.",AL19)))</x:f>
        <x:v>2.7910438914568294</x:v>
      </x:c>
      <x:c r="I19" s="35" t="str">
        <x:f t="shared" si="3">IF(COLUMN()=8,IF(ISNUMBER(AM19),IF(AM19&lt;=0,"н.п.",IF(ISNUMBER($AG19),$AG19/AM19,IF($AG19="","н.д.",$AG19))),IF(AM19="","н.д.",AM19)),IF(ISNUMBER(AM19),IF(AM19&lt;=0,"н.п.",IF(ISNUMBER($AF19),$AF19/AM19,IF($AF19="","н.д.",$AF19))),IF(AM19="","н.д.",AM19)))</x:f>
        <x:v>н.п.</x:v>
      </x:c>
      <x:c r="J19" s="35" t="str">
        <x:f t="shared" si="3">IF(COLUMN()=8,IF(ISNUMBER(AN19),IF(AN19&lt;=0,"н.п.",IF(ISNUMBER($AG19),$AG19/AN19,IF($AG19="","н.д.",$AG19))),IF(AN19="","н.д.",AN19)),IF(ISNUMBER(AN19),IF(AN19&lt;=0,"н.п.",IF(ISNUMBER($AF19),$AF19/AN19,IF($AF19="","н.д.",$AF19))),IF(AN19="","н.д.",AN19)))</x:f>
        <x:v>н.д.</x:v>
      </x:c>
      <x:c r="K19" s="35" t="n">
        <x:f t="shared" si="0">IF(ISNUMBER(AI19),IF(AI19=0,"н.п.",IF(ISNUMBER(AF19),AF19/AI19,IF(AF19="","н.д.",AF19))),IF(AI19="","н.д.",AI19))</x:f>
        <x:v>0.3165033926582422</x:v>
      </x:c>
      <x:c r="L19" s="35" t="n">
        <x:f t="shared" si="4">IF(ISNUMBER(AO19),IF(AO19&lt;=0,"н.п.",IF(ISNUMBER(X19),X19/AO19,IF(X19="","н.д.",X19))),IF(AO19="","н.д.",AO19))</x:f>
        <x:v>7.366968722602716</x:v>
      </x:c>
      <x:c r="M19" s="35" t="n">
        <x:f t="shared" si="1">IF(ISNUMBER(AP19),IF(AP19=0,"н.п.",IF(ISNUMBER(X19),X19/AP19,IF(X19="","н.д.",X19))),IF(AP19="","н.д.",AP19))</x:f>
        <x:v>7.631188286080641</x:v>
      </x:c>
      <x:c r="N19" s="35" t="n">
        <x:f t="shared" si="2">IF(ISNUMBER(AI19),IF(AI19=0,"н.п.",IF(ISNUMBER(X19),X19/AI19,IF(X19="","н.д.",X19))),IF(AI19="","н.д.",AI19))</x:f>
        <x:v>0.10053001529547799</x:v>
      </x:c>
      <x:c r="O19" s="35" t="n">
        <x:f t="shared" si="5">IF(COLUMN()=17,IF(ISNUMBER(AJ19),IF(AJ19&lt;=0,"н.п.",IF(ISNUMBER($AB19),$AB19/AJ19,IF($AB19="","н.д.",$AB19))),IF(AJ19="","н.д.",AJ19)),IF($C$6="Да",IF(ISNUMBER(AJ19),IF(AJ19&lt;=0,"н.п.",IF(ISNUMBER($AA19),$AA19/AJ19,IF($AA19="","н.д.",$AA19))),IF(AJ19="","н.д.",AJ19)),IF(ISNUMBER(AJ19),IF(AJ19&lt;=0,"н.п.",IF(ISNUMBER($Z19),$Z19/AJ19,IF($Z19="","н.д.",$Z19))),IF(AJ19="","н.д.",AJ19))))</x:f>
        <x:v>2.2682832840698457</x:v>
      </x:c>
      <x:c r="P19" s="35" t="n">
        <x:f t="shared" si="5">IF(COLUMN()=17,IF(ISNUMBER(AK19),IF(AK19&lt;=0,"н.п.",IF(ISNUMBER($AB19),$AB19/AK19,IF($AB19="","н.д.",$AB19))),IF(AK19="","н.д.",AK19)),IF($C$6="Да",IF(ISNUMBER(AK19),IF(AK19&lt;=0,"н.п.",IF(ISNUMBER($AA19),$AA19/AK19,IF($AA19="","н.д.",$AA19))),IF(AK19="","н.д.",AK19)),IF(ISNUMBER(AK19),IF(AK19&lt;=0,"н.п.",IF(ISNUMBER($Z19),$Z19/AK19,IF($Z19="","н.д.",$Z19))),IF(AK19="","н.д.",AK19))))</x:f>
        <x:v>2.2217962667746316</x:v>
      </x:c>
      <x:c r="Q19" s="35" t="n">
        <x:f t="shared" si="5">IF(COLUMN()=17,IF(ISNUMBER(AL19),IF(AL19&lt;=0,"н.п.",IF(ISNUMBER($AB19),$AB19/AL19,IF($AB19="","н.д.",$AB19))),IF(AL19="","н.д.",AL19)),IF($C$6="Да",IF(ISNUMBER(AL19),IF(AL19&lt;=0,"н.п.",IF(ISNUMBER($AA19),$AA19/AL19,IF($AA19="","н.д.",$AA19))),IF(AL19="","н.д.",AL19)),IF(ISNUMBER(AL19),IF(AL19&lt;=0,"н.п.",IF(ISNUMBER($Z19),$Z19/AL19,IF($Z19="","н.д.",$Z19))),IF(AL19="","н.д.",AL19))))</x:f>
        <x:v>1.0823145344765714</x:v>
      </x:c>
      <x:c r="R19" s="35" t="str">
        <x:f t="shared" si="5">IF(COLUMN()=17,IF(ISNUMBER(AM19),IF(AM19&lt;=0,"н.п.",IF(ISNUMBER($AB19),$AB19/AM19,IF($AB19="","н.д.",$AB19))),IF(AM19="","н.д.",AM19)),IF($C$6="Да",IF(ISNUMBER(AM19),IF(AM19&lt;=0,"н.п.",IF(ISNUMBER($AA19),$AA19/AM19,IF($AA19="","н.д.",$AA19))),IF(AM19="","н.д.",AM19)),IF(ISNUMBER(AM19),IF(AM19&lt;=0,"н.п.",IF(ISNUMBER($Z19),$Z19/AM19,IF($Z19="","н.д.",$Z19))),IF(AM19="","н.д.",AM19))))</x:f>
        <x:v>н.п.</x:v>
      </x:c>
      <x:c r="S19" s="35" t="str">
        <x:f t="shared" si="5">IF(COLUMN()=17,IF(ISNUMBER(AN19),IF(AN19&lt;=0,"н.п.",IF(ISNUMBER($AB19),$AB19/AN19,IF($AB19="","н.д.",$AB19))),IF(AN19="","н.д.",AN19)),IF($C$6="Да",IF(ISNUMBER(AN19),IF(AN19&lt;=0,"н.п.",IF(ISNUMBER($AA19),$AA19/AN19,IF($AA19="","н.д.",$AA19))),IF(AN19="","н.д.",AN19)),IF(ISNUMBER(AN19),IF(AN19&lt;=0,"н.п.",IF(ISNUMBER($Z19),$Z19/AN19,IF($Z19="","н.д.",$Z19))),IF(AN19="","н.д.",AN19))))</x:f>
        <x:v>н.д.</x:v>
      </x:c>
      <x:c r="T19" s="3"/>
      <x:c r="U19" s="51" t="n">
        <x:f>Котировки!C11</x:f>
        <x:v>1805.928571429</x:v>
      </x:c>
      <x:c r="V19" s="51" t="n">
        <x:f>Котировки!E11</x:f>
        <x:v>271572872</x:v>
      </x:c>
      <x:c r="W19" s="53"/>
      <x:c r="X19" s="31" t="n">
        <x:f t="shared" si="6">IF($C$5="Да",IF(ISNUMBER(W19),IF(ISNUMBER(U19),U19*W19/10^6,IF(U19="","н.д.",U19)),IF(W19="","н.д.",W19)),IF(ISNUMBER(V19),IF(ISNUMBER(U19),U19*V19/10^6,IF(U19="","н.д.",U19)),IF(V19="","н.д.",V19)))</x:f>
        <x:v>490441.20876983064</x:v>
      </x:c>
      <x:c r="Y19" s="3"/>
      <x:c r="Z19" s="31" t="n">
        <x:f>IF(ISNUMBER('Фин.показатели TTM'!E15),'Фин.показатели TTM'!E15,IF('Фин.показатели TTM'!E15="",IF(ISNUMBER('Фин.показатели TTM'!R15),'Фин.показатели TTM'!R15,IF('Фин.показатели TTM'!R15="","н.д.",'Фин.показатели TTM'!R15)),'Фин.показатели TTM'!E15))</x:f>
        <x:v>1053638</x:v>
      </x:c>
      <x:c r="AA19" s="31" t="n">
        <x:f>IF(ISNUMBER('Фин.показатели TTM'!F15),'Фин.показатели TTM'!F15,IF('Фин.показатели TTM'!F15="","н.д.",'Фин.показатели TTM'!F15))</x:f>
        <x:v>1053638</x:v>
      </x:c>
      <x:c r="AB19" s="31" t="n">
        <x:f>IF(ISNUMBER('Фин.показатели TTM'!G15),'Фин.показатели TTM'!G15,IF('Фин.показатели TTM'!G15="",IF(ISNUMBER('Фин.показатели TTM'!Y15),'Фин.показатели TTM'!Y15,IF('Фин.показатели TTM'!Y15="","н.д.",'Фин.показатели TTM'!Y15)),'Фин.показатели TTM'!G15))</x:f>
        <x:v>310647</x:v>
      </x:c>
      <x:c r="AC19" s="34">
        <x:v>0</x:v>
      </x:c>
      <x:c r="AD19" s="34" t="n">
        <x:f>Котировки!D11*Котировки!F11/10^6</x:f>
        <x:v>0</x:v>
      </x:c>
      <x:c r="AE19" s="34"/>
      <x:c r="AF19" s="31" t="n">
        <x:f t="shared" si="7">IF($C$6="Да",IF(ISNUMBER(AA19),IF(ISNUMBER(X19),IF(COUNTIF(AC19:AE19,"н.д.")&gt;0,"н.д.",X19+AA19+SUM(AC19:AE19)),IF(X19="","н.д.",X19)),IF(AA19="","н.д.",AA19)),IF(ISNUMBER(Z19),IF(ISNUMBER(X19),IF(COUNTIF(AC19:AE19,"н.д.")&gt;0,"н.д.",X19+Z19+SUM(AC19:AE19)),IF(X19="","н.д.",X19)),IF(Z19="","н.д.",Z19)))</x:f>
        <x:v>1544079.2087698306</x:v>
      </x:c>
      <x:c r="AG19" s="31" t="n">
        <x:f t="shared" si="8">IF(ISNUMBER(AB19),IF(ISNUMBER(X19),IF(COUNTIF(AC19:AE19,"н.д.")&gt;0,"н.д.",X19+AB19+SUM(AC19:AE19)),IF(X19="","н.д.",X19)),IF(AB19="","н.д.",AB19))</x:f>
        <x:v>801088.2087698306</x:v>
      </x:c>
      <x:c r="AH19" s="3"/>
      <x:c r="AI19" s="31" t="n">
        <x:f>IF(ISNUMBER('Фин.показатели TTM'!H15),'Фин.показатели TTM'!H15,IF('Фин.показатели TTM'!H15="","н.д.",'Фин.показатели TTM'!H15))</x:f>
        <x:v>4878555</x:v>
      </x:c>
      <x:c r="AJ19" s="31" t="n">
        <x:f>IF(ISNUMBER('Фин.показатели TTM'!I15),'Фин.показатели TTM'!I15,IF('Фин.показатели TTM'!I15="",IF(ISNUMBER('Фин.показатели TTM'!Z15),'Фин.показатели TTM'!Z15,IF('Фин.показатели TTM'!Z15="","н.д.",'Фин.показатели TTM'!Z15)),'Фин.показатели TTM'!I15))</x:f>
        <x:v>464509</x:v>
      </x:c>
      <x:c r="AK19" s="31" t="n">
        <x:f>IF(ISNUMBER('Фин.показатели TTM'!J15),'Фин.показатели TTM'!J15,IF('Фин.показатели TTM'!J15="","н.д.",'Фин.показатели TTM'!J15))</x:f>
        <x:v>474228</x:v>
      </x:c>
      <x:c r="AL19" s="31" t="n">
        <x:f>IF(ISNUMBER('Фин.показатели TTM'!K15),'Фин.показатели TTM'!K15,IF('Фин.показатели TTM'!K15="",IF(ISNUMBER('Фин.показатели TTM'!AI15),'Фин.показатели TTM'!AI15,IF('Фин.показатели TTM'!AI15="","н.д.",'Фин.показатели TTM'!AI15)),'Фин.показатели TTM'!K15))</x:f>
        <x:v>287021</x:v>
      </x:c>
      <x:c r="AM19" s="31" t="str">
        <x:f>IF(ISNUMBER('Фин.показатели TTM'!L15),'Фин.показатели TTM'!L15,IF('Фин.показатели TTM'!L15="",IF(ISNUMBER('Фин.показатели TTM'!AK15),'Фин.показатели TTM'!AK15,IF('Фин.показатели TTM'!AK15="","н.д.",'Фин.показатели TTM'!AK15)),'Фин.показатели TTM'!L15))</x:f>
        <x:v>н.п.</x:v>
      </x:c>
      <x:c r="AN19" s="31" t="str">
        <x:f>IF(ISNUMBER('Фин.показатели TTM'!M15),'Фин.показатели TTM'!M15,IF('Фин.показатели TTM'!M15="","н.д.",'Фин.показатели TTM'!M15))</x:f>
        <x:v>н.д.</x:v>
      </x:c>
      <x:c r="AO19" s="31" t="n">
        <x:f>IF(ISNUMBER('Фин.показатели TTM'!N15),'Фин.показатели TTM'!N15,IF('Фин.показатели TTM'!N15="","н.д.",'Фин.показатели TTM'!N15))</x:f>
        <x:v>66573</x:v>
      </x:c>
      <x:c r="AP19" s="31" t="n">
        <x:f>IF(ISNUMBER('Фин.показатели TTM'!O15),'Фин.показатели TTM'!O15,IF('Фин.показатели TTM'!O15="","н.д.",'Фин.показатели TTM'!O15))</x:f>
        <x:v>64268</x:v>
      </x:c>
      <x:c r="AQ19" s="3"/>
      <x:c r="AR19" s="3"/>
    </x:row>
    <x:row r="20">
      <x:c r="B20" s="3">
        <x:v>10</x:v>
      </x:c>
      <x:c r="C20" s="3" t="s">
        <x:v>85</x:v>
      </x:c>
      <x:c r="D20" s="50" t="s">
        <x:v>71</x:v>
      </x:c>
      <x:c r="E20" s="3"/>
      <x:c r="F20" s="35" t="str">
        <x:f t="shared" si="3">IF(COLUMN()=8,IF(ISNUMBER(AJ20),IF(AJ20&lt;=0,"н.п.",IF(ISNUMBER($AG20),$AG20/AJ20,IF($AG20="","н.д.",$AG20))),IF(AJ20="","н.д.",AJ20)),IF(ISNUMBER(AJ20),IF(AJ20&lt;=0,"н.п.",IF(ISNUMBER($AF20),$AF20/AJ20,IF($AF20="","н.д.",$AF20))),IF(AJ20="","н.д.",AJ20)))</x:f>
        <x:v>н.д.</x:v>
      </x:c>
      <x:c r="G20" s="35" t="str">
        <x:f t="shared" si="3">IF(COLUMN()=8,IF(ISNUMBER(AK20),IF(AK20&lt;=0,"н.п.",IF(ISNUMBER($AG20),$AG20/AK20,IF($AG20="","н.д.",$AG20))),IF(AK20="","н.д.",AK20)),IF(ISNUMBER(AK20),IF(AK20&lt;=0,"н.п.",IF(ISNUMBER($AF20),$AF20/AK20,IF($AF20="","н.д.",$AF20))),IF(AK20="","н.д.",AK20)))</x:f>
        <x:v>н.д.</x:v>
      </x:c>
      <x:c r="H20" s="35" t="str">
        <x:f t="shared" si="3">IF(COLUMN()=8,IF(ISNUMBER(AL20),IF(AL20&lt;=0,"н.п.",IF(ISNUMBER($AG20),$AG20/AL20,IF($AG20="","н.д.",$AG20))),IF(AL20="","н.д.",AL20)),IF(ISNUMBER(AL20),IF(AL20&lt;=0,"н.п.",IF(ISNUMBER($AF20),$AF20/AL20,IF($AF20="","н.д.",$AF20))),IF(AL20="","н.д.",AL20)))</x:f>
        <x:v>н.п.</x:v>
      </x:c>
      <x:c r="I20" s="35" t="str">
        <x:f t="shared" si="3">IF(COLUMN()=8,IF(ISNUMBER(AM20),IF(AM20&lt;=0,"н.п.",IF(ISNUMBER($AG20),$AG20/AM20,IF($AG20="","н.д.",$AG20))),IF(AM20="","н.д.",AM20)),IF(ISNUMBER(AM20),IF(AM20&lt;=0,"н.п.",IF(ISNUMBER($AF20),$AF20/AM20,IF($AF20="","н.д.",$AF20))),IF(AM20="","н.д.",AM20)))</x:f>
        <x:v>н.п.</x:v>
      </x:c>
      <x:c r="J20" s="35" t="str">
        <x:f t="shared" si="3">IF(COLUMN()=8,IF(ISNUMBER(AN20),IF(AN20&lt;=0,"н.п.",IF(ISNUMBER($AG20),$AG20/AN20,IF($AG20="","н.д.",$AG20))),IF(AN20="","н.д.",AN20)),IF(ISNUMBER(AN20),IF(AN20&lt;=0,"н.п.",IF(ISNUMBER($AF20),$AF20/AN20,IF($AF20="","н.д.",$AF20))),IF(AN20="","н.д.",AN20)))</x:f>
        <x:v>н.д.</x:v>
      </x:c>
      <x:c r="K20" s="35" t="str">
        <x:f t="shared" si="0">IF(ISNUMBER(AI20),IF(AI20=0,"н.п.",IF(ISNUMBER(AF20),AF20/AI20,IF(AF20="","н.д.",AF20))),IF(AI20="","н.д.",AI20))</x:f>
        <x:v>н.д.</x:v>
      </x:c>
      <x:c r="L20" s="35" t="n">
        <x:f t="shared" si="4">IF(ISNUMBER(AO20),IF(AO20&lt;=0,"н.п.",IF(ISNUMBER(X20),X20/AO20,IF(X20="","н.д.",X20))),IF(AO20="","н.д.",AO20))</x:f>
        <x:v>14.754319995303177</x:v>
      </x:c>
      <x:c r="M20" s="35" t="str">
        <x:f t="shared" si="1">IF(ISNUMBER(AP20),IF(AP20=0,"н.п.",IF(ISNUMBER(X20),X20/AP20,IF(X20="","н.д.",X20))),IF(AP20="","н.д.",AP20))</x:f>
        <x:v>н.д.</x:v>
      </x:c>
      <x:c r="N20" s="35" t="n">
        <x:f t="shared" si="2">IF(ISNUMBER(AI20),IF(AI20=0,"н.п.",IF(ISNUMBER(X20),X20/AI20,IF(X20="","н.д.",X20))),IF(AI20="","н.д.",AI20))</x:f>
        <x:v>0.44287961254359576</x:v>
      </x:c>
      <x:c r="O20" s="35" t="str">
        <x:f t="shared" si="5">IF(COLUMN()=17,IF(ISNUMBER(AJ20),IF(AJ20&lt;=0,"н.п.",IF(ISNUMBER($AB20),$AB20/AJ20,IF($AB20="","н.д.",$AB20))),IF(AJ20="","н.д.",AJ20)),IF($C$6="Да",IF(ISNUMBER(AJ20),IF(AJ20&lt;=0,"н.п.",IF(ISNUMBER($AA20),$AA20/AJ20,IF($AA20="","н.д.",$AA20))),IF(AJ20="","н.д.",AJ20)),IF(ISNUMBER(AJ20),IF(AJ20&lt;=0,"н.п.",IF(ISNUMBER($Z20),$Z20/AJ20,IF($Z20="","н.д.",$Z20))),IF(AJ20="","н.д.",AJ20))))</x:f>
        <x:v>н.д.</x:v>
      </x:c>
      <x:c r="P20" s="35" t="str">
        <x:f t="shared" si="5">IF(COLUMN()=17,IF(ISNUMBER(AK20),IF(AK20&lt;=0,"н.п.",IF(ISNUMBER($AB20),$AB20/AK20,IF($AB20="","н.д.",$AB20))),IF(AK20="","н.д.",AK20)),IF($C$6="Да",IF(ISNUMBER(AK20),IF(AK20&lt;=0,"н.п.",IF(ISNUMBER($AA20),$AA20/AK20,IF($AA20="","н.д.",$AA20))),IF(AK20="","н.д.",AK20)),IF(ISNUMBER(AK20),IF(AK20&lt;=0,"н.п.",IF(ISNUMBER($Z20),$Z20/AK20,IF($Z20="","н.д.",$Z20))),IF(AK20="","н.д.",AK20))))</x:f>
        <x:v>н.д.</x:v>
      </x:c>
      <x:c r="Q20" s="35" t="str">
        <x:f t="shared" si="5">IF(COLUMN()=17,IF(ISNUMBER(AL20),IF(AL20&lt;=0,"н.п.",IF(ISNUMBER($AB20),$AB20/AL20,IF($AB20="","н.д.",$AB20))),IF(AL20="","н.д.",AL20)),IF($C$6="Да",IF(ISNUMBER(AL20),IF(AL20&lt;=0,"н.п.",IF(ISNUMBER($AA20),$AA20/AL20,IF($AA20="","н.д.",$AA20))),IF(AL20="","н.д.",AL20)),IF(ISNUMBER(AL20),IF(AL20&lt;=0,"н.п.",IF(ISNUMBER($Z20),$Z20/AL20,IF($Z20="","н.д.",$Z20))),IF(AL20="","н.д.",AL20))))</x:f>
        <x:v>н.п.</x:v>
      </x:c>
      <x:c r="R20" s="35" t="str">
        <x:f t="shared" si="5">IF(COLUMN()=17,IF(ISNUMBER(AM20),IF(AM20&lt;=0,"н.п.",IF(ISNUMBER($AB20),$AB20/AM20,IF($AB20="","н.д.",$AB20))),IF(AM20="","н.д.",AM20)),IF($C$6="Да",IF(ISNUMBER(AM20),IF(AM20&lt;=0,"н.п.",IF(ISNUMBER($AA20),$AA20/AM20,IF($AA20="","н.д.",$AA20))),IF(AM20="","н.д.",AM20)),IF(ISNUMBER(AM20),IF(AM20&lt;=0,"н.п.",IF(ISNUMBER($Z20),$Z20/AM20,IF($Z20="","н.д.",$Z20))),IF(AM20="","н.д.",AM20))))</x:f>
        <x:v>н.п.</x:v>
      </x:c>
      <x:c r="S20" s="35" t="str">
        <x:f t="shared" si="5">IF(COLUMN()=17,IF(ISNUMBER(AN20),IF(AN20&lt;=0,"н.п.",IF(ISNUMBER($AB20),$AB20/AN20,IF($AB20="","н.д.",$AB20))),IF(AN20="","н.д.",AN20)),IF($C$6="Да",IF(ISNUMBER(AN20),IF(AN20&lt;=0,"н.п.",IF(ISNUMBER($AA20),$AA20/AN20,IF($AA20="","н.д.",$AA20))),IF(AN20="","н.д.",AN20)),IF(ISNUMBER(AN20),IF(AN20&lt;=0,"н.п.",IF(ISNUMBER($Z20),$Z20/AN20,IF($Z20="","н.д.",$Z20))),IF(AN20="","н.д.",AN20))))</x:f>
        <x:v>н.д.</x:v>
      </x:c>
      <x:c r="T20" s="3"/>
      <x:c r="U20" s="51" t="n">
        <x:f>Котировки!C12</x:f>
        <x:v>345.254761905</x:v>
      </x:c>
      <x:c r="V20" s="51" t="n">
        <x:f>Котировки!E12</x:f>
        <x:v>10598177817</x:v>
      </x:c>
      <x:c r="W20" s="53"/>
      <x:c r="X20" s="31" t="n">
        <x:f t="shared" si="6">IF($C$5="Да",IF(ISNUMBER(W20),IF(ISNUMBER(U20),U20*W20/10^6,IF(U20="","н.д.",U20)),IF(W20="","н.д.",W20)),IF(ISNUMBER(V20),IF(ISNUMBER(U20),U20*V20/10^6,IF(U20="","н.д.",U20)),IF(V20="","н.д.",V20)))</x:f>
        <x:v>3659071.358835188</x:v>
      </x:c>
      <x:c r="Y20" s="3"/>
      <x:c r="Z20" s="31" t="str">
        <x:f>IF(ISNUMBER('Фин.показатели TTM'!E16),'Фин.показатели TTM'!E16,IF('Фин.показатели TTM'!E16="",IF(ISNUMBER('Фин.показатели TTM'!R16),'Фин.показатели TTM'!R16,IF('Фин.показатели TTM'!R16="","н.д.",'Фин.показатели TTM'!R16)),'Фин.показатели TTM'!E16))</x:f>
        <x:v>н.д.</x:v>
      </x:c>
      <x:c r="AA20" s="31" t="str">
        <x:f>IF(ISNUMBER('Фин.показатели TTM'!F16),'Фин.показатели TTM'!F16,IF('Фин.показатели TTM'!F16="","н.д.",'Фин.показатели TTM'!F16))</x:f>
        <x:v>н.д.</x:v>
      </x:c>
      <x:c r="AB20" s="31" t="str">
        <x:f>IF(ISNUMBER('Фин.показатели TTM'!G16),'Фин.показатели TTM'!G16,IF('Фин.показатели TTM'!G16="",IF(ISNUMBER('Фин.показатели TTM'!Y16),'Фин.показатели TTM'!Y16,IF('Фин.показатели TTM'!Y16="","н.д.",'Фин.показатели TTM'!Y16)),'Фин.показатели TTM'!G16))</x:f>
        <x:v>н.п.</x:v>
      </x:c>
      <x:c r="AC20" s="34"/>
      <x:c r="AD20" s="34" t="n">
        <x:f>Котировки!D12*Котировки!F12/10^6</x:f>
        <x:v>0</x:v>
      </x:c>
      <x:c r="AE20" s="34"/>
      <x:c r="AF20" s="31" t="str">
        <x:f t="shared" si="7">IF($C$6="Да",IF(ISNUMBER(AA20),IF(ISNUMBER(X20),IF(COUNTIF(AC20:AE20,"н.д.")&gt;0,"н.д.",X20+AA20+SUM(AC20:AE20)),IF(X20="","н.д.",X20)),IF(AA20="","н.д.",AA20)),IF(ISNUMBER(Z20),IF(ISNUMBER(X20),IF(COUNTIF(AC20:AE20,"н.д.")&gt;0,"н.д.",X20+Z20+SUM(AC20:AE20)),IF(X20="","н.д.",X20)),IF(Z20="","н.д.",Z20)))</x:f>
        <x:v>н.д.</x:v>
      </x:c>
      <x:c r="AG20" s="31" t="str">
        <x:f t="shared" si="8">IF(ISNUMBER(AB20),IF(ISNUMBER(X20),IF(COUNTIF(AC20:AE20,"н.д.")&gt;0,"н.д.",X20+AB20+SUM(AC20:AE20)),IF(X20="","н.д.",X20)),IF(AB20="","н.д.",AB20))</x:f>
        <x:v>н.п.</x:v>
      </x:c>
      <x:c r="AH20" s="3"/>
      <x:c r="AI20" s="31" t="n">
        <x:f>IF(ISNUMBER('Фин.показатели TTM'!H16),'Фин.показатели TTM'!H16,IF('Фин.показатели TTM'!H16="","н.д.",'Фин.показатели TTM'!H16))</x:f>
        <x:v>8262000</x:v>
      </x:c>
      <x:c r="AJ20" s="31" t="n">
        <x:f>IF(ISNUMBER('Фин.показатели TTM'!I16),'Фин.показатели TTM'!I16,IF('Фин.показатели TTM'!I16="",IF(ISNUMBER('Фин.показатели TTM'!Z16),'Фин.показатели TTM'!Z16,IF('Фин.показатели TTM'!Z16="","н.д.",'Фин.показатели TTM'!Z16)),'Фин.показатели TTM'!I16))</x:f>
        <x:v>2415000</x:v>
      </x:c>
      <x:c r="AK20" s="31" t="str">
        <x:f>IF(ISNUMBER('Фин.показатели TTM'!J16),'Фин.показатели TTM'!J16,IF('Фин.показатели TTM'!J16="","н.д.",'Фин.показатели TTM'!J16))</x:f>
        <x:v>н.д.</x:v>
      </x:c>
      <x:c r="AL20" s="31" t="str">
        <x:f>IF(ISNUMBER('Фин.показатели TTM'!K16),'Фин.показатели TTM'!K16,IF('Фин.показатели TTM'!K16="",IF(ISNUMBER('Фин.показатели TTM'!AI16),'Фин.показатели TTM'!AI16,IF('Фин.показатели TTM'!AI16="","н.д.",'Фин.показатели TTM'!AI16)),'Фин.показатели TTM'!K16))</x:f>
        <x:v>н.п.</x:v>
      </x:c>
      <x:c r="AM20" s="31" t="str">
        <x:f>IF(ISNUMBER('Фин.показатели TTM'!L16),'Фин.показатели TTM'!L16,IF('Фин.показатели TTM'!L16="",IF(ISNUMBER('Фин.показатели TTM'!AK16),'Фин.показатели TTM'!AK16,IF('Фин.показатели TTM'!AK16="","н.д.",'Фин.показатели TTM'!AK16)),'Фин.показатели TTM'!L16))</x:f>
        <x:v>н.п.</x:v>
      </x:c>
      <x:c r="AN20" s="31" t="str">
        <x:f>IF(ISNUMBER('Фин.показатели TTM'!M16),'Фин.показатели TTM'!M16,IF('Фин.показатели TTM'!M16="","н.д.",'Фин.показатели TTM'!M16))</x:f>
        <x:v>н.д.</x:v>
      </x:c>
      <x:c r="AO20" s="31" t="n">
        <x:f>IF(ISNUMBER('Фин.показатели TTM'!N16),'Фин.показатели TTM'!N16,IF('Фин.показатели TTM'!N16="","н.д.",'Фин.показатели TTM'!N16))</x:f>
        <x:v>248000</x:v>
      </x:c>
      <x:c r="AP20" s="31" t="str">
        <x:f>IF(ISNUMBER('Фин.показатели TTM'!O16),'Фин.показатели TTM'!O16,IF('Фин.показатели TTM'!O16="","н.д.",'Фин.показатели TTM'!O16))</x:f>
        <x:v>н.д.</x:v>
      </x:c>
      <x:c r="AQ20" s="3"/>
      <x:c r="AR20" s="3"/>
    </x:row>
    <x:row r="21">
      <x:c r="B21" s="3">
        <x:v>11</x:v>
      </x:c>
      <x:c r="C21" s="3" t="s">
        <x:v>86</x:v>
      </x:c>
      <x:c r="D21" s="50" t="s">
        <x:v>80</x:v>
      </x:c>
      <x:c r="E21" s="3"/>
      <x:c r="F21" s="35" t="str">
        <x:f t="shared" si="3">IF(COLUMN()=8,IF(ISNUMBER(AJ21),IF(AJ21&lt;=0,"н.п.",IF(ISNUMBER($AG21),$AG21/AJ21,IF($AG21="","н.д.",$AG21))),IF(AJ21="","н.д.",AJ21)),IF(ISNUMBER(AJ21),IF(AJ21&lt;=0,"н.п.",IF(ISNUMBER($AF21),$AF21/AJ21,IF($AF21="","н.д.",$AF21))),IF(AJ21="","н.д.",AJ21)))</x:f>
        <x:v>н.д.</x:v>
      </x:c>
      <x:c r="G21" s="35" t="str">
        <x:f t="shared" si="3">IF(COLUMN()=8,IF(ISNUMBER(AK21),IF(AK21&lt;=0,"н.п.",IF(ISNUMBER($AG21),$AG21/AK21,IF($AG21="","н.д.",$AG21))),IF(AK21="","н.д.",AK21)),IF(ISNUMBER(AK21),IF(AK21&lt;=0,"н.п.",IF(ISNUMBER($AF21),$AF21/AK21,IF($AF21="","н.д.",$AF21))),IF(AK21="","н.д.",AK21)))</x:f>
        <x:v>н.д.</x:v>
      </x:c>
      <x:c r="H21" s="35" t="str">
        <x:f t="shared" si="3">IF(COLUMN()=8,IF(ISNUMBER(AL21),IF(AL21&lt;=0,"н.п.",IF(ISNUMBER($AG21),$AG21/AL21,IF($AG21="","н.д.",$AG21))),IF(AL21="","н.д.",AL21)),IF(ISNUMBER(AL21),IF(AL21&lt;=0,"н.п.",IF(ISNUMBER($AF21),$AF21/AL21,IF($AF21="","н.д.",$AF21))),IF(AL21="","н.д.",AL21)))</x:f>
        <x:v>н.п.</x:v>
      </x:c>
      <x:c r="I21" s="35" t="str">
        <x:f t="shared" si="3">IF(COLUMN()=8,IF(ISNUMBER(AM21),IF(AM21&lt;=0,"н.п.",IF(ISNUMBER($AG21),$AG21/AM21,IF($AG21="","н.д.",$AG21))),IF(AM21="","н.д.",AM21)),IF(ISNUMBER(AM21),IF(AM21&lt;=0,"н.п.",IF(ISNUMBER($AF21),$AF21/AM21,IF($AF21="","н.д.",$AF21))),IF(AM21="","н.д.",AM21)))</x:f>
        <x:v>н.п.</x:v>
      </x:c>
      <x:c r="J21" s="35" t="str">
        <x:f t="shared" si="3">IF(COLUMN()=8,IF(ISNUMBER(AN21),IF(AN21&lt;=0,"н.п.",IF(ISNUMBER($AG21),$AG21/AN21,IF($AG21="","н.д.",$AG21))),IF(AN21="","н.д.",AN21)),IF(ISNUMBER(AN21),IF(AN21&lt;=0,"н.п.",IF(ISNUMBER($AF21),$AF21/AN21,IF($AF21="","н.д.",$AF21))),IF(AN21="","н.д.",AN21)))</x:f>
        <x:v>н.д.</x:v>
      </x:c>
      <x:c r="K21" s="35" t="str">
        <x:f t="shared" si="0">IF(ISNUMBER(AI21),IF(AI21=0,"н.п.",IF(ISNUMBER(AF21),AF21/AI21,IF(AF21="","н.д.",AF21))),IF(AI21="","н.д.",AI21))</x:f>
        <x:v>н.д.</x:v>
      </x:c>
      <x:c r="L21" s="35" t="n">
        <x:f t="shared" si="4">IF(ISNUMBER(AO21),IF(AO21&lt;=0,"н.п.",IF(ISNUMBER(X21),X21/AO21,IF(X21="","н.д.",X21))),IF(AO21="","н.д.",AO21))</x:f>
        <x:v>6.612083063067954</x:v>
      </x:c>
      <x:c r="M21" s="35" t="n">
        <x:f t="shared" si="1">IF(ISNUMBER(AP21),IF(AP21=0,"н.п.",IF(ISNUMBER(X21),X21/AP21,IF(X21="","н.д.",X21))),IF(AP21="","н.д.",AP21))</x:f>
        <x:v>5.306435231418877</x:v>
      </x:c>
      <x:c r="N21" s="35" t="n">
        <x:f t="shared" si="2">IF(ISNUMBER(AI21),IF(AI21=0,"н.п.",IF(ISNUMBER(X21),X21/AI21,IF(X21="","н.д.",X21))),IF(AI21="","н.д.",AI21))</x:f>
        <x:v>1.775475984779733</x:v>
      </x:c>
      <x:c r="O21" s="35" t="str">
        <x:f t="shared" si="5">IF(COLUMN()=17,IF(ISNUMBER(AJ21),IF(AJ21&lt;=0,"н.п.",IF(ISNUMBER($AB21),$AB21/AJ21,IF($AB21="","н.д.",$AB21))),IF(AJ21="","н.д.",AJ21)),IF($C$6="Да",IF(ISNUMBER(AJ21),IF(AJ21&lt;=0,"н.п.",IF(ISNUMBER($AA21),$AA21/AJ21,IF($AA21="","н.д.",$AA21))),IF(AJ21="","н.д.",AJ21)),IF(ISNUMBER(AJ21),IF(AJ21&lt;=0,"н.п.",IF(ISNUMBER($Z21),$Z21/AJ21,IF($Z21="","н.д.",$Z21))),IF(AJ21="","н.д.",AJ21))))</x:f>
        <x:v>н.д.</x:v>
      </x:c>
      <x:c r="P21" s="35" t="str">
        <x:f t="shared" si="5">IF(COLUMN()=17,IF(ISNUMBER(AK21),IF(AK21&lt;=0,"н.п.",IF(ISNUMBER($AB21),$AB21/AK21,IF($AB21="","н.д.",$AB21))),IF(AK21="","н.д.",AK21)),IF($C$6="Да",IF(ISNUMBER(AK21),IF(AK21&lt;=0,"н.п.",IF(ISNUMBER($AA21),$AA21/AK21,IF($AA21="","н.д.",$AA21))),IF(AK21="","н.д.",AK21)),IF(ISNUMBER(AK21),IF(AK21&lt;=0,"н.п.",IF(ISNUMBER($Z21),$Z21/AK21,IF($Z21="","н.д.",$Z21))),IF(AK21="","н.д.",AK21))))</x:f>
        <x:v>н.д.</x:v>
      </x:c>
      <x:c r="Q21" s="35" t="str">
        <x:f t="shared" si="5">IF(COLUMN()=17,IF(ISNUMBER(AL21),IF(AL21&lt;=0,"н.п.",IF(ISNUMBER($AB21),$AB21/AL21,IF($AB21="","н.д.",$AB21))),IF(AL21="","н.д.",AL21)),IF($C$6="Да",IF(ISNUMBER(AL21),IF(AL21&lt;=0,"н.п.",IF(ISNUMBER($AA21),$AA21/AL21,IF($AA21="","н.д.",$AA21))),IF(AL21="","н.д.",AL21)),IF(ISNUMBER(AL21),IF(AL21&lt;=0,"н.п.",IF(ISNUMBER($Z21),$Z21/AL21,IF($Z21="","н.д.",$Z21))),IF(AL21="","н.д.",AL21))))</x:f>
        <x:v>н.п.</x:v>
      </x:c>
      <x:c r="R21" s="35" t="str">
        <x:f t="shared" si="5">IF(COLUMN()=17,IF(ISNUMBER(AM21),IF(AM21&lt;=0,"н.п.",IF(ISNUMBER($AB21),$AB21/AM21,IF($AB21="","н.д.",$AB21))),IF(AM21="","н.д.",AM21)),IF($C$6="Да",IF(ISNUMBER(AM21),IF(AM21&lt;=0,"н.п.",IF(ISNUMBER($AA21),$AA21/AM21,IF($AA21="","н.д.",$AA21))),IF(AM21="","н.д.",AM21)),IF(ISNUMBER(AM21),IF(AM21&lt;=0,"н.п.",IF(ISNUMBER($Z21),$Z21/AM21,IF($Z21="","н.д.",$Z21))),IF(AM21="","н.д.",AM21))))</x:f>
        <x:v>н.п.</x:v>
      </x:c>
      <x:c r="S21" s="35" t="str">
        <x:f t="shared" si="5">IF(COLUMN()=17,IF(ISNUMBER(AN21),IF(AN21&lt;=0,"н.п.",IF(ISNUMBER($AB21),$AB21/AN21,IF($AB21="","н.д.",$AB21))),IF(AN21="","н.д.",AN21)),IF($C$6="Да",IF(ISNUMBER(AN21),IF(AN21&lt;=0,"н.п.",IF(ISNUMBER($AA21),$AA21/AN21,IF($AA21="","н.д.",$AA21))),IF(AN21="","н.д.",AN21)),IF(ISNUMBER(AN21),IF(AN21&lt;=0,"н.п.",IF(ISNUMBER($Z21),$Z21/AN21,IF($Z21="","н.д.",$Z21))),IF(AN21="","н.д.",AN21))))</x:f>
        <x:v>н.д.</x:v>
      </x:c>
      <x:c r="T21" s="3"/>
      <x:c r="U21" s="51" t="n">
        <x:f>Котировки!C13</x:f>
        <x:v>985.99047619</x:v>
      </x:c>
      <x:c r="V21" s="51" t="n">
        <x:f>Котировки!E13</x:f>
        <x:v>1360694001</x:v>
      </x:c>
      <x:c r="W21" s="53"/>
      <x:c r="X21" s="31" t="n">
        <x:f t="shared" si="6">IF($C$5="Да",IF(ISNUMBER(W21),IF(ISNUMBER(U21),U21*W21/10^6,IF(U21="","н.д.",U21)),IF(W21="","н.д.",W21)),IF(ISNUMBER(V21),IF(ISNUMBER(U21),U21*V21/10^6,IF(U21="","н.д.",U21)),IF(V21="","н.д.",V21)))</x:f>
        <x:v>1341631.3259948662</x:v>
      </x:c>
      <x:c r="Y21" s="3"/>
      <x:c r="Z21" s="31" t="str">
        <x:f>IF(ISNUMBER('Фин.показатели TTM'!E17),'Фин.показатели TTM'!E17,IF('Фин.показатели TTM'!E17="",IF(ISNUMBER('Фин.показатели TTM'!R17),'Фин.показатели TTM'!R17,IF('Фин.показатели TTM'!R17="","н.д.",'Фин.показатели TTM'!R17)),'Фин.показатели TTM'!E17))</x:f>
        <x:v>н.д.</x:v>
      </x:c>
      <x:c r="AA21" s="31" t="str">
        <x:f>IF(ISNUMBER('Фин.показатели TTM'!F17),'Фин.показатели TTM'!F17,IF('Фин.показатели TTM'!F17="","н.д.",'Фин.показатели TTM'!F17))</x:f>
        <x:v>н.д.</x:v>
      </x:c>
      <x:c r="AB21" s="31" t="str">
        <x:f>IF(ISNUMBER('Фин.показатели TTM'!G17),'Фин.показатели TTM'!G17,IF('Фин.показатели TTM'!G17="",IF(ISNUMBER('Фин.показатели TTM'!Y17),'Фин.показатели TTM'!Y17,IF('Фин.показатели TTM'!Y17="","н.д.",'Фин.показатели TTM'!Y17)),'Фин.показатели TTM'!G17))</x:f>
        <x:v>н.п.</x:v>
      </x:c>
      <x:c r="AC21" s="34">
        <x:v>0</x:v>
      </x:c>
      <x:c r="AD21" s="34" t="n">
        <x:f>Котировки!D13*Котировки!F13/10^6</x:f>
        <x:v>0</x:v>
      </x:c>
      <x:c r="AE21" s="34"/>
      <x:c r="AF21" s="31" t="str">
        <x:f t="shared" si="7">IF($C$6="Да",IF(ISNUMBER(AA21),IF(ISNUMBER(X21),IF(COUNTIF(AC21:AE21,"н.д.")&gt;0,"н.д.",X21+AA21+SUM(AC21:AE21)),IF(X21="","н.д.",X21)),IF(AA21="","н.д.",AA21)),IF(ISNUMBER(Z21),IF(ISNUMBER(X21),IF(COUNTIF(AC21:AE21,"н.д.")&gt;0,"н.д.",X21+Z21+SUM(AC21:AE21)),IF(X21="","н.д.",X21)),IF(Z21="","н.д.",Z21)))</x:f>
        <x:v>н.д.</x:v>
      </x:c>
      <x:c r="AG21" s="31" t="str">
        <x:f t="shared" si="8">IF(ISNUMBER(AB21),IF(ISNUMBER(X21),IF(COUNTIF(AC21:AE21,"н.д.")&gt;0,"н.д.",X21+AB21+SUM(AC21:AE21)),IF(X21="","н.д.",X21)),IF(AB21="","н.д.",AB21))</x:f>
        <x:v>н.п.</x:v>
      </x:c>
      <x:c r="AH21" s="3"/>
      <x:c r="AI21" s="31" t="n">
        <x:f>IF(ISNUMBER('Фин.показатели TTM'!H17),'Фин.показатели TTM'!H17,IF('Фин.показатели TTM'!H17="","н.д.",'Фин.показатели TTM'!H17))</x:f>
        <x:v>755646</x:v>
      </x:c>
      <x:c r="AJ21" s="31" t="str">
        <x:f>IF(ISNUMBER('Фин.показатели TTM'!I17),'Фин.показатели TTM'!I17,IF('Фин.показатели TTM'!I17="",IF(ISNUMBER('Фин.показатели TTM'!Z17),'Фин.показатели TTM'!Z17,IF('Фин.показатели TTM'!Z17="","н.д.",'Фин.показатели TTM'!Z17)),'Фин.показатели TTM'!I17))</x:f>
        <x:v>н.д.</x:v>
      </x:c>
      <x:c r="AK21" s="31" t="str">
        <x:f>IF(ISNUMBER('Фин.показатели TTM'!J17),'Фин.показатели TTM'!J17,IF('Фин.показатели TTM'!J17="","н.д.",'Фин.показатели TTM'!J17))</x:f>
        <x:v>н.д.</x:v>
      </x:c>
      <x:c r="AL21" s="31" t="str">
        <x:f>IF(ISNUMBER('Фин.показатели TTM'!K17),'Фин.показатели TTM'!K17,IF('Фин.показатели TTM'!K17="",IF(ISNUMBER('Фин.показатели TTM'!AI17),'Фин.показатели TTM'!AI17,IF('Фин.показатели TTM'!AI17="","н.д.",'Фин.показатели TTM'!AI17)),'Фин.показатели TTM'!K17))</x:f>
        <x:v>н.п.</x:v>
      </x:c>
      <x:c r="AM21" s="31" t="str">
        <x:f>IF(ISNUMBER('Фин.показатели TTM'!L17),'Фин.показатели TTM'!L17,IF('Фин.показатели TTM'!L17="",IF(ISNUMBER('Фин.показатели TTM'!AK17),'Фин.показатели TTM'!AK17,IF('Фин.показатели TTM'!AK17="","н.д.",'Фин.показатели TTM'!AK17)),'Фин.показатели TTM'!L17))</x:f>
        <x:v>н.п.</x:v>
      </x:c>
      <x:c r="AN21" s="31" t="str">
        <x:f>IF(ISNUMBER('Фин.показатели TTM'!M17),'Фин.показатели TTM'!M17,IF('Фин.показатели TTM'!M17="","н.д.",'Фин.показатели TTM'!M17))</x:f>
        <x:v>н.д.</x:v>
      </x:c>
      <x:c r="AO21" s="31" t="n">
        <x:f>IF(ISNUMBER('Фин.показатели TTM'!N17),'Фин.показатели TTM'!N17,IF('Фин.показатели TTM'!N17="","н.д.",'Фин.показатели TTM'!N17))</x:f>
        <x:v>202906</x:v>
      </x:c>
      <x:c r="AP21" s="31" t="n">
        <x:f>IF(ISNUMBER('Фин.показатели TTM'!O17),'Фин.показатели TTM'!O17,IF('Фин.показатели TTM'!O17="","н.д.",'Фин.показатели TTM'!O17))</x:f>
        <x:v>252831</x:v>
      </x:c>
      <x:c r="AQ21" s="3"/>
      <x:c r="AR21" s="3"/>
    </x:row>
    <x:row r="22">
      <x:c r="B22" s="3">
        <x:v>12</x:v>
      </x:c>
      <x:c r="C22" s="3" t="s">
        <x:v>87</x:v>
      </x:c>
      <x:c r="D22" s="50" t="s">
        <x:v>71</x:v>
      </x:c>
      <x:c r="E22" s="3"/>
      <x:c r="F22" s="35" t="str">
        <x:f t="shared" si="3">IF(COLUMN()=8,IF(ISNUMBER(AJ22),IF(AJ22&lt;=0,"н.п.",IF(ISNUMBER($AG22),$AG22/AJ22,IF($AG22="","н.д.",$AG22))),IF(AJ22="","н.д.",AJ22)),IF(ISNUMBER(AJ22),IF(AJ22&lt;=0,"н.п.",IF(ISNUMBER($AF22),$AF22/AJ22,IF($AF22="","н.д.",$AF22))),IF(AJ22="","н.д.",AJ22)))</x:f>
        <x:v>н.д.</x:v>
      </x:c>
      <x:c r="G22" s="35" t="str">
        <x:f t="shared" si="3">IF(COLUMN()=8,IF(ISNUMBER(AK22),IF(AK22&lt;=0,"н.п.",IF(ISNUMBER($AG22),$AG22/AK22,IF($AG22="","н.д.",$AG22))),IF(AK22="","н.д.",AK22)),IF(ISNUMBER(AK22),IF(AK22&lt;=0,"н.п.",IF(ISNUMBER($AF22),$AF22/AK22,IF($AF22="","н.д.",$AF22))),IF(AK22="","н.д.",AK22)))</x:f>
        <x:v>н.д.</x:v>
      </x:c>
      <x:c r="H22" s="35" t="str">
        <x:f t="shared" si="3">IF(COLUMN()=8,IF(ISNUMBER(AL22),IF(AL22&lt;=0,"н.п.",IF(ISNUMBER($AG22),$AG22/AL22,IF($AG22="","н.д.",$AG22))),IF(AL22="","н.д.",AL22)),IF(ISNUMBER(AL22),IF(AL22&lt;=0,"н.п.",IF(ISNUMBER($AF22),$AF22/AL22,IF($AF22="","н.д.",$AF22))),IF(AL22="","н.д.",AL22)))</x:f>
        <x:v>н.п.</x:v>
      </x:c>
      <x:c r="I22" s="35" t="str">
        <x:f t="shared" si="3">IF(COLUMN()=8,IF(ISNUMBER(AM22),IF(AM22&lt;=0,"н.п.",IF(ISNUMBER($AG22),$AG22/AM22,IF($AG22="","н.д.",$AG22))),IF(AM22="","н.д.",AM22)),IF(ISNUMBER(AM22),IF(AM22&lt;=0,"н.п.",IF(ISNUMBER($AF22),$AF22/AM22,IF($AF22="","н.д.",$AF22))),IF(AM22="","н.д.",AM22)))</x:f>
        <x:v>н.п.</x:v>
      </x:c>
      <x:c r="J22" s="35" t="str">
        <x:f t="shared" si="3">IF(COLUMN()=8,IF(ISNUMBER(AN22),IF(AN22&lt;=0,"н.п.",IF(ISNUMBER($AG22),$AG22/AN22,IF($AG22="","н.д.",$AG22))),IF(AN22="","н.д.",AN22)),IF(ISNUMBER(AN22),IF(AN22&lt;=0,"н.п.",IF(ISNUMBER($AF22),$AF22/AN22,IF($AF22="","н.д.",$AF22))),IF(AN22="","н.д.",AN22)))</x:f>
        <x:v>н.д.</x:v>
      </x:c>
      <x:c r="K22" s="35" t="str">
        <x:f t="shared" si="0">IF(ISNUMBER(AI22),IF(AI22=0,"н.п.",IF(ISNUMBER(AF22),AF22/AI22,IF(AF22="","н.д.",AF22))),IF(AI22="","н.д.",AI22))</x:f>
        <x:v>н.д.</x:v>
      </x:c>
      <x:c r="L22" s="35" t="str">
        <x:f t="shared" si="4">IF(ISNUMBER(AO22),IF(AO22&lt;=0,"н.п.",IF(ISNUMBER(X22),X22/AO22,IF(X22="","н.д.",X22))),IF(AO22="","н.д.",AO22))</x:f>
        <x:v>н.д.</x:v>
      </x:c>
      <x:c r="M22" s="35" t="str">
        <x:f t="shared" si="1">IF(ISNUMBER(AP22),IF(AP22=0,"н.п.",IF(ISNUMBER(X22),X22/AP22,IF(X22="","н.д.",X22))),IF(AP22="","н.д.",AP22))</x:f>
        <x:v>н.д.</x:v>
      </x:c>
      <x:c r="N22" s="35" t="str">
        <x:f t="shared" si="2">IF(ISNUMBER(AI22),IF(AI22=0,"н.п.",IF(ISNUMBER(X22),X22/AI22,IF(X22="","н.д.",X22))),IF(AI22="","н.д.",AI22))</x:f>
        <x:v>н.д.</x:v>
      </x:c>
      <x:c r="O22" s="35" t="str">
        <x:f t="shared" si="5">IF(COLUMN()=17,IF(ISNUMBER(AJ22),IF(AJ22&lt;=0,"н.п.",IF(ISNUMBER($AB22),$AB22/AJ22,IF($AB22="","н.д.",$AB22))),IF(AJ22="","н.д.",AJ22)),IF($C$6="Да",IF(ISNUMBER(AJ22),IF(AJ22&lt;=0,"н.п.",IF(ISNUMBER($AA22),$AA22/AJ22,IF($AA22="","н.д.",$AA22))),IF(AJ22="","н.д.",AJ22)),IF(ISNUMBER(AJ22),IF(AJ22&lt;=0,"н.п.",IF(ISNUMBER($Z22),$Z22/AJ22,IF($Z22="","н.д.",$Z22))),IF(AJ22="","н.д.",AJ22))))</x:f>
        <x:v>н.д.</x:v>
      </x:c>
      <x:c r="P22" s="35" t="str">
        <x:f t="shared" si="5">IF(COLUMN()=17,IF(ISNUMBER(AK22),IF(AK22&lt;=0,"н.п.",IF(ISNUMBER($AB22),$AB22/AK22,IF($AB22="","н.д.",$AB22))),IF(AK22="","н.д.",AK22)),IF($C$6="Да",IF(ISNUMBER(AK22),IF(AK22&lt;=0,"н.п.",IF(ISNUMBER($AA22),$AA22/AK22,IF($AA22="","н.д.",$AA22))),IF(AK22="","н.д.",AK22)),IF(ISNUMBER(AK22),IF(AK22&lt;=0,"н.п.",IF(ISNUMBER($Z22),$Z22/AK22,IF($Z22="","н.д.",$Z22))),IF(AK22="","н.д.",AK22))))</x:f>
        <x:v>н.д.</x:v>
      </x:c>
      <x:c r="Q22" s="35" t="str">
        <x:f t="shared" si="5">IF(COLUMN()=17,IF(ISNUMBER(AL22),IF(AL22&lt;=0,"н.п.",IF(ISNUMBER($AB22),$AB22/AL22,IF($AB22="","н.д.",$AB22))),IF(AL22="","н.д.",AL22)),IF($C$6="Да",IF(ISNUMBER(AL22),IF(AL22&lt;=0,"н.п.",IF(ISNUMBER($AA22),$AA22/AL22,IF($AA22="","н.д.",$AA22))),IF(AL22="","н.д.",AL22)),IF(ISNUMBER(AL22),IF(AL22&lt;=0,"н.п.",IF(ISNUMBER($Z22),$Z22/AL22,IF($Z22="","н.д.",$Z22))),IF(AL22="","н.д.",AL22))))</x:f>
        <x:v>н.п.</x:v>
      </x:c>
      <x:c r="R22" s="35" t="str">
        <x:f t="shared" si="5">IF(COLUMN()=17,IF(ISNUMBER(AM22),IF(AM22&lt;=0,"н.п.",IF(ISNUMBER($AB22),$AB22/AM22,IF($AB22="","н.д.",$AB22))),IF(AM22="","н.д.",AM22)),IF($C$6="Да",IF(ISNUMBER(AM22),IF(AM22&lt;=0,"н.п.",IF(ISNUMBER($AA22),$AA22/AM22,IF($AA22="","н.д.",$AA22))),IF(AM22="","н.д.",AM22)),IF(ISNUMBER(AM22),IF(AM22&lt;=0,"н.п.",IF(ISNUMBER($Z22),$Z22/AM22,IF($Z22="","н.д.",$Z22))),IF(AM22="","н.д.",AM22))))</x:f>
        <x:v>н.п.</x:v>
      </x:c>
      <x:c r="S22" s="35" t="str">
        <x:f t="shared" si="5">IF(COLUMN()=17,IF(ISNUMBER(AN22),IF(AN22&lt;=0,"н.п.",IF(ISNUMBER($AB22),$AB22/AN22,IF($AB22="","н.д.",$AB22))),IF(AN22="","н.д.",AN22)),IF($C$6="Да",IF(ISNUMBER(AN22),IF(AN22&lt;=0,"н.п.",IF(ISNUMBER($AA22),$AA22/AN22,IF($AA22="","н.д.",$AA22))),IF(AN22="","н.д.",AN22)),IF(ISNUMBER(AN22),IF(AN22&lt;=0,"н.п.",IF(ISNUMBER($Z22),$Z22/AN22,IF($Z22="","н.д.",$Z22))),IF(AN22="","н.д.",AN22))))</x:f>
        <x:v>н.д.</x:v>
      </x:c>
      <x:c r="T22" s="3"/>
      <x:c r="U22" s="52" t="n">
        <x:f>Котировки!C14</x:f>
        <x:v>15.810238095</x:v>
      </x:c>
      <x:c r="V22" s="51" t="n">
        <x:f>Котировки!E14</x:f>
        <x:v>35725994705</x:v>
      </x:c>
      <x:c r="W22" s="53"/>
      <x:c r="X22" s="31" t="n">
        <x:f t="shared" si="6">IF($C$5="Да",IF(ISNUMBER(W22),IF(ISNUMBER(U22),U22*W22/10^6,IF(U22="","н.д.",U22)),IF(W22="","н.д.",W22)),IF(ISNUMBER(V22),IF(ISNUMBER(U22),U22*V22/10^6,IF(U22="","н.д.",U22)),IF(V22="","н.д.",V22)))</x:f>
        <x:v>564836.4824667593</x:v>
      </x:c>
      <x:c r="Y22" s="3"/>
      <x:c r="Z22" s="31" t="str">
        <x:f>IF(ISNUMBER('Фин.показатели TTM'!E18),'Фин.показатели TTM'!E18,IF('Фин.показатели TTM'!E18="",IF(ISNUMBER('Фин.показатели TTM'!R18),'Фин.показатели TTM'!R18,IF('Фин.показатели TTM'!R18="","н.д.",'Фин.показатели TTM'!R18)),'Фин.показатели TTM'!E18))</x:f>
        <x:v>н.д.</x:v>
      </x:c>
      <x:c r="AA22" s="31" t="str">
        <x:f>IF(ISNUMBER('Фин.показатели TTM'!F18),'Фин.показатели TTM'!F18,IF('Фин.показатели TTM'!F18="","н.д.",'Фин.показатели TTM'!F18))</x:f>
        <x:v>н.д.</x:v>
      </x:c>
      <x:c r="AB22" s="31" t="str">
        <x:f>IF(ISNUMBER('Фин.показатели TTM'!G18),'Фин.показатели TTM'!G18,IF('Фин.показатели TTM'!G18="",IF(ISNUMBER('Фин.показатели TTM'!Y18),'Фин.показатели TTM'!Y18,IF('Фин.показатели TTM'!Y18="","н.д.",'Фин.показатели TTM'!Y18)),'Фин.показатели TTM'!G18))</x:f>
        <x:v>н.п.</x:v>
      </x:c>
      <x:c r="AC22" s="34"/>
      <x:c r="AD22" s="34" t="n">
        <x:f>Котировки!D14*Котировки!F14/10^6</x:f>
        <x:v>319370.692051056</x:v>
      </x:c>
      <x:c r="AE22" s="34"/>
      <x:c r="AF22" s="31" t="str">
        <x:f t="shared" si="7">IF($C$6="Да",IF(ISNUMBER(AA22),IF(ISNUMBER(X22),IF(COUNTIF(AC22:AE22,"н.д.")&gt;0,"н.д.",X22+AA22+SUM(AC22:AE22)),IF(X22="","н.д.",X22)),IF(AA22="","н.д.",AA22)),IF(ISNUMBER(Z22),IF(ISNUMBER(X22),IF(COUNTIF(AC22:AE22,"н.д.")&gt;0,"н.д.",X22+Z22+SUM(AC22:AE22)),IF(X22="","н.д.",X22)),IF(Z22="","н.д.",Z22)))</x:f>
        <x:v>н.д.</x:v>
      </x:c>
      <x:c r="AG22" s="31" t="str">
        <x:f t="shared" si="8">IF(ISNUMBER(AB22),IF(ISNUMBER(X22),IF(COUNTIF(AC22:AE22,"н.д.")&gt;0,"н.д.",X22+AB22+SUM(AC22:AE22)),IF(X22="","н.д.",X22)),IF(AB22="","н.д.",AB22))</x:f>
        <x:v>н.п.</x:v>
      </x:c>
      <x:c r="AH22" s="3"/>
      <x:c r="AI22" s="31" t="str">
        <x:f>IF(ISNUMBER('Фин.показатели TTM'!H18),'Фин.показатели TTM'!H18,IF('Фин.показатели TTM'!H18="","н.д.",'Фин.показатели TTM'!H18))</x:f>
        <x:v>н.д.</x:v>
      </x:c>
      <x:c r="AJ22" s="31" t="str">
        <x:f>IF(ISNUMBER('Фин.показатели TTM'!I18),'Фин.показатели TTM'!I18,IF('Фин.показатели TTM'!I18="",IF(ISNUMBER('Фин.показатели TTM'!Z18),'Фин.показатели TTM'!Z18,IF('Фин.показатели TTM'!Z18="","н.д.",'Фин.показатели TTM'!Z18)),'Фин.показатели TTM'!I18))</x:f>
        <x:v>н.д.</x:v>
      </x:c>
      <x:c r="AK22" s="31" t="str">
        <x:f>IF(ISNUMBER('Фин.показатели TTM'!J18),'Фин.показатели TTM'!J18,IF('Фин.показатели TTM'!J18="","н.д.",'Фин.показатели TTM'!J18))</x:f>
        <x:v>н.д.</x:v>
      </x:c>
      <x:c r="AL22" s="31" t="str">
        <x:f>IF(ISNUMBER('Фин.показатели TTM'!K18),'Фин.показатели TTM'!K18,IF('Фин.показатели TTM'!K18="",IF(ISNUMBER('Фин.показатели TTM'!AI18),'Фин.показатели TTM'!AI18,IF('Фин.показатели TTM'!AI18="","н.д.",'Фин.показатели TTM'!AI18)),'Фин.показатели TTM'!K18))</x:f>
        <x:v>н.п.</x:v>
      </x:c>
      <x:c r="AM22" s="31" t="str">
        <x:f>IF(ISNUMBER('Фин.показатели TTM'!L18),'Фин.показатели TTM'!L18,IF('Фин.показатели TTM'!L18="",IF(ISNUMBER('Фин.показатели TTM'!AK18),'Фин.показатели TTM'!AK18,IF('Фин.показатели TTM'!AK18="","н.д.",'Фин.показатели TTM'!AK18)),'Фин.показатели TTM'!L18))</x:f>
        <x:v>н.п.</x:v>
      </x:c>
      <x:c r="AN22" s="31" t="str">
        <x:f>IF(ISNUMBER('Фин.показатели TTM'!M18),'Фин.показатели TTM'!M18,IF('Фин.показатели TTM'!M18="","н.д.",'Фин.показатели TTM'!M18))</x:f>
        <x:v>н.д.</x:v>
      </x:c>
      <x:c r="AO22" s="31" t="str">
        <x:f>IF(ISNUMBER('Фин.показатели TTM'!N18),'Фин.показатели TTM'!N18,IF('Фин.показатели TTM'!N18="","н.д.",'Фин.показатели TTM'!N18))</x:f>
        <x:v>н.д.</x:v>
      </x:c>
      <x:c r="AP22" s="31" t="str">
        <x:f>IF(ISNUMBER('Фин.показатели TTM'!O18),'Фин.показатели TTM'!O18,IF('Фин.показатели TTM'!O18="","н.д.",'Фин.показатели TTM'!O18))</x:f>
        <x:v>н.д.</x:v>
      </x:c>
      <x:c r="AQ22" s="3"/>
      <x:c r="AR22" s="3"/>
    </x:row>
    <x:row r="23">
      <x:c r="B23" s="3">
        <x:v>13</x:v>
      </x:c>
      <x:c r="C23" s="3" t="s">
        <x:v>88</x:v>
      </x:c>
      <x:c r="D23" s="50" t="s">
        <x:v>74</x:v>
      </x:c>
      <x:c r="E23" s="3"/>
      <x:c r="F23" s="35" t="n">
        <x:f t="shared" si="3">IF(COLUMN()=8,IF(ISNUMBER(AJ23),IF(AJ23&lt;=0,"н.п.",IF(ISNUMBER($AG23),$AG23/AJ23,IF($AG23="","н.д.",$AG23))),IF(AJ23="","н.д.",AJ23)),IF(ISNUMBER(AJ23),IF(AJ23&lt;=0,"н.п.",IF(ISNUMBER($AF23),$AF23/AJ23,IF($AF23="","н.д.",$AF23))),IF(AJ23="","н.д.",AJ23)))</x:f>
        <x:v>6.548589736955238</x:v>
      </x:c>
      <x:c r="G23" s="35" t="n">
        <x:f t="shared" si="3">IF(COLUMN()=8,IF(ISNUMBER(AK23),IF(AK23&lt;=0,"н.п.",IF(ISNUMBER($AG23),$AG23/AK23,IF($AG23="","н.д.",$AG23))),IF(AK23="","н.д.",AK23)),IF(ISNUMBER(AK23),IF(AK23&lt;=0,"н.п.",IF(ISNUMBER($AF23),$AF23/AK23,IF($AF23="","н.д.",$AF23))),IF(AK23="","н.д.",AK23)))</x:f>
        <x:v>6.02608553250557</x:v>
      </x:c>
      <x:c r="H23" s="35" t="str">
        <x:f t="shared" si="3">IF(COLUMN()=8,IF(ISNUMBER(AL23),IF(AL23&lt;=0,"н.п.",IF(ISNUMBER($AG23),$AG23/AL23,IF($AG23="","н.д.",$AG23))),IF(AL23="","н.д.",AL23)),IF(ISNUMBER(AL23),IF(AL23&lt;=0,"н.п.",IF(ISNUMBER($AF23),$AF23/AL23,IF($AF23="","н.д.",$AF23))),IF(AL23="","н.д.",AL23)))</x:f>
        <x:v>н.п.</x:v>
      </x:c>
      <x:c r="I23" s="35" t="str">
        <x:f t="shared" si="3">IF(COLUMN()=8,IF(ISNUMBER(AM23),IF(AM23&lt;=0,"н.п.",IF(ISNUMBER($AG23),$AG23/AM23,IF($AG23="","н.д.",$AG23))),IF(AM23="","н.д.",AM23)),IF(ISNUMBER(AM23),IF(AM23&lt;=0,"н.п.",IF(ISNUMBER($AF23),$AF23/AM23,IF($AF23="","н.д.",$AF23))),IF(AM23="","н.д.",AM23)))</x:f>
        <x:v>н.д.</x:v>
      </x:c>
      <x:c r="J23" s="35" t="str">
        <x:f t="shared" si="3">IF(COLUMN()=8,IF(ISNUMBER(AN23),IF(AN23&lt;=0,"н.п.",IF(ISNUMBER($AG23),$AG23/AN23,IF($AG23="","н.д.",$AG23))),IF(AN23="","н.д.",AN23)),IF(ISNUMBER(AN23),IF(AN23&lt;=0,"н.п.",IF(ISNUMBER($AF23),$AF23/AN23,IF($AF23="","н.д.",$AF23))),IF(AN23="","н.д.",AN23)))</x:f>
        <x:v>н.д.</x:v>
      </x:c>
      <x:c r="K23" s="35" t="n">
        <x:f t="shared" si="0">IF(ISNUMBER(AI23),IF(AI23=0,"н.п.",IF(ISNUMBER(AF23),AF23/AI23,IF(AF23="","н.д.",AF23))),IF(AI23="","н.д.",AI23))</x:f>
        <x:v>3.273915100448829</x:v>
      </x:c>
      <x:c r="L23" s="35" t="n">
        <x:f t="shared" si="4">IF(ISNUMBER(AO23),IF(AO23&lt;=0,"н.п.",IF(ISNUMBER(X23),X23/AO23,IF(X23="","н.д.",X23))),IF(AO23="","н.д.",AO23))</x:f>
        <x:v>8.388421102679594</x:v>
      </x:c>
      <x:c r="M23" s="35" t="n">
        <x:f t="shared" si="1">IF(ISNUMBER(AP23),IF(AP23=0,"н.п.",IF(ISNUMBER(X23),X23/AP23,IF(X23="","н.д.",X23))),IF(AP23="","н.д.",AP23))</x:f>
        <x:v>-208.22996869321804</x:v>
      </x:c>
      <x:c r="N23" s="35" t="n">
        <x:f t="shared" si="2">IF(ISNUMBER(AI23),IF(AI23=0,"н.п.",IF(ISNUMBER(X23),X23/AI23,IF(X23="","н.д.",X23))),IF(AI23="","н.д.",AI23))</x:f>
        <x:v>3.2127003760359205</x:v>
      </x:c>
      <x:c r="O23" s="35" t="n">
        <x:f t="shared" si="5">IF(COLUMN()=17,IF(ISNUMBER(AJ23),IF(AJ23&lt;=0,"н.п.",IF(ISNUMBER($AB23),$AB23/AJ23,IF($AB23="","н.д.",$AB23))),IF(AJ23="","н.д.",AJ23)),IF($C$6="Да",IF(ISNUMBER(AJ23),IF(AJ23&lt;=0,"н.п.",IF(ISNUMBER($AA23),$AA23/AJ23,IF($AA23="","н.д.",$AA23))),IF(AJ23="","н.д.",AJ23)),IF(ISNUMBER(AJ23),IF(AJ23&lt;=0,"н.п.",IF(ISNUMBER($Z23),$Z23/AJ23,IF($Z23="","н.д.",$Z23))),IF(AJ23="","н.д.",AJ23))))</x:f>
        <x:v>-0.38916705109418004</x:v>
      </x:c>
      <x:c r="P23" s="35" t="n">
        <x:f t="shared" si="5">IF(COLUMN()=17,IF(ISNUMBER(AK23),IF(AK23&lt;=0,"н.п.",IF(ISNUMBER($AB23),$AB23/AK23,IF($AB23="","н.д.",$AB23))),IF(AK23="","н.д.",AK23)),IF($C$6="Да",IF(ISNUMBER(AK23),IF(AK23&lt;=0,"н.п.",IF(ISNUMBER($AA23),$AA23/AK23,IF($AA23="","н.д.",$AA23))),IF(AK23="","н.д.",AK23)),IF(ISNUMBER(AK23),IF(AK23&lt;=0,"н.п.",IF(ISNUMBER($Z23),$Z23/AK23,IF($Z23="","н.д.",$Z23))),IF(AK23="","н.д.",AK23))))</x:f>
        <x:v>-0.35811587387926247</x:v>
      </x:c>
      <x:c r="Q23" s="35" t="str">
        <x:f t="shared" si="5">IF(COLUMN()=17,IF(ISNUMBER(AL23),IF(AL23&lt;=0,"н.п.",IF(ISNUMBER($AB23),$AB23/AL23,IF($AB23="","н.д.",$AB23))),IF(AL23="","н.д.",AL23)),IF($C$6="Да",IF(ISNUMBER(AL23),IF(AL23&lt;=0,"н.п.",IF(ISNUMBER($AA23),$AA23/AL23,IF($AA23="","н.д.",$AA23))),IF(AL23="","н.д.",AL23)),IF(ISNUMBER(AL23),IF(AL23&lt;=0,"н.п.",IF(ISNUMBER($Z23),$Z23/AL23,IF($Z23="","н.д.",$Z23))),IF(AL23="","н.д.",AL23))))</x:f>
        <x:v>н.п.</x:v>
      </x:c>
      <x:c r="R23" s="35" t="str">
        <x:f t="shared" si="5">IF(COLUMN()=17,IF(ISNUMBER(AM23),IF(AM23&lt;=0,"н.п.",IF(ISNUMBER($AB23),$AB23/AM23,IF($AB23="","н.д.",$AB23))),IF(AM23="","н.д.",AM23)),IF($C$6="Да",IF(ISNUMBER(AM23),IF(AM23&lt;=0,"н.п.",IF(ISNUMBER($AA23),$AA23/AM23,IF($AA23="","н.д.",$AA23))),IF(AM23="","н.д.",AM23)),IF(ISNUMBER(AM23),IF(AM23&lt;=0,"н.п.",IF(ISNUMBER($Z23),$Z23/AM23,IF($Z23="","н.д.",$Z23))),IF(AM23="","н.д.",AM23))))</x:f>
        <x:v>н.д.</x:v>
      </x:c>
      <x:c r="S23" s="35" t="str">
        <x:f t="shared" si="5">IF(COLUMN()=17,IF(ISNUMBER(AN23),IF(AN23&lt;=0,"н.п.",IF(ISNUMBER($AB23),$AB23/AN23,IF($AB23="","н.д.",$AB23))),IF(AN23="","н.д.",AN23)),IF($C$6="Да",IF(ISNUMBER(AN23),IF(AN23&lt;=0,"н.п.",IF(ISNUMBER($AA23),$AA23/AN23,IF($AA23="","н.д.",$AA23))),IF(AN23="","н.д.",AN23)),IF(ISNUMBER(AN23),IF(AN23&lt;=0,"н.п.",IF(ISNUMBER($Z23),$Z23/AN23,IF($Z23="","н.д.",$Z23))),IF(AN23="","н.д.",AN23))))</x:f>
        <x:v>н.д.</x:v>
      </x:c>
      <x:c r="T23" s="3"/>
      <x:c r="U23" s="51" t="n">
        <x:f>Котировки!C15</x:f>
        <x:v>2795.476190476</x:v>
      </x:c>
      <x:c r="V23" s="51" t="n">
        <x:f>Котировки!E15</x:f>
        <x:v>47184918</x:v>
      </x:c>
      <x:c r="W23" s="53"/>
      <x:c r="X23" s="31" t="n">
        <x:f t="shared" si="6">IF($C$5="Да",IF(ISNUMBER(W23),IF(ISNUMBER(U23),U23*W23/10^6,IF(U23="","н.д.",U23)),IF(W23="","н.д.",W23)),IF(ISNUMBER(V23),IF(ISNUMBER(U23),U23*V23/10^6,IF(U23="","н.д.",U23)),IF(V23="","н.д.",V23)))</x:f>
        <x:v>131904.31481856244</x:v>
      </x:c>
      <x:c r="Y23" s="3"/>
      <x:c r="Z23" s="31" t="n">
        <x:f>IF(ISNUMBER('Фин.показатели TTM'!E19),'Фин.показатели TTM'!E19,IF('Фин.показатели TTM'!E19="",IF(ISNUMBER('Фин.показатели TTM'!R19),'Фин.показатели TTM'!R19,IF('Фин.показатели TTM'!R19="","н.д.",'Фин.показатели TTM'!R19)),'Фин.показатели TTM'!E19))</x:f>
        <x:v>-7988.118</x:v>
      </x:c>
      <x:c r="AA23" s="31" t="n">
        <x:f>IF(ISNUMBER('Фин.показатели TTM'!F19),'Фин.показатели TTM'!F19,IF('Фин.показатели TTM'!F19="","н.д.",'Фин.показатели TTM'!F19))</x:f>
        <x:v>-4755.443</x:v>
      </x:c>
      <x:c r="AB23" s="31" t="str">
        <x:f>IF(ISNUMBER('Фин.показатели TTM'!G19),'Фин.показатели TTM'!G19,IF('Фин.показатели TTM'!G19="",IF(ISNUMBER('Фин.показатели TTM'!Y19),'Фин.показатели TTM'!Y19,IF('Фин.показатели TTM'!Y19="","н.д.",'Фин.показатели TTM'!Y19)),'Фин.показатели TTM'!G19))</x:f>
        <x:v>н.п.</x:v>
      </x:c>
      <x:c r="AC23" s="34">
        <x:v>10501.42</x:v>
      </x:c>
      <x:c r="AD23" s="34" t="n">
        <x:f>Котировки!D15*Котировки!F15/10^6</x:f>
        <x:v>0</x:v>
      </x:c>
      <x:c r="AE23" s="34"/>
      <x:c r="AF23" s="31" t="n">
        <x:f t="shared" si="7">IF($C$6="Да",IF(ISNUMBER(AA23),IF(ISNUMBER(X23),IF(COUNTIF(AC23:AE23,"н.д.")&gt;0,"н.д.",X23+AA23+SUM(AC23:AE23)),IF(X23="","н.д.",X23)),IF(AA23="","н.д.",AA23)),IF(ISNUMBER(Z23),IF(ISNUMBER(X23),IF(COUNTIF(AC23:AE23,"н.д.")&gt;0,"н.д.",X23+Z23+SUM(AC23:AE23)),IF(X23="","н.д.",X23)),IF(Z23="","н.д.",Z23)))</x:f>
        <x:v>134417.61681856244</x:v>
      </x:c>
      <x:c r="AG23" s="31" t="str">
        <x:f t="shared" si="8">IF(ISNUMBER(AB23),IF(ISNUMBER(X23),IF(COUNTIF(AC23:AE23,"н.д.")&gt;0,"н.д.",X23+AB23+SUM(AC23:AE23)),IF(X23="","н.д.",X23)),IF(AB23="","н.д.",AB23))</x:f>
        <x:v>н.п.</x:v>
      </x:c>
      <x:c r="AH23" s="3"/>
      <x:c r="AI23" s="31" t="n">
        <x:f>IF(ISNUMBER('Фин.показатели TTM'!H19),'Фин.показатели TTM'!H19,IF('Фин.показатели TTM'!H19="","н.д.",'Фин.показатели TTM'!H19))</x:f>
        <x:v>41057.148</x:v>
      </x:c>
      <x:c r="AJ23" s="31" t="n">
        <x:f>IF(ISNUMBER('Фин.показатели TTM'!I19),'Фин.показатели TTM'!I19,IF('Фин.показатели TTM'!I19="",IF(ISNUMBER('Фин.показатели TTM'!Z19),'Фин.показатели TTM'!Z19,IF('Фин.показатели TTM'!Z19="","н.д.",'Фин.показатели TTM'!Z19)),'Фин.показатели TTM'!I19))</x:f>
        <x:v>20526.193</x:v>
      </x:c>
      <x:c r="AK23" s="31" t="n">
        <x:f>IF(ISNUMBER('Фин.показатели TTM'!J19),'Фин.показатели TTM'!J19,IF('Фин.показатели TTM'!J19="","н.д.",'Фин.показатели TTM'!J19))</x:f>
        <x:v>22305.959000000003</x:v>
      </x:c>
      <x:c r="AL23" s="31" t="str">
        <x:f>IF(ISNUMBER('Фин.показатели TTM'!K19),'Фин.показатели TTM'!K19,IF('Фин.показатели TTM'!K19="",IF(ISNUMBER('Фин.показатели TTM'!AI19),'Фин.показатели TTM'!AI19,IF('Фин.показатели TTM'!AI19="","н.д.",'Фин.показатели TTM'!AI19)),'Фин.показатели TTM'!K19))</x:f>
        <x:v>н.п.</x:v>
      </x:c>
      <x:c r="AM23" s="31" t="str">
        <x:f>IF(ISNUMBER('Фин.показатели TTM'!L19),'Фин.показатели TTM'!L19,IF('Фин.показатели TTM'!L19="",IF(ISNUMBER('Фин.показатели TTM'!AK19),'Фин.показатели TTM'!AK19,IF('Фин.показатели TTM'!AK19="","н.д.",'Фин.показатели TTM'!AK19)),'Фин.показатели TTM'!L19))</x:f>
        <x:v>н.д.</x:v>
      </x:c>
      <x:c r="AN23" s="31" t="str">
        <x:f>IF(ISNUMBER('Фин.показатели TTM'!M19),'Фин.показатели TTM'!M19,IF('Фин.показатели TTM'!M19="","н.д.",'Фин.показатели TTM'!M19))</x:f>
        <x:v>н.д.</x:v>
      </x:c>
      <x:c r="AO23" s="31" t="n">
        <x:f>IF(ISNUMBER('Фин.показатели TTM'!N19),'Фин.показатели TTM'!N19,IF('Фин.показатели TTM'!N19="","н.д.",'Фин.показатели TTM'!N19))</x:f>
        <x:v>15724.57</x:v>
      </x:c>
      <x:c r="AP23" s="31" t="n">
        <x:f>IF(ISNUMBER('Фин.показатели TTM'!O19),'Фин.показатели TTM'!O19,IF('Фин.показатели TTM'!O19="","н.д.",'Фин.показатели TTM'!O19))</x:f>
        <x:v>-633.455</x:v>
      </x:c>
      <x:c r="AQ23" s="3"/>
      <x:c r="AR23" s="3"/>
    </x:row>
    <x:row r="24">
      <x:c r="B24" s="3">
        <x:v>14</x:v>
      </x:c>
      <x:c r="C24" s="3" t="s">
        <x:v>89</x:v>
      </x:c>
      <x:c r="D24" s="50" t="s">
        <x:v>90</x:v>
      </x:c>
      <x:c r="E24" s="3"/>
      <x:c r="F24" s="35" t="str">
        <x:f t="shared" si="3">IF(COLUMN()=8,IF(ISNUMBER(AJ24),IF(AJ24&lt;=0,"н.п.",IF(ISNUMBER($AG24),$AG24/AJ24,IF($AG24="","н.д.",$AG24))),IF(AJ24="","н.д.",AJ24)),IF(ISNUMBER(AJ24),IF(AJ24&lt;=0,"н.п.",IF(ISNUMBER($AF24),$AF24/AJ24,IF($AF24="","н.д.",$AF24))),IF(AJ24="","н.д.",AJ24)))</x:f>
        <x:v>н.д.</x:v>
      </x:c>
      <x:c r="G24" s="35" t="str">
        <x:f t="shared" si="3">IF(COLUMN()=8,IF(ISNUMBER(AK24),IF(AK24&lt;=0,"н.п.",IF(ISNUMBER($AG24),$AG24/AK24,IF($AG24="","н.д.",$AG24))),IF(AK24="","н.д.",AK24)),IF(ISNUMBER(AK24),IF(AK24&lt;=0,"н.п.",IF(ISNUMBER($AF24),$AF24/AK24,IF($AF24="","н.д.",$AF24))),IF(AK24="","н.д.",AK24)))</x:f>
        <x:v>н.д.</x:v>
      </x:c>
      <x:c r="H24" s="35" t="str">
        <x:f t="shared" si="3">IF(COLUMN()=8,IF(ISNUMBER(AL24),IF(AL24&lt;=0,"н.п.",IF(ISNUMBER($AG24),$AG24/AL24,IF($AG24="","н.д.",$AG24))),IF(AL24="","н.д.",AL24)),IF(ISNUMBER(AL24),IF(AL24&lt;=0,"н.п.",IF(ISNUMBER($AF24),$AF24/AL24,IF($AF24="","н.д.",$AF24))),IF(AL24="","н.д.",AL24)))</x:f>
        <x:v>н.п.</x:v>
      </x:c>
      <x:c r="I24" s="35" t="str">
        <x:f t="shared" si="3">IF(COLUMN()=8,IF(ISNUMBER(AM24),IF(AM24&lt;=0,"н.п.",IF(ISNUMBER($AG24),$AG24/AM24,IF($AG24="","н.д.",$AG24))),IF(AM24="","н.д.",AM24)),IF(ISNUMBER(AM24),IF(AM24&lt;=0,"н.п.",IF(ISNUMBER($AF24),$AF24/AM24,IF($AF24="","н.д.",$AF24))),IF(AM24="","н.д.",AM24)))</x:f>
        <x:v>н.п.</x:v>
      </x:c>
      <x:c r="J24" s="35" t="n">
        <x:f t="shared" si="3">IF(COLUMN()=8,IF(ISNUMBER(AN24),IF(AN24&lt;=0,"н.п.",IF(ISNUMBER($AG24),$AG24/AN24,IF($AG24="","н.д.",$AG24))),IF(AN24="","н.д.",AN24)),IF(ISNUMBER(AN24),IF(AN24&lt;=0,"н.п.",IF(ISNUMBER($AF24),$AF24/AN24,IF($AF24="","н.д.",$AF24))),IF(AN24="","н.д.",AN24)))</x:f>
        <x:v>2.8816176225619476</x:v>
      </x:c>
      <x:c r="K24" s="35" t="n">
        <x:f t="shared" si="0">IF(ISNUMBER(AI24),IF(AI24=0,"н.п.",IF(ISNUMBER(AF24),AF24/AI24,IF(AF24="","н.д.",AF24))),IF(AI24="","н.д.",AI24))</x:f>
        <x:v>1.0258721134580926</x:v>
      </x:c>
      <x:c r="L24" s="35" t="n">
        <x:f t="shared" si="4">IF(ISNUMBER(AO24),IF(AO24&lt;=0,"н.п.",IF(ISNUMBER(X24),X24/AO24,IF(X24="","н.д.",X24))),IF(AO24="","н.д.",AO24))</x:f>
        <x:v>3.6276539944055712</x:v>
      </x:c>
      <x:c r="M24" s="35" t="n">
        <x:f t="shared" si="1">IF(ISNUMBER(AP24),IF(AP24=0,"н.п.",IF(ISNUMBER(X24),X24/AP24,IF(X24="","н.д.",X24))),IF(AP24="","н.д.",AP24))</x:f>
        <x:v>88.94408532154944</x:v>
      </x:c>
      <x:c r="N24" s="35" t="n">
        <x:f t="shared" si="2">IF(ISNUMBER(AI24),IF(AI24=0,"н.п.",IF(ISNUMBER(X24),X24/AI24,IF(X24="","н.д.",X24))),IF(AI24="","н.д.",AI24))</x:f>
        <x:v>0.43290541157832385</x:v>
      </x:c>
      <x:c r="O24" s="35" t="str">
        <x:f t="shared" si="5">IF(COLUMN()=17,IF(ISNUMBER(AJ24),IF(AJ24&lt;=0,"н.п.",IF(ISNUMBER($AB24),$AB24/AJ24,IF($AB24="","н.д.",$AB24))),IF(AJ24="","н.д.",AJ24)),IF($C$6="Да",IF(ISNUMBER(AJ24),IF(AJ24&lt;=0,"н.п.",IF(ISNUMBER($AA24),$AA24/AJ24,IF($AA24="","н.д.",$AA24))),IF(AJ24="","н.д.",AJ24)),IF(ISNUMBER(AJ24),IF(AJ24&lt;=0,"н.п.",IF(ISNUMBER($Z24),$Z24/AJ24,IF($Z24="","н.д.",$Z24))),IF(AJ24="","н.д.",AJ24))))</x:f>
        <x:v>н.д.</x:v>
      </x:c>
      <x:c r="P24" s="35" t="str">
        <x:f t="shared" si="5">IF(COLUMN()=17,IF(ISNUMBER(AK24),IF(AK24&lt;=0,"н.п.",IF(ISNUMBER($AB24),$AB24/AK24,IF($AB24="","н.д.",$AB24))),IF(AK24="","н.д.",AK24)),IF($C$6="Да",IF(ISNUMBER(AK24),IF(AK24&lt;=0,"н.п.",IF(ISNUMBER($AA24),$AA24/AK24,IF($AA24="","н.д.",$AA24))),IF(AK24="","н.д.",AK24)),IF(ISNUMBER(AK24),IF(AK24&lt;=0,"н.п.",IF(ISNUMBER($Z24),$Z24/AK24,IF($Z24="","н.д.",$Z24))),IF(AK24="","н.д.",AK24))))</x:f>
        <x:v>н.д.</x:v>
      </x:c>
      <x:c r="Q24" s="35" t="str">
        <x:f t="shared" si="5">IF(COLUMN()=17,IF(ISNUMBER(AL24),IF(AL24&lt;=0,"н.п.",IF(ISNUMBER($AB24),$AB24/AL24,IF($AB24="","н.д.",$AB24))),IF(AL24="","н.д.",AL24)),IF($C$6="Да",IF(ISNUMBER(AL24),IF(AL24&lt;=0,"н.п.",IF(ISNUMBER($AA24),$AA24/AL24,IF($AA24="","н.д.",$AA24))),IF(AL24="","н.д.",AL24)),IF(ISNUMBER(AL24),IF(AL24&lt;=0,"н.п.",IF(ISNUMBER($Z24),$Z24/AL24,IF($Z24="","н.д.",$Z24))),IF(AL24="","н.д.",AL24))))</x:f>
        <x:v>н.п.</x:v>
      </x:c>
      <x:c r="R24" s="35" t="str">
        <x:f t="shared" si="5">IF(COLUMN()=17,IF(ISNUMBER(AM24),IF(AM24&lt;=0,"н.п.",IF(ISNUMBER($AB24),$AB24/AM24,IF($AB24="","н.д.",$AB24))),IF(AM24="","н.д.",AM24)),IF($C$6="Да",IF(ISNUMBER(AM24),IF(AM24&lt;=0,"н.п.",IF(ISNUMBER($AA24),$AA24/AM24,IF($AA24="","н.д.",$AA24))),IF(AM24="","н.д.",AM24)),IF(ISNUMBER(AM24),IF(AM24&lt;=0,"н.п.",IF(ISNUMBER($Z24),$Z24/AM24,IF($Z24="","н.д.",$Z24))),IF(AM24="","н.д.",AM24))))</x:f>
        <x:v>н.п.</x:v>
      </x:c>
      <x:c r="S24" s="35" t="n">
        <x:f t="shared" si="5">IF(COLUMN()=17,IF(ISNUMBER(AN24),IF(AN24&lt;=0,"н.п.",IF(ISNUMBER($AB24),$AB24/AN24,IF($AB24="","н.д.",$AB24))),IF(AN24="","н.д.",AN24)),IF($C$6="Да",IF(ISNUMBER(AN24),IF(AN24&lt;=0,"н.п.",IF(ISNUMBER($AA24),$AA24/AN24,IF($AA24="","н.д.",$AA24))),IF(AN24="","н.д.",AN24)),IF(ISNUMBER(AN24),IF(AN24&lt;=0,"н.п.",IF(ISNUMBER($Z24),$Z24/AN24,IF($Z24="","н.д.",$Z24))),IF(AN24="","н.д.",AN24))))</x:f>
        <x:v>1.5648723940798246</x:v>
      </x:c>
      <x:c r="T24" s="3"/>
      <x:c r="U24" s="51" t="n">
        <x:f>Котировки!C16</x:f>
        <x:v>184.352380952</x:v>
      </x:c>
      <x:c r="V24" s="51" t="n">
        <x:f>Котировки!E16</x:f>
        <x:v>1998381575</x:v>
      </x:c>
      <x:c r="W24" s="53"/>
      <x:c r="X24" s="31" t="n">
        <x:f t="shared" si="6">IF($C$5="Да",IF(ISNUMBER(W24),IF(ISNUMBER(U24),U24*W24/10^6,IF(U24="","н.д.",U24)),IF(W24="","н.д.",W24)),IF(ISNUMBER(V24),IF(ISNUMBER(U24),U24*V24/10^6,IF(U24="","н.д.",U24)),IF(V24="","н.д.",V24)))</x:f>
        <x:v>368406.4014018578</x:v>
      </x:c>
      <x:c r="Y24" s="3"/>
      <x:c r="Z24" s="31" t="n">
        <x:f>IF(ISNUMBER('Фин.показатели TTM'!E20),'Фин.показатели TTM'!E20,IF('Фин.показатели TTM'!E20="",IF(ISNUMBER('Фин.показатели TTM'!R20),'Фин.показатели TTM'!R20,IF('Фин.показатели TTM'!R20="","н.д.",'Фин.показатели TTM'!R20)),'Фин.показатели TTM'!E20))</x:f>
        <x:v>474100</x:v>
      </x:c>
      <x:c r="AA24" s="31" t="n">
        <x:f>IF(ISNUMBER('Фин.показатели TTM'!F20),'Фин.показатели TTM'!F20,IF('Фин.показатели TTM'!F20="","н.д.",'Фин.показатели TTM'!F20))</x:f>
        <x:v>646335</x:v>
      </x:c>
      <x:c r="AB24" s="31" t="str">
        <x:f>IF(ISNUMBER('Фин.показатели TTM'!G20),'Фин.показатели TTM'!G20,IF('Фин.показатели TTM'!G20="",IF(ISNUMBER('Фин.показатели TTM'!Y20),'Фин.показатели TTM'!Y20,IF('Фин.показатели TTM'!Y20="","н.д.",'Фин.показатели TTM'!Y20)),'Фин.показатели TTM'!G20))</x:f>
        <x:v>н.п.</x:v>
      </x:c>
      <x:c r="AC24" s="34">
        <x:v>30520</x:v>
      </x:c>
      <x:c r="AD24" s="34" t="n">
        <x:f>Котировки!D16*Котировки!F16/10^6</x:f>
        <x:v>0</x:v>
      </x:c>
      <x:c r="AE24" s="34"/>
      <x:c r="AF24" s="31" t="n">
        <x:f t="shared" si="7">IF($C$6="Да",IF(ISNUMBER(AA24),IF(ISNUMBER(X24),IF(COUNTIF(AC24:AE24,"н.д.")&gt;0,"н.д.",X24+AA24+SUM(AC24:AE24)),IF(X24="","н.д.",X24)),IF(AA24="","н.д.",AA24)),IF(ISNUMBER(Z24),IF(ISNUMBER(X24),IF(COUNTIF(AC24:AE24,"н.д.")&gt;0,"н.д.",X24+Z24+SUM(AC24:AE24)),IF(X24="","н.д.",X24)),IF(Z24="","н.д.",Z24)))</x:f>
        <x:v>873026.4014018578</x:v>
      </x:c>
      <x:c r="AG24" s="31" t="str">
        <x:f t="shared" si="8">IF(ISNUMBER(AB24),IF(ISNUMBER(X24),IF(COUNTIF(AC24:AE24,"н.д.")&gt;0,"н.д.",X24+AB24+SUM(AC24:AE24)),IF(X24="","н.д.",X24)),IF(AB24="","н.д.",AB24))</x:f>
        <x:v>н.п.</x:v>
      </x:c>
      <x:c r="AH24" s="3"/>
      <x:c r="AI24" s="31" t="n">
        <x:f>IF(ISNUMBER('Фин.показатели TTM'!H20),'Фин.показатели TTM'!H20,IF('Фин.показатели TTM'!H20="","н.д.",'Фин.показатели TTM'!H20))</x:f>
        <x:v>851009</x:v>
      </x:c>
      <x:c r="AJ24" s="31" t="str">
        <x:f>IF(ISNUMBER('Фин.показатели TTM'!I20),'Фин.показатели TTM'!I20,IF('Фин.показатели TTM'!I20="",IF(ISNUMBER('Фин.показатели TTM'!Z20),'Фин.показатели TTM'!Z20,IF('Фин.показатели TTM'!Z20="","н.д.",'Фин.показатели TTM'!Z20)),'Фин.показатели TTM'!I20))</x:f>
        <x:v>н.д.</x:v>
      </x:c>
      <x:c r="AK24" s="31" t="str">
        <x:f>IF(ISNUMBER('Фин.показатели TTM'!J20),'Фин.показатели TTM'!J20,IF('Фин.показатели TTM'!J20="","н.д.",'Фин.показатели TTM'!J20))</x:f>
        <x:v>н.д.</x:v>
      </x:c>
      <x:c r="AL24" s="31" t="str">
        <x:f>IF(ISNUMBER('Фин.показатели TTM'!K20),'Фин.показатели TTM'!K20,IF('Фин.показатели TTM'!K20="",IF(ISNUMBER('Фин.показатели TTM'!AI20),'Фин.показатели TTM'!AI20,IF('Фин.показатели TTM'!AI20="","н.д.",'Фин.показатели TTM'!AI20)),'Фин.показатели TTM'!K20))</x:f>
        <x:v>н.п.</x:v>
      </x:c>
      <x:c r="AM24" s="31" t="str">
        <x:f>IF(ISNUMBER('Фин.показатели TTM'!L20),'Фин.показатели TTM'!L20,IF('Фин.показатели TTM'!L20="",IF(ISNUMBER('Фин.показатели TTM'!AK20),'Фин.показатели TTM'!AK20,IF('Фин.показатели TTM'!AK20="","н.д.",'Фин.показатели TTM'!AK20)),'Фин.показатели TTM'!L20))</x:f>
        <x:v>н.п.</x:v>
      </x:c>
      <x:c r="AN24" s="31" t="n">
        <x:f>IF(ISNUMBER('Фин.показатели TTM'!M20),'Фин.показатели TTM'!M20,IF('Фин.показатели TTM'!M20="","н.д.",'Фин.показатели TTM'!M20))</x:f>
        <x:v>302964</x:v>
      </x:c>
      <x:c r="AO24" s="31" t="n">
        <x:f>IF(ISNUMBER('Фин.показатели TTM'!N20),'Фин.показатели TTM'!N20,IF('Фин.показатели TTM'!N20="","н.д.",'Фин.показатели TTM'!N20))</x:f>
        <x:v>101555</x:v>
      </x:c>
      <x:c r="AP24" s="31" t="n">
        <x:f>IF(ISNUMBER('Фин.показатели TTM'!O20),'Фин.показатели TTM'!O20,IF('Фин.показатели TTM'!O20="","н.д.",'Фин.показатели TTM'!O20))</x:f>
        <x:v>4142</x:v>
      </x:c>
      <x:c r="AQ24" s="3"/>
      <x:c r="AR24" s="3"/>
    </x:row>
    <x:row r="25">
      <x:c r="B25" s="3">
        <x:v>15</x:v>
      </x:c>
      <x:c r="C25" s="3" t="s">
        <x:v>91</x:v>
      </x:c>
      <x:c r="D25" s="50" t="s">
        <x:v>92</x:v>
      </x:c>
      <x:c r="E25" s="3"/>
      <x:c r="F25" s="35" t="str">
        <x:f t="shared" si="3">IF(COLUMN()=8,IF(ISNUMBER(AJ25),IF(AJ25&lt;=0,"н.п.",IF(ISNUMBER($AG25),$AG25/AJ25,IF($AG25="","н.д.",$AG25))),IF(AJ25="","н.д.",AJ25)),IF(ISNUMBER(AJ25),IF(AJ25&lt;=0,"н.п.",IF(ISNUMBER($AF25),$AF25/AJ25,IF($AF25="","н.д.",$AF25))),IF(AJ25="","н.д.",AJ25)))</x:f>
        <x:v>н.д.</x:v>
      </x:c>
      <x:c r="G25" s="35" t="n">
        <x:f t="shared" si="3">IF(COLUMN()=8,IF(ISNUMBER(AK25),IF(AK25&lt;=0,"н.п.",IF(ISNUMBER($AG25),$AG25/AK25,IF($AG25="","н.д.",$AG25))),IF(AK25="","н.д.",AK25)),IF(ISNUMBER(AK25),IF(AK25&lt;=0,"н.п.",IF(ISNUMBER($AF25),$AF25/AK25,IF($AF25="","н.д.",$AF25))),IF(AK25="","н.д.",AK25)))</x:f>
        <x:v>0.07891410089775516</x:v>
      </x:c>
      <x:c r="H25" s="35" t="str">
        <x:f t="shared" si="3">IF(COLUMN()=8,IF(ISNUMBER(AL25),IF(AL25&lt;=0,"н.п.",IF(ISNUMBER($AG25),$AG25/AL25,IF($AG25="","н.д.",$AG25))),IF(AL25="","н.д.",AL25)),IF(ISNUMBER(AL25),IF(AL25&lt;=0,"н.п.",IF(ISNUMBER($AF25),$AF25/AL25,IF($AF25="","н.д.",$AF25))),IF(AL25="","н.д.",AL25)))</x:f>
        <x:v>н.п.</x:v>
      </x:c>
      <x:c r="I25" s="35" t="str">
        <x:f t="shared" si="3">IF(COLUMN()=8,IF(ISNUMBER(AM25),IF(AM25&lt;=0,"н.п.",IF(ISNUMBER($AG25),$AG25/AM25,IF($AG25="","н.д.",$AG25))),IF(AM25="","н.д.",AM25)),IF(ISNUMBER(AM25),IF(AM25&lt;=0,"н.п.",IF(ISNUMBER($AF25),$AF25/AM25,IF($AF25="","н.д.",$AF25))),IF(AM25="","н.д.",AM25)))</x:f>
        <x:v>н.п.</x:v>
      </x:c>
      <x:c r="J25" s="35" t="str">
        <x:f t="shared" si="3">IF(COLUMN()=8,IF(ISNUMBER(AN25),IF(AN25&lt;=0,"н.п.",IF(ISNUMBER($AG25),$AG25/AN25,IF($AG25="","н.д.",$AG25))),IF(AN25="","н.д.",AN25)),IF(ISNUMBER(AN25),IF(AN25&lt;=0,"н.п.",IF(ISNUMBER($AF25),$AF25/AN25,IF($AF25="","н.д.",$AF25))),IF(AN25="","н.д.",AN25)))</x:f>
        <x:v>н.д.</x:v>
      </x:c>
      <x:c r="K25" s="35" t="n">
        <x:f t="shared" si="0">IF(ISNUMBER(AI25),IF(AI25=0,"н.п.",IF(ISNUMBER(AF25),AF25/AI25,IF(AF25="","н.д.",AF25))),IF(AI25="","н.д.",AI25))</x:f>
        <x:v>0.007390331511425832</x:v>
      </x:c>
      <x:c r="L25" s="35" t="n">
        <x:f t="shared" si="4">IF(ISNUMBER(AO25),IF(AO25&lt;=0,"н.п.",IF(ISNUMBER(X25),X25/AO25,IF(X25="","н.д.",X25))),IF(AO25="","н.д.",AO25))</x:f>
        <x:v>2.1300238556271847</x:v>
      </x:c>
      <x:c r="M25" s="35" t="n">
        <x:f t="shared" si="1">IF(ISNUMBER(AP25),IF(AP25=0,"н.п.",IF(ISNUMBER(X25),X25/AP25,IF(X25="","н.д.",X25))),IF(AP25="","н.д.",AP25))</x:f>
        <x:v>0.2115805278965005</x:v>
      </x:c>
      <x:c r="N25" s="35" t="n">
        <x:f t="shared" si="2">IF(ISNUMBER(AI25),IF(AI25=0,"н.п.",IF(ISNUMBER(X25),X25/AI25,IF(X25="","н.д.",X25))),IF(AI25="","н.д.",AI25))</x:f>
        <x:v>0.1301826360593378</x:v>
      </x:c>
      <x:c r="O25" s="35" t="str">
        <x:f t="shared" si="5">IF(COLUMN()=17,IF(ISNUMBER(AJ25),IF(AJ25&lt;=0,"н.п.",IF(ISNUMBER($AB25),$AB25/AJ25,IF($AB25="","н.д.",$AB25))),IF(AJ25="","н.д.",AJ25)),IF($C$6="Да",IF(ISNUMBER(AJ25),IF(AJ25&lt;=0,"н.п.",IF(ISNUMBER($AA25),$AA25/AJ25,IF($AA25="","н.д.",$AA25))),IF(AJ25="","н.д.",AJ25)),IF(ISNUMBER(AJ25),IF(AJ25&lt;=0,"н.п.",IF(ISNUMBER($Z25),$Z25/AJ25,IF($Z25="","н.д.",$Z25))),IF(AJ25="","н.д.",AJ25))))</x:f>
        <x:v>н.д.</x:v>
      </x:c>
      <x:c r="P25" s="35" t="n">
        <x:f t="shared" si="5">IF(COLUMN()=17,IF(ISNUMBER(AK25),IF(AK25&lt;=0,"н.п.",IF(ISNUMBER($AB25),$AB25/AK25,IF($AB25="","н.д.",$AB25))),IF(AK25="","н.д.",AK25)),IF($C$6="Да",IF(ISNUMBER(AK25),IF(AK25&lt;=0,"н.п.",IF(ISNUMBER($AA25),$AA25/AK25,IF($AA25="","н.д.",$AA25))),IF(AK25="","н.д.",AK25)),IF(ISNUMBER(AK25),IF(AK25&lt;=0,"н.п.",IF(ISNUMBER($Z25),$Z25/AK25,IF($Z25="","н.д.",$Z25))),IF(AK25="","н.д.",AK25))))</x:f>
        <x:v>-1.409655654054541</x:v>
      </x:c>
      <x:c r="Q25" s="35" t="str">
        <x:f t="shared" si="5">IF(COLUMN()=17,IF(ISNUMBER(AL25),IF(AL25&lt;=0,"н.п.",IF(ISNUMBER($AB25),$AB25/AL25,IF($AB25="","н.д.",$AB25))),IF(AL25="","н.д.",AL25)),IF($C$6="Да",IF(ISNUMBER(AL25),IF(AL25&lt;=0,"н.п.",IF(ISNUMBER($AA25),$AA25/AL25,IF($AA25="","н.д.",$AA25))),IF(AL25="","н.д.",AL25)),IF(ISNUMBER(AL25),IF(AL25&lt;=0,"н.п.",IF(ISNUMBER($Z25),$Z25/AL25,IF($Z25="","н.д.",$Z25))),IF(AL25="","н.д.",AL25))))</x:f>
        <x:v>н.п.</x:v>
      </x:c>
      <x:c r="R25" s="35" t="str">
        <x:f t="shared" si="5">IF(COLUMN()=17,IF(ISNUMBER(AM25),IF(AM25&lt;=0,"н.п.",IF(ISNUMBER($AB25),$AB25/AM25,IF($AB25="","н.д.",$AB25))),IF(AM25="","н.д.",AM25)),IF($C$6="Да",IF(ISNUMBER(AM25),IF(AM25&lt;=0,"н.п.",IF(ISNUMBER($AA25),$AA25/AM25,IF($AA25="","н.д.",$AA25))),IF(AM25="","н.д.",AM25)),IF(ISNUMBER(AM25),IF(AM25&lt;=0,"н.п.",IF(ISNUMBER($Z25),$Z25/AM25,IF($Z25="","н.д.",$Z25))),IF(AM25="","н.д.",AM25))))</x:f>
        <x:v>н.п.</x:v>
      </x:c>
      <x:c r="S25" s="35" t="str">
        <x:f t="shared" si="5">IF(COLUMN()=17,IF(ISNUMBER(AN25),IF(AN25&lt;=0,"н.п.",IF(ISNUMBER($AB25),$AB25/AN25,IF($AB25="","н.д.",$AB25))),IF(AN25="","н.д.",AN25)),IF($C$6="Да",IF(ISNUMBER(AN25),IF(AN25&lt;=0,"н.п.",IF(ISNUMBER($AA25),$AA25/AN25,IF($AA25="","н.д.",$AA25))),IF(AN25="","н.д.",AN25)),IF(ISNUMBER(AN25),IF(AN25&lt;=0,"н.п.",IF(ISNUMBER($Z25),$Z25/AN25,IF($Z25="","н.д.",$Z25))),IF(AN25="","н.д.",AN25))))</x:f>
        <x:v>н.д.</x:v>
      </x:c>
      <x:c r="T25" s="3"/>
      <x:c r="U25" s="52" t="n">
        <x:f>Котировки!C17</x:f>
        <x:v>2.364142857</x:v>
      </x:c>
      <x:c r="V25" s="51" t="n">
        <x:f>Котировки!E17</x:f>
        <x:v>104400000000</x:v>
      </x:c>
      <x:c r="W25" s="53"/>
      <x:c r="X25" s="31" t="n">
        <x:f t="shared" si="6">IF($C$5="Да",IF(ISNUMBER(W25),IF(ISNUMBER(U25),U25*W25/10^6,IF(U25="","н.д.",U25)),IF(W25="","н.д.",W25)),IF(ISNUMBER(V25),IF(ISNUMBER(U25),U25*V25/10^6,IF(U25="","н.д.",U25)),IF(V25="","н.д.",V25)))</x:f>
        <x:v>246816.51427080002</x:v>
      </x:c>
      <x:c r="Y25" s="3"/>
      <x:c r="Z25" s="31" t="n">
        <x:f>IF(ISNUMBER('Фин.показатели TTM'!E21),'Фин.показатели TTM'!E21,IF('Фин.показатели TTM'!E21="",IF(ISNUMBER('Фин.показатели TTM'!R21),'Фин.показатели TTM'!R21,IF('Фин.показатели TTM'!R21="","н.д.",'Фин.показатели TTM'!R21)),'Фин.показатели TTM'!E21))</x:f>
        <x:v>-250290</x:v>
      </x:c>
      <x:c r="AA25" s="31" t="str">
        <x:f>IF(ISNUMBER('Фин.показатели TTM'!F21),'Фин.показатели TTM'!F21,IF('Фин.показатели TTM'!F21="","н.д.",'Фин.показатели TTM'!F21))</x:f>
        <x:v>н.д.</x:v>
      </x:c>
      <x:c r="AB25" s="31" t="str">
        <x:f>IF(ISNUMBER('Фин.показатели TTM'!G21),'Фин.показатели TTM'!G21,IF('Фин.показатели TTM'!G21="",IF(ISNUMBER('Фин.показатели TTM'!Y21),'Фин.показатели TTM'!Y21,IF('Фин.показатели TTM'!Y21="","н.д.",'Фин.показатели TTM'!Y21)),'Фин.показатели TTM'!G21))</x:f>
        <x:v>н.п.</x:v>
      </x:c>
      <x:c r="AC25" s="34">
        <x:v>17485</x:v>
      </x:c>
      <x:c r="AD25" s="34" t="n">
        <x:f>Котировки!D17*Котировки!F17/10^6</x:f>
        <x:v>0</x:v>
      </x:c>
      <x:c r="AE25" s="34"/>
      <x:c r="AF25" s="31" t="n">
        <x:f t="shared" si="7">IF($C$6="Да",IF(ISNUMBER(AA25),IF(ISNUMBER(X25),IF(COUNTIF(AC25:AE25,"н.д.")&gt;0,"н.д.",X25+AA25+SUM(AC25:AE25)),IF(X25="","н.д.",X25)),IF(AA25="","н.д.",AA25)),IF(ISNUMBER(Z25),IF(ISNUMBER(X25),IF(COUNTIF(AC25:AE25,"н.д.")&gt;0,"н.д.",X25+Z25+SUM(AC25:AE25)),IF(X25="","н.д.",X25)),IF(Z25="","н.д.",Z25)))</x:f>
        <x:v>14011.51427080002</x:v>
      </x:c>
      <x:c r="AG25" s="31" t="str">
        <x:f t="shared" si="8">IF(ISNUMBER(AB25),IF(ISNUMBER(X25),IF(COUNTIF(AC25:AE25,"н.д.")&gt;0,"н.д.",X25+AB25+SUM(AC25:AE25)),IF(X25="","н.д.",X25)),IF(AB25="","н.д.",AB25))</x:f>
        <x:v>н.п.</x:v>
      </x:c>
      <x:c r="AH25" s="3"/>
      <x:c r="AI25" s="31" t="n">
        <x:f>IF(ISNUMBER('Фин.показатели TTM'!H21),'Фин.показатели TTM'!H21,IF('Фин.показатели TTM'!H21="","н.д.",'Фин.показатели TTM'!H21))</x:f>
        <x:v>1895925</x:v>
      </x:c>
      <x:c r="AJ25" s="31" t="str">
        <x:f>IF(ISNUMBER('Фин.показатели TTM'!I21),'Фин.показатели TTM'!I21,IF('Фин.показатели TTM'!I21="",IF(ISNUMBER('Фин.показатели TTM'!Z21),'Фин.показатели TTM'!Z21,IF('Фин.показатели TTM'!Z21="","н.д.",'Фин.показатели TTM'!Z21)),'Фин.показатели TTM'!I21))</x:f>
        <x:v>н.д.</x:v>
      </x:c>
      <x:c r="AK25" s="31" t="n">
        <x:f>IF(ISNUMBER('Фин.показатели TTM'!J21),'Фин.показатели TTM'!J21,IF('Фин.показатели TTM'!J21="","н.д.",'Фин.показатели TTM'!J21))</x:f>
        <x:v>177554</x:v>
      </x:c>
      <x:c r="AL25" s="31" t="str">
        <x:f>IF(ISNUMBER('Фин.показатели TTM'!K21),'Фин.показатели TTM'!K21,IF('Фин.показатели TTM'!K21="",IF(ISNUMBER('Фин.показатели TTM'!AI21),'Фин.показатели TTM'!AI21,IF('Фин.показатели TTM'!AI21="","н.д.",'Фин.показатели TTM'!AI21)),'Фин.показатели TTM'!K21))</x:f>
        <x:v>н.п.</x:v>
      </x:c>
      <x:c r="AM25" s="31" t="str">
        <x:f>IF(ISNUMBER('Фин.показатели TTM'!L21),'Фин.показатели TTM'!L21,IF('Фин.показатели TTM'!L21="",IF(ISNUMBER('Фин.показатели TTM'!AK21),'Фин.показатели TTM'!AK21,IF('Фин.показатели TTM'!AK21="","н.д.",'Фин.показатели TTM'!AK21)),'Фин.показатели TTM'!L21))</x:f>
        <x:v>н.п.</x:v>
      </x:c>
      <x:c r="AN25" s="31" t="str">
        <x:f>IF(ISNUMBER('Фин.показатели TTM'!M21),'Фин.показатели TTM'!M21,IF('Фин.показатели TTM'!M21="","н.д.",'Фин.показатели TTM'!M21))</x:f>
        <x:v>н.д.</x:v>
      </x:c>
      <x:c r="AO25" s="31" t="n">
        <x:f>IF(ISNUMBER('Фин.показатели TTM'!N21),'Фин.показатели TTM'!N21,IF('Фин.показатели TTM'!N21="","н.д.",'Фин.показатели TTM'!N21))</x:f>
        <x:v>115875</x:v>
      </x:c>
      <x:c r="AP25" s="31" t="n">
        <x:f>IF(ISNUMBER('Фин.показатели TTM'!O21),'Фин.показатели TTM'!O21,IF('Фин.показатели TTM'!O21="","н.д.",'Фин.показатели TTM'!O21))</x:f>
        <x:v>1166537</x:v>
      </x:c>
      <x:c r="AQ25" s="3"/>
      <x:c r="AR25" s="3"/>
    </x:row>
    <x:row r="26">
      <x:c r="B26" s="3">
        <x:v>16</x:v>
      </x:c>
      <x:c r="C26" s="3" t="s">
        <x:v>93</x:v>
      </x:c>
      <x:c r="D26" s="50" t="s">
        <x:v>80</x:v>
      </x:c>
      <x:c r="E26" s="3"/>
      <x:c r="F26" s="35" t="str">
        <x:f t="shared" si="3">IF(COLUMN()=8,IF(ISNUMBER(AJ26),IF(AJ26&lt;=0,"н.п.",IF(ISNUMBER($AG26),$AG26/AJ26,IF($AG26="","н.д.",$AG26))),IF(AJ26="","н.д.",AJ26)),IF(ISNUMBER(AJ26),IF(AJ26&lt;=0,"н.п.",IF(ISNUMBER($AF26),$AF26/AJ26,IF($AF26="","н.д.",$AF26))),IF(AJ26="","н.д.",AJ26)))</x:f>
        <x:v>н.д.</x:v>
      </x:c>
      <x:c r="G26" s="35" t="n">
        <x:f t="shared" si="3">IF(COLUMN()=8,IF(ISNUMBER(AK26),IF(AK26&lt;=0,"н.п.",IF(ISNUMBER($AG26),$AG26/AK26,IF($AG26="","н.д.",$AG26))),IF(AK26="","н.д.",AK26)),IF(ISNUMBER(AK26),IF(AK26&lt;=0,"н.п.",IF(ISNUMBER($AF26),$AF26/AK26,IF($AF26="","н.д.",$AF26))),IF(AK26="","н.д.",AK26)))</x:f>
        <x:v>6.219090261778067</x:v>
      </x:c>
      <x:c r="H26" s="35" t="str">
        <x:f t="shared" si="3">IF(COLUMN()=8,IF(ISNUMBER(AL26),IF(AL26&lt;=0,"н.п.",IF(ISNUMBER($AG26),$AG26/AL26,IF($AG26="","н.д.",$AG26))),IF(AL26="","н.д.",AL26)),IF(ISNUMBER(AL26),IF(AL26&lt;=0,"н.п.",IF(ISNUMBER($AF26),$AF26/AL26,IF($AF26="","н.д.",$AF26))),IF(AL26="","н.д.",AL26)))</x:f>
        <x:v>н.п.</x:v>
      </x:c>
      <x:c r="I26" s="35" t="str">
        <x:f t="shared" si="3">IF(COLUMN()=8,IF(ISNUMBER(AM26),IF(AM26&lt;=0,"н.п.",IF(ISNUMBER($AG26),$AG26/AM26,IF($AG26="","н.д.",$AG26))),IF(AM26="","н.д.",AM26)),IF(ISNUMBER(AM26),IF(AM26&lt;=0,"н.п.",IF(ISNUMBER($AF26),$AF26/AM26,IF($AF26="","н.д.",$AF26))),IF(AM26="","н.д.",AM26)))</x:f>
        <x:v>н.п.</x:v>
      </x:c>
      <x:c r="J26" s="35" t="str">
        <x:f t="shared" si="3">IF(COLUMN()=8,IF(ISNUMBER(AN26),IF(AN26&lt;=0,"н.п.",IF(ISNUMBER($AG26),$AG26/AN26,IF($AG26="","н.д.",$AG26))),IF(AN26="","н.д.",AN26)),IF(ISNUMBER(AN26),IF(AN26&lt;=0,"н.п.",IF(ISNUMBER($AF26),$AF26/AN26,IF($AF26="","н.д.",$AF26))),IF(AN26="","н.д.",AN26)))</x:f>
        <x:v>н.д.</x:v>
      </x:c>
      <x:c r="K26" s="35" t="n">
        <x:f t="shared" si="0">IF(ISNUMBER(AI26),IF(AI26=0,"н.п.",IF(ISNUMBER(AF26),AF26/AI26,IF(AF26="","н.д.",AF26))),IF(AI26="","н.д.",AI26))</x:f>
        <x:v>0.949394863980244</x:v>
      </x:c>
      <x:c r="L26" s="35" t="str">
        <x:f t="shared" si="4">IF(ISNUMBER(AO26),IF(AO26&lt;=0,"н.п.",IF(ISNUMBER(X26),X26/AO26,IF(X26="","н.д.",X26))),IF(AO26="","н.д.",AO26))</x:f>
        <x:v>н.п.</x:v>
      </x:c>
      <x:c r="M26" s="35" t="n">
        <x:f t="shared" si="1">IF(ISNUMBER(AP26),IF(AP26=0,"н.п.",IF(ISNUMBER(X26),X26/AP26,IF(X26="","н.д.",X26))),IF(AP26="","н.д.",AP26))</x:f>
        <x:v>1.0168231082154666</x:v>
      </x:c>
      <x:c r="N26" s="35" t="n">
        <x:f t="shared" si="2">IF(ISNUMBER(AI26),IF(AI26=0,"н.п.",IF(ISNUMBER(X26),X26/AI26,IF(X26="","н.д.",X26))),IF(AI26="","н.д.",AI26))</x:f>
        <x:v>0.8143582961289085</x:v>
      </x:c>
      <x:c r="O26" s="35" t="str">
        <x:f t="shared" si="5">IF(COLUMN()=17,IF(ISNUMBER(AJ26),IF(AJ26&lt;=0,"н.п.",IF(ISNUMBER($AB26),$AB26/AJ26,IF($AB26="","н.д.",$AB26))),IF(AJ26="","н.д.",AJ26)),IF($C$6="Да",IF(ISNUMBER(AJ26),IF(AJ26&lt;=0,"н.п.",IF(ISNUMBER($AA26),$AA26/AJ26,IF($AA26="","н.д.",$AA26))),IF(AJ26="","н.д.",AJ26)),IF(ISNUMBER(AJ26),IF(AJ26&lt;=0,"н.п.",IF(ISNUMBER($Z26),$Z26/AJ26,IF($Z26="","н.д.",$Z26))),IF(AJ26="","н.д.",AJ26))))</x:f>
        <x:v>н.д.</x:v>
      </x:c>
      <x:c r="P26" s="35" t="n">
        <x:f t="shared" si="5">IF(COLUMN()=17,IF(ISNUMBER(AK26),IF(AK26&lt;=0,"н.п.",IF(ISNUMBER($AB26),$AB26/AK26,IF($AB26="","н.д.",$AB26))),IF(AK26="","н.д.",AK26)),IF($C$6="Да",IF(ISNUMBER(AK26),IF(AK26&lt;=0,"н.п.",IF(ISNUMBER($AA26),$AA26/AK26,IF($AA26="","н.д.",$AA26))),IF(AK26="","н.д.",AK26)),IF(ISNUMBER(AK26),IF(AK26&lt;=0,"н.п.",IF(ISNUMBER($Z26),$Z26/AK26,IF($Z26="","н.д.",$Z26))),IF(AK26="","н.д.",AK26))))</x:f>
        <x:v>0.8730873265020039</x:v>
      </x:c>
      <x:c r="Q26" s="35" t="str">
        <x:f t="shared" si="5">IF(COLUMN()=17,IF(ISNUMBER(AL26),IF(AL26&lt;=0,"н.п.",IF(ISNUMBER($AB26),$AB26/AL26,IF($AB26="","н.д.",$AB26))),IF(AL26="","н.д.",AL26)),IF($C$6="Да",IF(ISNUMBER(AL26),IF(AL26&lt;=0,"н.п.",IF(ISNUMBER($AA26),$AA26/AL26,IF($AA26="","н.д.",$AA26))),IF(AL26="","н.д.",AL26)),IF(ISNUMBER(AL26),IF(AL26&lt;=0,"н.п.",IF(ISNUMBER($Z26),$Z26/AL26,IF($Z26="","н.д.",$Z26))),IF(AL26="","н.д.",AL26))))</x:f>
        <x:v>н.п.</x:v>
      </x:c>
      <x:c r="R26" s="35" t="str">
        <x:f t="shared" si="5">IF(COLUMN()=17,IF(ISNUMBER(AM26),IF(AM26&lt;=0,"н.п.",IF(ISNUMBER($AB26),$AB26/AM26,IF($AB26="","н.д.",$AB26))),IF(AM26="","н.д.",AM26)),IF($C$6="Да",IF(ISNUMBER(AM26),IF(AM26&lt;=0,"н.п.",IF(ISNUMBER($AA26),$AA26/AM26,IF($AA26="","н.д.",$AA26))),IF(AM26="","н.д.",AM26)),IF(ISNUMBER(AM26),IF(AM26&lt;=0,"н.п.",IF(ISNUMBER($Z26),$Z26/AM26,IF($Z26="","н.д.",$Z26))),IF(AM26="","н.д.",AM26))))</x:f>
        <x:v>н.п.</x:v>
      </x:c>
      <x:c r="S26" s="35" t="str">
        <x:f t="shared" si="5">IF(COLUMN()=17,IF(ISNUMBER(AN26),IF(AN26&lt;=0,"н.п.",IF(ISNUMBER($AB26),$AB26/AN26,IF($AB26="","н.д.",$AB26))),IF(AN26="","н.д.",AN26)),IF($C$6="Да",IF(ISNUMBER(AN26),IF(AN26&lt;=0,"н.п.",IF(ISNUMBER($AA26),$AA26/AN26,IF($AA26="","н.д.",$AA26))),IF(AN26="","н.д.",AN26)),IF(ISNUMBER(AN26),IF(AN26&lt;=0,"н.п.",IF(ISNUMBER($Z26),$Z26/AN26,IF($Z26="","н.д.",$Z26))),IF(AN26="","н.д.",AN26))))</x:f>
        <x:v>н.д.</x:v>
      </x:c>
      <x:c r="T26" s="3"/>
      <x:c r="U26" s="51" t="n">
        <x:f>Котировки!C18</x:f>
        <x:v>645.057142857</x:v>
      </x:c>
      <x:c r="V26" s="51" t="n">
        <x:f>Котировки!E18</x:f>
        <x:v>837718660</x:v>
      </x:c>
      <x:c r="W26" s="53"/>
      <x:c r="X26" s="31" t="n">
        <x:f t="shared" si="6">IF($C$5="Да",IF(ISNUMBER(W26),IF(ISNUMBER(U26),U26*W26/10^6,IF(U26="","н.д.",U26)),IF(W26="","н.д.",W26)),IF(ISNUMBER(V26),IF(ISNUMBER(U26),U26*V26/10^6,IF(U26="","н.д.",U26)),IF(V26="","н.д.",V26)))</x:f>
        <x:v>540376.4053375947</x:v>
      </x:c>
      <x:c r="Y26" s="3"/>
      <x:c r="Z26" s="31" t="n">
        <x:f>IF(ISNUMBER('Фин.показатели TTM'!E22),'Фин.показатели TTM'!E22,IF('Фин.показатели TTM'!E22="",IF(ISNUMBER('Фин.показатели TTM'!R22),'Фин.показатели TTM'!R22,IF('Фин.показатели TTM'!R22="","н.д.",'Фин.показатели TTM'!R22)),'Фин.показатели TTM'!E22))</x:f>
        <x:v>88442</x:v>
      </x:c>
      <x:c r="AA26" s="31" t="str">
        <x:f>IF(ISNUMBER('Фин.показатели TTM'!F22),'Фин.показатели TTM'!F22,IF('Фин.показатели TTM'!F22="","н.д.",'Фин.показатели TTM'!F22))</x:f>
        <x:v>н.д.</x:v>
      </x:c>
      <x:c r="AB26" s="31" t="str">
        <x:f>IF(ISNUMBER('Фин.показатели TTM'!G22),'Фин.показатели TTM'!G22,IF('Фин.показатели TTM'!G22="",IF(ISNUMBER('Фин.показатели TTM'!Y22),'Фин.показатели TTM'!Y22,IF('Фин.показатели TTM'!Y22="","н.д.",'Фин.показатели TTM'!Y22)),'Фин.показатели TTM'!G22))</x:f>
        <x:v>н.п.</x:v>
      </x:c>
      <x:c r="AC26" s="34">
        <x:v>1163</x:v>
      </x:c>
      <x:c r="AD26" s="34" t="n">
        <x:f>Котировки!D18*Котировки!F18/10^6</x:f>
        <x:v>0</x:v>
      </x:c>
      <x:c r="AE26" s="34"/>
      <x:c r="AF26" s="31" t="n">
        <x:f t="shared" si="7">IF($C$6="Да",IF(ISNUMBER(AA26),IF(ISNUMBER(X26),IF(COUNTIF(AC26:AE26,"н.д.")&gt;0,"н.д.",X26+AA26+SUM(AC26:AE26)),IF(X26="","н.д.",X26)),IF(AA26="","н.д.",AA26)),IF(ISNUMBER(Z26),IF(ISNUMBER(X26),IF(COUNTIF(AC26:AE26,"н.д.")&gt;0,"н.д.",X26+Z26+SUM(AC26:AE26)),IF(X26="","н.д.",X26)),IF(Z26="","н.д.",Z26)))</x:f>
        <x:v>629981.4053375947</x:v>
      </x:c>
      <x:c r="AG26" s="31" t="str">
        <x:f t="shared" si="8">IF(ISNUMBER(AB26),IF(ISNUMBER(X26),IF(COUNTIF(AC26:AE26,"н.д.")&gt;0,"н.д.",X26+AB26+SUM(AC26:AE26)),IF(X26="","н.д.",X26)),IF(AB26="","н.д.",AB26))</x:f>
        <x:v>н.п.</x:v>
      </x:c>
      <x:c r="AH26" s="3"/>
      <x:c r="AI26" s="31" t="n">
        <x:f>IF(ISNUMBER('Фин.показатели TTM'!H22),'Фин.показатели TTM'!H22,IF('Фин.показатели TTM'!H22="","н.д.",'Фин.показатели TTM'!H22))</x:f>
        <x:v>663561</x:v>
      </x:c>
      <x:c r="AJ26" s="31" t="str">
        <x:f>IF(ISNUMBER('Фин.показатели TTM'!I22),'Фин.показатели TTM'!I22,IF('Фин.показатели TTM'!I22="",IF(ISNUMBER('Фин.показатели TTM'!Z22),'Фин.показатели TTM'!Z22,IF('Фин.показатели TTM'!Z22="","н.д.",'Фин.показатели TTM'!Z22)),'Фин.показатели TTM'!I22))</x:f>
        <x:v>н.д.</x:v>
      </x:c>
      <x:c r="AK26" s="31" t="n">
        <x:f>IF(ISNUMBER('Фин.показатели TTM'!J22),'Фин.показатели TTM'!J22,IF('Фин.показатели TTM'!J22="","н.д.",'Фин.показатели TTM'!J22))</x:f>
        <x:v>101298</x:v>
      </x:c>
      <x:c r="AL26" s="31" t="str">
        <x:f>IF(ISNUMBER('Фин.показатели TTM'!K22),'Фин.показатели TTM'!K22,IF('Фин.показатели TTM'!K22="",IF(ISNUMBER('Фин.показатели TTM'!AI22),'Фин.показатели TTM'!AI22,IF('Фин.показатели TTM'!AI22="","н.д.",'Фин.показатели TTM'!AI22)),'Фин.показатели TTM'!K22))</x:f>
        <x:v>н.п.</x:v>
      </x:c>
      <x:c r="AM26" s="31" t="str">
        <x:f>IF(ISNUMBER('Фин.показатели TTM'!L22),'Фин.показатели TTM'!L22,IF('Фин.показатели TTM'!L22="",IF(ISNUMBER('Фин.показатели TTM'!AK22),'Фин.показатели TTM'!AK22,IF('Фин.показатели TTM'!AK22="","н.д.",'Фин.показатели TTM'!AK22)),'Фин.показатели TTM'!L22))</x:f>
        <x:v>н.п.</x:v>
      </x:c>
      <x:c r="AN26" s="31" t="str">
        <x:f>IF(ISNUMBER('Фин.показатели TTM'!M22),'Фин.показатели TTM'!M22,IF('Фин.показатели TTM'!M22="","н.д.",'Фин.показатели TTM'!M22))</x:f>
        <x:v>н.д.</x:v>
      </x:c>
      <x:c r="AO26" s="31" t="n">
        <x:f>IF(ISNUMBER('Фин.показатели TTM'!N22),'Фин.показатели TTM'!N22,IF('Фин.показатели TTM'!N22="","н.д.",'Фин.показатели TTM'!N22))</x:f>
        <x:v>-646</x:v>
      </x:c>
      <x:c r="AP26" s="31" t="n">
        <x:f>IF(ISNUMBER('Фин.показатели TTM'!O22),'Фин.показатели TTM'!O22,IF('Фин.показатели TTM'!O22="","н.д.",'Фин.показатели TTM'!O22))</x:f>
        <x:v>531436</x:v>
      </x:c>
      <x:c r="AQ26" s="3"/>
      <x:c r="AR26" s="3"/>
    </x:row>
    <x:row r="27">
      <x:c r="B27" s="3">
        <x:v>17</x:v>
      </x:c>
      <x:c r="C27" s="3" t="s">
        <x:v>94</x:v>
      </x:c>
      <x:c r="D27" s="50" t="s">
        <x:v>80</x:v>
      </x:c>
      <x:c r="E27" s="3"/>
      <x:c r="F27" s="35" t="str">
        <x:f t="shared" si="3">IF(COLUMN()=8,IF(ISNUMBER(AJ27),IF(AJ27&lt;=0,"н.п.",IF(ISNUMBER($AG27),$AG27/AJ27,IF($AG27="","н.д.",$AG27))),IF(AJ27="","н.д.",AJ27)),IF(ISNUMBER(AJ27),IF(AJ27&lt;=0,"н.п.",IF(ISNUMBER($AF27),$AF27/AJ27,IF($AF27="","н.д.",$AF27))),IF(AJ27="","н.д.",AJ27)))</x:f>
        <x:v>н.д.</x:v>
      </x:c>
      <x:c r="G27" s="35" t="n">
        <x:f t="shared" si="3">IF(COLUMN()=8,IF(ISNUMBER(AK27),IF(AK27&lt;=0,"н.п.",IF(ISNUMBER($AG27),$AG27/AK27,IF($AG27="","н.д.",$AG27))),IF(AK27="","н.д.",AK27)),IF(ISNUMBER(AK27),IF(AK27&lt;=0,"н.п.",IF(ISNUMBER($AF27),$AF27/AK27,IF($AF27="","н.д.",$AF27))),IF(AK27="","н.д.",AK27)))</x:f>
        <x:v>9.25713276896196</x:v>
      </x:c>
      <x:c r="H27" s="35" t="str">
        <x:f t="shared" si="3">IF(COLUMN()=8,IF(ISNUMBER(AL27),IF(AL27&lt;=0,"н.п.",IF(ISNUMBER($AG27),$AG27/AL27,IF($AG27="","н.д.",$AG27))),IF(AL27="","н.д.",AL27)),IF(ISNUMBER(AL27),IF(AL27&lt;=0,"н.п.",IF(ISNUMBER($AF27),$AF27/AL27,IF($AF27="","н.д.",$AF27))),IF(AL27="","н.д.",AL27)))</x:f>
        <x:v>н.п.</x:v>
      </x:c>
      <x:c r="I27" s="35" t="str">
        <x:f t="shared" si="3">IF(COLUMN()=8,IF(ISNUMBER(AM27),IF(AM27&lt;=0,"н.п.",IF(ISNUMBER($AG27),$AG27/AM27,IF($AG27="","н.д.",$AG27))),IF(AM27="","н.д.",AM27)),IF(ISNUMBER(AM27),IF(AM27&lt;=0,"н.п.",IF(ISNUMBER($AF27),$AF27/AM27,IF($AF27="","н.д.",$AF27))),IF(AM27="","н.д.",AM27)))</x:f>
        <x:v>н.п.</x:v>
      </x:c>
      <x:c r="J27" s="35" t="str">
        <x:f t="shared" si="3">IF(COLUMN()=8,IF(ISNUMBER(AN27),IF(AN27&lt;=0,"н.п.",IF(ISNUMBER($AG27),$AG27/AN27,IF($AG27="","н.д.",$AG27))),IF(AN27="","н.д.",AN27)),IF(ISNUMBER(AN27),IF(AN27&lt;=0,"н.п.",IF(ISNUMBER($AF27),$AF27/AN27,IF($AF27="","н.д.",$AF27))),IF(AN27="","н.д.",AN27)))</x:f>
        <x:v>н.д.</x:v>
      </x:c>
      <x:c r="K27" s="35" t="n">
        <x:f t="shared" si="0">IF(ISNUMBER(AI27),IF(AI27=0,"н.п.",IF(ISNUMBER(AF27),AF27/AI27,IF(AF27="","н.д.",AF27))),IF(AI27="","н.д.",AI27))</x:f>
        <x:v>0.8863515215198686</x:v>
      </x:c>
      <x:c r="L27" s="35" t="n">
        <x:f t="shared" si="4">IF(ISNUMBER(AO27),IF(AO27&lt;=0,"н.п.",IF(ISNUMBER(X27),X27/AO27,IF(X27="","н.д.",X27))),IF(AO27="","н.д.",AO27))</x:f>
        <x:v>254.57456019694837</x:v>
      </x:c>
      <x:c r="M27" s="35" t="n">
        <x:f t="shared" si="1">IF(ISNUMBER(AP27),IF(AP27=0,"н.п.",IF(ISNUMBER(X27),X27/AP27,IF(X27="","н.д.",X27))),IF(AP27="","н.д.",AP27))</x:f>
        <x:v>0.41287798577668244</x:v>
      </x:c>
      <x:c r="N27" s="35" t="n">
        <x:f t="shared" si="2">IF(ISNUMBER(AI27),IF(AI27=0,"н.п.",IF(ISNUMBER(X27),X27/AI27,IF(X27="","н.д.",X27))),IF(AI27="","н.д.",AI27))</x:f>
        <x:v>0.3195473386639409</x:v>
      </x:c>
      <x:c r="O27" s="35" t="str">
        <x:f t="shared" si="5">IF(COLUMN()=17,IF(ISNUMBER(AJ27),IF(AJ27&lt;=0,"н.п.",IF(ISNUMBER($AB27),$AB27/AJ27,IF($AB27="","н.д.",$AB27))),IF(AJ27="","н.д.",AJ27)),IF($C$6="Да",IF(ISNUMBER(AJ27),IF(AJ27&lt;=0,"н.п.",IF(ISNUMBER($AA27),$AA27/AJ27,IF($AA27="","н.д.",$AA27))),IF(AJ27="","н.д.",AJ27)),IF(ISNUMBER(AJ27),IF(AJ27&lt;=0,"н.п.",IF(ISNUMBER($Z27),$Z27/AJ27,IF($Z27="","н.д.",$Z27))),IF(AJ27="","н.д.",AJ27))))</x:f>
        <x:v>н.д.</x:v>
      </x:c>
      <x:c r="P27" s="35" t="n">
        <x:f t="shared" si="5">IF(COLUMN()=17,IF(ISNUMBER(AK27),IF(AK27&lt;=0,"н.п.",IF(ISNUMBER($AB27),$AB27/AK27,IF($AB27="","н.д.",$AB27))),IF(AK27="","н.д.",AK27)),IF($C$6="Да",IF(ISNUMBER(AK27),IF(AK27&lt;=0,"н.п.",IF(ISNUMBER($AA27),$AA27/AK27,IF($AA27="","н.д.",$AA27))),IF(AK27="","н.д.",AK27)),IF(ISNUMBER(AK27),IF(AK27&lt;=0,"н.п.",IF(ISNUMBER($Z27),$Z27/AK27,IF($Z27="","н.д.",$Z27))),IF(AK27="","н.д.",AK27))))</x:f>
        <x:v>5.919752431521829</x:v>
      </x:c>
      <x:c r="Q27" s="35" t="str">
        <x:f t="shared" si="5">IF(COLUMN()=17,IF(ISNUMBER(AL27),IF(AL27&lt;=0,"н.п.",IF(ISNUMBER($AB27),$AB27/AL27,IF($AB27="","н.д.",$AB27))),IF(AL27="","н.д.",AL27)),IF($C$6="Да",IF(ISNUMBER(AL27),IF(AL27&lt;=0,"н.п.",IF(ISNUMBER($AA27),$AA27/AL27,IF($AA27="","н.д.",$AA27))),IF(AL27="","н.д.",AL27)),IF(ISNUMBER(AL27),IF(AL27&lt;=0,"н.п.",IF(ISNUMBER($Z27),$Z27/AL27,IF($Z27="","н.д.",$Z27))),IF(AL27="","н.д.",AL27))))</x:f>
        <x:v>н.п.</x:v>
      </x:c>
      <x:c r="R27" s="35" t="str">
        <x:f t="shared" si="5">IF(COLUMN()=17,IF(ISNUMBER(AM27),IF(AM27&lt;=0,"н.п.",IF(ISNUMBER($AB27),$AB27/AM27,IF($AB27="","н.д.",$AB27))),IF(AM27="","н.д.",AM27)),IF($C$6="Да",IF(ISNUMBER(AM27),IF(AM27&lt;=0,"н.п.",IF(ISNUMBER($AA27),$AA27/AM27,IF($AA27="","н.д.",$AA27))),IF(AM27="","н.д.",AM27)),IF(ISNUMBER(AM27),IF(AM27&lt;=0,"н.п.",IF(ISNUMBER($Z27),$Z27/AM27,IF($Z27="","н.д.",$Z27))),IF(AM27="","н.д.",AM27))))</x:f>
        <x:v>н.п.</x:v>
      </x:c>
      <x:c r="S27" s="35" t="str">
        <x:f t="shared" si="5">IF(COLUMN()=17,IF(ISNUMBER(AN27),IF(AN27&lt;=0,"н.п.",IF(ISNUMBER($AB27),$AB27/AN27,IF($AB27="","н.д.",$AB27))),IF(AN27="","н.д.",AN27)),IF($C$6="Да",IF(ISNUMBER(AN27),IF(AN27&lt;=0,"н.п.",IF(ISNUMBER($AA27),$AA27/AN27,IF($AA27="","н.д.",$AA27))),IF(AN27="","н.д.",AN27)),IF(ISNUMBER(AN27),IF(AN27&lt;=0,"н.п.",IF(ISNUMBER($Z27),$Z27/AN27,IF($Z27="","н.д.",$Z27))),IF(AN27="","н.д.",AN27))))</x:f>
        <x:v>н.д.</x:v>
      </x:c>
      <x:c r="T27" s="3"/>
      <x:c r="U27" s="51" t="n">
        <x:f>Котировки!C19</x:f>
        <x:v>25.681428571</x:v>
      </x:c>
      <x:c r="V27" s="51" t="n">
        <x:f>Котировки!E19</x:f>
        <x:v>15193014862</x:v>
      </x:c>
      <x:c r="W27" s="53"/>
      <x:c r="X27" s="31" t="n">
        <x:f t="shared" si="6">IF($C$5="Да",IF(ISNUMBER(W27),IF(ISNUMBER(U27),U27*W27/10^6,IF(U27="","н.д.",U27)),IF(W27="","н.д.",W27)),IF(ISNUMBER(V27),IF(ISNUMBER(U27),U27*V27/10^6,IF(U27="","н.д.",U27)),IF(V27="","н.д.",V27)))</x:f>
        <x:v>390178.32595659443</x:v>
      </x:c>
      <x:c r="Y27" s="3"/>
      <x:c r="Z27" s="31" t="n">
        <x:f>IF(ISNUMBER('Фин.показатели TTM'!E23),'Фин.показатели TTM'!E23,IF('Фин.показатели TTM'!E23="",IF(ISNUMBER('Фин.показатели TTM'!R23),'Фин.показатели TTM'!R23,IF('Фин.показатели TTM'!R23="","н.д.",'Фин.показатели TTM'!R23)),'Фин.показатели TTM'!E23))</x:f>
        <x:v>692087.4639000001</x:v>
      </x:c>
      <x:c r="AA27" s="31" t="str">
        <x:f>IF(ISNUMBER('Фин.показатели TTM'!F23),'Фин.показатели TTM'!F23,IF('Фин.показатели TTM'!F23="","н.д.",'Фин.показатели TTM'!F23))</x:f>
        <x:v>н.д.</x:v>
      </x:c>
      <x:c r="AB27" s="31" t="str">
        <x:f>IF(ISNUMBER('Фин.показатели TTM'!G23),'Фин.показатели TTM'!G23,IF('Фин.показатели TTM'!G23="",IF(ISNUMBER('Фин.показатели TTM'!Y23),'Фин.показатели TTM'!Y23,IF('Фин.показатели TTM'!Y23="","н.д.",'Фин.показатели TTM'!Y23)),'Фин.показатели TTM'!G23))</x:f>
        <x:v>н.п.</x:v>
      </x:c>
      <x:c r="AC27" s="34">
        <x:v>0</x:v>
      </x:c>
      <x:c r="AD27" s="34" t="n">
        <x:f>Котировки!D19*Котировки!F19/10^6</x:f>
        <x:v>0</x:v>
      </x:c>
      <x:c r="AE27" s="34"/>
      <x:c r="AF27" s="31" t="n">
        <x:f t="shared" si="7">IF($C$6="Да",IF(ISNUMBER(AA27),IF(ISNUMBER(X27),IF(COUNTIF(AC27:AE27,"н.д.")&gt;0,"н.д.",X27+AA27+SUM(AC27:AE27)),IF(X27="","н.д.",X27)),IF(AA27="","н.д.",AA27)),IF(ISNUMBER(Z27),IF(ISNUMBER(X27),IF(COUNTIF(AC27:AE27,"н.д.")&gt;0,"н.д.",X27+Z27+SUM(AC27:AE27)),IF(X27="","н.д.",X27)),IF(Z27="","н.д.",Z27)))</x:f>
        <x:v>1082265.7898565945</x:v>
      </x:c>
      <x:c r="AG27" s="31" t="str">
        <x:f t="shared" si="8">IF(ISNUMBER(AB27),IF(ISNUMBER(X27),IF(COUNTIF(AC27:AE27,"н.д.")&gt;0,"н.д.",X27+AB27+SUM(AC27:AE27)),IF(X27="","н.д.",X27)),IF(AB27="","н.д.",AB27))</x:f>
        <x:v>н.п.</x:v>
      </x:c>
      <x:c r="AH27" s="3"/>
      <x:c r="AI27" s="31" t="n">
        <x:f>IF(ISNUMBER('Фин.показатели TTM'!H23),'Фин.показатели TTM'!H23,IF('Фин.показатели TTM'!H23="","н.д.",'Фин.показатели TTM'!H23))</x:f>
        <x:v>1221034.5033320216</x:v>
      </x:c>
      <x:c r="AJ27" s="31" t="str">
        <x:f>IF(ISNUMBER('Фин.показатели TTM'!I23),'Фин.показатели TTM'!I23,IF('Фин.показатели TTM'!I23="",IF(ISNUMBER('Фин.показатели TTM'!Z23),'Фин.показатели TTM'!Z23,IF('Фин.показатели TTM'!Z23="","н.д.",'Фин.показатели TTM'!Z23)),'Фин.показатели TTM'!I23))</x:f>
        <x:v>н.д.</x:v>
      </x:c>
      <x:c r="AK27" s="31" t="n">
        <x:f>IF(ISNUMBER('Фин.показатели TTM'!J23),'Фин.показатели TTM'!J23,IF('Фин.показатели TTM'!J23="","н.д.",'Фин.показатели TTM'!J23))</x:f>
        <x:v>116911.5553236203</x:v>
      </x:c>
      <x:c r="AL27" s="31" t="str">
        <x:f>IF(ISNUMBER('Фин.показатели TTM'!K23),'Фин.показатели TTM'!K23,IF('Фин.показатели TTM'!K23="",IF(ISNUMBER('Фин.показатели TTM'!AI23),'Фин.показатели TTM'!AI23,IF('Фин.показатели TTM'!AI23="","н.д.",'Фин.показатели TTM'!AI23)),'Фин.показатели TTM'!K23))</x:f>
        <x:v>н.п.</x:v>
      </x:c>
      <x:c r="AM27" s="31" t="str">
        <x:f>IF(ISNUMBER('Фин.показатели TTM'!L23),'Фин.показатели TTM'!L23,IF('Фин.показатели TTM'!L23="",IF(ISNUMBER('Фин.показатели TTM'!AK23),'Фин.показатели TTM'!AK23,IF('Фин.показатели TTM'!AK23="","н.д.",'Фин.показатели TTM'!AK23)),'Фин.показатели TTM'!L23))</x:f>
        <x:v>н.п.</x:v>
      </x:c>
      <x:c r="AN27" s="31" t="str">
        <x:f>IF(ISNUMBER('Фин.показатели TTM'!M23),'Фин.показатели TTM'!M23,IF('Фин.показатели TTM'!M23="","н.д.",'Фин.показатели TTM'!M23))</x:f>
        <x:v>н.д.</x:v>
      </x:c>
      <x:c r="AO27" s="31" t="n">
        <x:f>IF(ISNUMBER('Фин.показатели TTM'!N23),'Фин.показатели TTM'!N23,IF('Фин.показатели TTM'!N23="","н.д.",'Фин.показатели TTM'!N23))</x:f>
        <x:v>1532.6681725571398</x:v>
      </x:c>
      <x:c r="AP27" s="31" t="n">
        <x:f>IF(ISNUMBER('Фин.показатели TTM'!O23),'Фин.показатели TTM'!O23,IF('Фин.показатели TTM'!O23="","н.д.",'Фин.показатели TTM'!O23))</x:f>
        <x:v>945020.9006</x:v>
      </x:c>
      <x:c r="AQ27" s="3"/>
      <x:c r="AR27" s="3"/>
    </x:row>
    <x:row r="28">
      <x:c r="B28" s="3">
        <x:v>18</x:v>
      </x:c>
      <x:c r="C28" s="3" t="s">
        <x:v>95</x:v>
      </x:c>
      <x:c r="D28" s="50" t="s">
        <x:v>80</x:v>
      </x:c>
      <x:c r="E28" s="3"/>
      <x:c r="F28" s="35" t="str">
        <x:f t="shared" si="3">IF(COLUMN()=8,IF(ISNUMBER(AJ28),IF(AJ28&lt;=0,"н.п.",IF(ISNUMBER($AG28),$AG28/AJ28,IF($AG28="","н.д.",$AG28))),IF(AJ28="","н.д.",AJ28)),IF(ISNUMBER(AJ28),IF(AJ28&lt;=0,"н.п.",IF(ISNUMBER($AF28),$AF28/AJ28,IF($AF28="","н.д.",$AF28))),IF(AJ28="","н.д.",AJ28)))</x:f>
        <x:v>н.д.</x:v>
      </x:c>
      <x:c r="G28" s="35" t="n">
        <x:f t="shared" si="3">IF(COLUMN()=8,IF(ISNUMBER(AK28),IF(AK28&lt;=0,"н.п.",IF(ISNUMBER($AG28),$AG28/AK28,IF($AG28="","н.д.",$AG28))),IF(AK28="","н.д.",AK28)),IF(ISNUMBER(AK28),IF(AK28&lt;=0,"н.п.",IF(ISNUMBER($AF28),$AF28/AK28,IF($AF28="","н.д.",$AF28))),IF(AK28="","н.д.",AK28)))</x:f>
        <x:v>3.4345684168799684</x:v>
      </x:c>
      <x:c r="H28" s="35" t="str">
        <x:f t="shared" si="3">IF(COLUMN()=8,IF(ISNUMBER(AL28),IF(AL28&lt;=0,"н.п.",IF(ISNUMBER($AG28),$AG28/AL28,IF($AG28="","н.д.",$AG28))),IF(AL28="","н.д.",AL28)),IF(ISNUMBER(AL28),IF(AL28&lt;=0,"н.п.",IF(ISNUMBER($AF28),$AF28/AL28,IF($AF28="","н.д.",$AF28))),IF(AL28="","н.д.",AL28)))</x:f>
        <x:v>н.п.</x:v>
      </x:c>
      <x:c r="I28" s="35" t="str">
        <x:f t="shared" si="3">IF(COLUMN()=8,IF(ISNUMBER(AM28),IF(AM28&lt;=0,"н.п.",IF(ISNUMBER($AG28),$AG28/AM28,IF($AG28="","н.д.",$AG28))),IF(AM28="","н.д.",AM28)),IF(ISNUMBER(AM28),IF(AM28&lt;=0,"н.п.",IF(ISNUMBER($AF28),$AF28/AM28,IF($AF28="","н.д.",$AF28))),IF(AM28="","н.д.",AM28)))</x:f>
        <x:v>н.п.</x:v>
      </x:c>
      <x:c r="J28" s="35" t="str">
        <x:f t="shared" si="3">IF(COLUMN()=8,IF(ISNUMBER(AN28),IF(AN28&lt;=0,"н.п.",IF(ISNUMBER($AG28),$AG28/AN28,IF($AG28="","н.д.",$AG28))),IF(AN28="","н.д.",AN28)),IF(ISNUMBER(AN28),IF(AN28&lt;=0,"н.п.",IF(ISNUMBER($AF28),$AF28/AN28,IF($AF28="","н.д.",$AF28))),IF(AN28="","н.д.",AN28)))</x:f>
        <x:v>н.д.</x:v>
      </x:c>
      <x:c r="K28" s="35" t="n">
        <x:f t="shared" si="0">IF(ISNUMBER(AI28),IF(AI28=0,"н.п.",IF(ISNUMBER(AF28),AF28/AI28,IF(AF28="","н.д.",AF28))),IF(AI28="","н.д.",AI28))</x:f>
        <x:v>0.4995824701370291</x:v>
      </x:c>
      <x:c r="L28" s="35" t="n">
        <x:f t="shared" si="4">IF(ISNUMBER(AO28),IF(AO28&lt;=0,"н.п.",IF(ISNUMBER(X28),X28/AO28,IF(X28="","н.д.",X28))),IF(AO28="","н.д.",AO28))</x:f>
        <x:v>11.119433844979097</x:v>
      </x:c>
      <x:c r="M28" s="35" t="n">
        <x:f t="shared" si="1">IF(ISNUMBER(AP28),IF(AP28=0,"н.п.",IF(ISNUMBER(X28),X28/AP28,IF(X28="","н.д.",X28))),IF(AP28="","н.д.",AP28))</x:f>
        <x:v>0.47526325258686675</x:v>
      </x:c>
      <x:c r="N28" s="35" t="n">
        <x:f t="shared" si="2">IF(ISNUMBER(AI28),IF(AI28=0,"н.п.",IF(ISNUMBER(X28),X28/AI28,IF(X28="","н.д.",X28))),IF(AI28="","н.д.",AI28))</x:f>
        <x:v>0.5515489278478088</x:v>
      </x:c>
      <x:c r="O28" s="35" t="str">
        <x:f t="shared" si="5">IF(COLUMN()=17,IF(ISNUMBER(AJ28),IF(AJ28&lt;=0,"н.п.",IF(ISNUMBER($AB28),$AB28/AJ28,IF($AB28="","н.д.",$AB28))),IF(AJ28="","н.д.",AJ28)),IF($C$6="Да",IF(ISNUMBER(AJ28),IF(AJ28&lt;=0,"н.п.",IF(ISNUMBER($AA28),$AA28/AJ28,IF($AA28="","н.д.",$AA28))),IF(AJ28="","н.д.",AJ28)),IF(ISNUMBER(AJ28),IF(AJ28&lt;=0,"н.п.",IF(ISNUMBER($Z28),$Z28/AJ28,IF($Z28="","н.д.",$Z28))),IF(AJ28="","н.д.",AJ28))))</x:f>
        <x:v>н.д.</x:v>
      </x:c>
      <x:c r="P28" s="35" t="n">
        <x:f t="shared" si="5">IF(COLUMN()=17,IF(ISNUMBER(AK28),IF(AK28&lt;=0,"н.п.",IF(ISNUMBER($AB28),$AB28/AK28,IF($AB28="","н.д.",$AB28))),IF(AK28="","н.д.",AK28)),IF($C$6="Да",IF(ISNUMBER(AK28),IF(AK28&lt;=0,"н.п.",IF(ISNUMBER($AA28),$AA28/AK28,IF($AA28="","н.д.",$AA28))),IF(AK28="","н.д.",AK28)),IF(ISNUMBER(AK28),IF(AK28&lt;=0,"н.п.",IF(ISNUMBER($Z28),$Z28/AK28,IF($Z28="","н.д.",$Z28))),IF(AK28="","н.д.",AK28))))</x:f>
        <x:v>-0.35824090632790956</x:v>
      </x:c>
      <x:c r="Q28" s="35" t="str">
        <x:f t="shared" si="5">IF(COLUMN()=17,IF(ISNUMBER(AL28),IF(AL28&lt;=0,"н.п.",IF(ISNUMBER($AB28),$AB28/AL28,IF($AB28="","н.д.",$AB28))),IF(AL28="","н.д.",AL28)),IF($C$6="Да",IF(ISNUMBER(AL28),IF(AL28&lt;=0,"н.п.",IF(ISNUMBER($AA28),$AA28/AL28,IF($AA28="","н.д.",$AA28))),IF(AL28="","н.д.",AL28)),IF(ISNUMBER(AL28),IF(AL28&lt;=0,"н.п.",IF(ISNUMBER($Z28),$Z28/AL28,IF($Z28="","н.д.",$Z28))),IF(AL28="","н.д.",AL28))))</x:f>
        <x:v>н.п.</x:v>
      </x:c>
      <x:c r="R28" s="35" t="str">
        <x:f t="shared" si="5">IF(COLUMN()=17,IF(ISNUMBER(AM28),IF(AM28&lt;=0,"н.п.",IF(ISNUMBER($AB28),$AB28/AM28,IF($AB28="","н.д.",$AB28))),IF(AM28="","н.д.",AM28)),IF($C$6="Да",IF(ISNUMBER(AM28),IF(AM28&lt;=0,"н.п.",IF(ISNUMBER($AA28),$AA28/AM28,IF($AA28="","н.д.",$AA28))),IF(AM28="","н.д.",AM28)),IF(ISNUMBER(AM28),IF(AM28&lt;=0,"н.п.",IF(ISNUMBER($Z28),$Z28/AM28,IF($Z28="","н.д.",$Z28))),IF(AM28="","н.д.",AM28))))</x:f>
        <x:v>н.п.</x:v>
      </x:c>
      <x:c r="S28" s="35" t="str">
        <x:f t="shared" si="5">IF(COLUMN()=17,IF(ISNUMBER(AN28),IF(AN28&lt;=0,"н.п.",IF(ISNUMBER($AB28),$AB28/AN28,IF($AB28="","н.д.",$AB28))),IF(AN28="","н.д.",AN28)),IF($C$6="Да",IF(ISNUMBER(AN28),IF(AN28&lt;=0,"н.п.",IF(ISNUMBER($AA28),$AA28/AN28,IF($AA28="","н.д.",$AA28))),IF(AN28="","н.д.",AN28)),IF(ISNUMBER(AN28),IF(AN28&lt;=0,"н.п.",IF(ISNUMBER($Z28),$Z28/AN28,IF($Z28="","н.д.",$Z28))),IF(AN28="","н.д.",AN28))))</x:f>
        <x:v>н.д.</x:v>
      </x:c>
      <x:c r="T28" s="3"/>
      <x:c r="U28" s="51" t="n">
        <x:f>Котировки!C20</x:f>
        <x:v>71.818095238</x:v>
      </x:c>
      <x:c r="V28" s="51" t="n">
        <x:f>Котировки!E20</x:f>
        <x:v>5993227240</x:v>
      </x:c>
      <x:c r="W28" s="53"/>
      <x:c r="X28" s="31" t="n">
        <x:f t="shared" si="6">IF($C$5="Да",IF(ISNUMBER(W28),IF(ISNUMBER(U28),U28*W28/10^6,IF(U28="","н.д.",U28)),IF(W28="","н.д.",W28)),IF(ISNUMBER(V28),IF(ISNUMBER(U28),U28*V28/10^6,IF(U28="","н.д.",U28)),IF(V28="","н.д.",V28)))</x:f>
        <x:v>430422.1647052959</x:v>
      </x:c>
      <x:c r="Y28" s="3"/>
      <x:c r="Z28" s="31" t="n">
        <x:f>IF(ISNUMBER('Фин.показатели TTM'!E24),'Фин.показатели TTM'!E24,IF('Фин.показатели TTM'!E24="",IF(ISNUMBER('Фин.показатели TTM'!R24),'Фин.показатели TTM'!R24,IF('Фин.показатели TTM'!R24="","н.д.",'Фин.показатели TTM'!R24)),'Фин.показатели TTM'!E24))</x:f>
        <x:v>-40665</x:v>
      </x:c>
      <x:c r="AA28" s="31" t="str">
        <x:f>IF(ISNUMBER('Фин.показатели TTM'!F24),'Фин.показатели TTM'!F24,IF('Фин.показатели TTM'!F24="","н.д.",'Фин.показатели TTM'!F24))</x:f>
        <x:v>н.д.</x:v>
      </x:c>
      <x:c r="AB28" s="31" t="str">
        <x:f>IF(ISNUMBER('Фин.показатели TTM'!G24),'Фин.показатели TTM'!G24,IF('Фин.показатели TTM'!G24="",IF(ISNUMBER('Фин.показатели TTM'!Y24),'Фин.показатели TTM'!Y24,IF('Фин.показатели TTM'!Y24="","н.д.",'Фин.показатели TTM'!Y24)),'Фин.показатели TTM'!G24))</x:f>
        <x:v>н.п.</x:v>
      </x:c>
      <x:c r="AC28" s="34">
        <x:v>111</x:v>
      </x:c>
      <x:c r="AD28" s="34" t="n">
        <x:f>Котировки!D20*Котировки!F20/10^6</x:f>
        <x:v>0</x:v>
      </x:c>
      <x:c r="AE28" s="34"/>
      <x:c r="AF28" s="31" t="n">
        <x:f t="shared" si="7">IF($C$6="Да",IF(ISNUMBER(AA28),IF(ISNUMBER(X28),IF(COUNTIF(AC28:AE28,"н.д.")&gt;0,"н.д.",X28+AA28+SUM(AC28:AE28)),IF(X28="","н.д.",X28)),IF(AA28="","н.д.",AA28)),IF(ISNUMBER(Z28),IF(ISNUMBER(X28),IF(COUNTIF(AC28:AE28,"н.д.")&gt;0,"н.д.",X28+Z28+SUM(AC28:AE28)),IF(X28="","н.д.",X28)),IF(Z28="","н.д.",Z28)))</x:f>
        <x:v>389868.1647052959</x:v>
      </x:c>
      <x:c r="AG28" s="31" t="str">
        <x:f t="shared" si="8">IF(ISNUMBER(AB28),IF(ISNUMBER(X28),IF(COUNTIF(AC28:AE28,"н.д.")&gt;0,"н.д.",X28+AB28+SUM(AC28:AE28)),IF(X28="","н.д.",X28)),IF(AB28="","н.д.",AB28))</x:f>
        <x:v>н.п.</x:v>
      </x:c>
      <x:c r="AH28" s="3"/>
      <x:c r="AI28" s="31" t="n">
        <x:f>IF(ISNUMBER('Фин.показатели TTM'!H24),'Фин.показатели TTM'!H24,IF('Фин.показатели TTM'!H24="","н.д.",'Фин.показатели TTM'!H24))</x:f>
        <x:v>780388</x:v>
      </x:c>
      <x:c r="AJ28" s="31" t="str">
        <x:f>IF(ISNUMBER('Фин.показатели TTM'!I24),'Фин.показатели TTM'!I24,IF('Фин.показатели TTM'!I24="",IF(ISNUMBER('Фин.показатели TTM'!Z24),'Фин.показатели TTM'!Z24,IF('Фин.показатели TTM'!Z24="","н.д.",'Фин.показатели TTM'!Z24)),'Фин.показатели TTM'!I24))</x:f>
        <x:v>н.д.</x:v>
      </x:c>
      <x:c r="AK28" s="31" t="n">
        <x:f>IF(ISNUMBER('Фин.показатели TTM'!J24),'Фин.показатели TTM'!J24,IF('Фин.показатели TTM'!J24="","н.д.",'Фин.показатели TTM'!J24))</x:f>
        <x:v>113513</x:v>
      </x:c>
      <x:c r="AL28" s="31" t="str">
        <x:f>IF(ISNUMBER('Фин.показатели TTM'!K24),'Фин.показатели TTM'!K24,IF('Фин.показатели TTM'!K24="",IF(ISNUMBER('Фин.показатели TTM'!AI24),'Фин.показатели TTM'!AI24,IF('Фин.показатели TTM'!AI24="","н.д.",'Фин.показатели TTM'!AI24)),'Фин.показатели TTM'!K24))</x:f>
        <x:v>н.п.</x:v>
      </x:c>
      <x:c r="AM28" s="31" t="str">
        <x:f>IF(ISNUMBER('Фин.показатели TTM'!L24),'Фин.показатели TTM'!L24,IF('Фин.показатели TTM'!L24="",IF(ISNUMBER('Фин.показатели TTM'!AK24),'Фин.показатели TTM'!AK24,IF('Фин.показатели TTM'!AK24="","н.д.",'Фин.показатели TTM'!AK24)),'Фин.показатели TTM'!L24))</x:f>
        <x:v>н.п.</x:v>
      </x:c>
      <x:c r="AN28" s="31" t="str">
        <x:f>IF(ISNUMBER('Фин.показатели TTM'!M24),'Фин.показатели TTM'!M24,IF('Фин.показатели TTM'!M24="","н.д.",'Фин.показатели TTM'!M24))</x:f>
        <x:v>н.д.</x:v>
      </x:c>
      <x:c r="AO28" s="31" t="n">
        <x:f>IF(ISNUMBER('Фин.показатели TTM'!N24),'Фин.показатели TTM'!N24,IF('Фин.показатели TTM'!N24="","н.д.",'Фин.показатели TTM'!N24))</x:f>
        <x:v>38709</x:v>
      </x:c>
      <x:c r="AP28" s="31" t="n">
        <x:f>IF(ISNUMBER('Фин.показатели TTM'!O24),'Фин.показатели TTM'!O24,IF('Фин.показатели TTM'!O24="","н.д.",'Фин.показатели TTM'!O24))</x:f>
        <x:v>905650</x:v>
      </x:c>
      <x:c r="AQ28" s="3"/>
      <x:c r="AR28" s="3"/>
    </x:row>
    <x:row r="29">
      <x:c r="B29" s="3">
        <x:v>19</x:v>
      </x:c>
      <x:c r="C29" s="3" t="s">
        <x:v>96</x:v>
      </x:c>
      <x:c r="D29" s="50" t="s">
        <x:v>97</x:v>
      </x:c>
      <x:c r="E29" s="3"/>
      <x:c r="F29" s="35" t="n">
        <x:f t="shared" si="3">IF(COLUMN()=8,IF(ISNUMBER(AJ29),IF(AJ29&lt;=0,"н.п.",IF(ISNUMBER($AG29),$AG29/AJ29,IF($AG29="","н.д.",$AG29))),IF(AJ29="","н.д.",AJ29)),IF(ISNUMBER(AJ29),IF(AJ29&lt;=0,"н.п.",IF(ISNUMBER($AF29),$AF29/AJ29,IF($AF29="","н.д.",$AF29))),IF(AJ29="","н.д.",AJ29)))</x:f>
        <x:v>7.063839585217669</x:v>
      </x:c>
      <x:c r="G29" s="35" t="n">
        <x:f t="shared" si="3">IF(COLUMN()=8,IF(ISNUMBER(AK29),IF(AK29&lt;=0,"н.п.",IF(ISNUMBER($AG29),$AG29/AK29,IF($AG29="","н.д.",$AG29))),IF(AK29="","н.д.",AK29)),IF(ISNUMBER(AK29),IF(AK29&lt;=0,"н.п.",IF(ISNUMBER($AF29),$AF29/AK29,IF($AF29="","н.д.",$AF29))),IF(AK29="","н.д.",AK29)))</x:f>
        <x:v>6.872363603283645</x:v>
      </x:c>
      <x:c r="H29" s="35" t="str">
        <x:f t="shared" si="3">IF(COLUMN()=8,IF(ISNUMBER(AL29),IF(AL29&lt;=0,"н.п.",IF(ISNUMBER($AG29),$AG29/AL29,IF($AG29="","н.д.",$AG29))),IF(AL29="","н.д.",AL29)),IF(ISNUMBER(AL29),IF(AL29&lt;=0,"н.п.",IF(ISNUMBER($AF29),$AF29/AL29,IF($AF29="","н.д.",$AF29))),IF(AL29="","н.д.",AL29)))</x:f>
        <x:v>н.п.</x:v>
      </x:c>
      <x:c r="I29" s="35" t="str">
        <x:f t="shared" si="3">IF(COLUMN()=8,IF(ISNUMBER(AM29),IF(AM29&lt;=0,"н.п.",IF(ISNUMBER($AG29),$AG29/AM29,IF($AG29="","н.д.",$AG29))),IF(AM29="","н.д.",AM29)),IF(ISNUMBER(AM29),IF(AM29&lt;=0,"н.п.",IF(ISNUMBER($AF29),$AF29/AM29,IF($AF29="","н.д.",$AF29))),IF(AM29="","н.д.",AM29)))</x:f>
        <x:v>н.п.</x:v>
      </x:c>
      <x:c r="J29" s="35" t="str">
        <x:f t="shared" si="3">IF(COLUMN()=8,IF(ISNUMBER(AN29),IF(AN29&lt;=0,"н.п.",IF(ISNUMBER($AG29),$AG29/AN29,IF($AG29="","н.д.",$AG29))),IF(AN29="","н.д.",AN29)),IF(ISNUMBER(AN29),IF(AN29&lt;=0,"н.п.",IF(ISNUMBER($AF29),$AF29/AN29,IF($AF29="","н.д.",$AF29))),IF(AN29="","н.д.",AN29)))</x:f>
        <x:v>н.д.</x:v>
      </x:c>
      <x:c r="K29" s="35" t="n">
        <x:f t="shared" si="0">IF(ISNUMBER(AI29),IF(AI29=0,"н.п.",IF(ISNUMBER(AF29),AF29/AI29,IF(AF29="","н.д.",AF29))),IF(AI29="","н.д.",AI29))</x:f>
        <x:v>1.8101612574727455</x:v>
      </x:c>
      <x:c r="L29" s="35" t="n">
        <x:f t="shared" si="4">IF(ISNUMBER(AO29),IF(AO29&lt;=0,"н.п.",IF(ISNUMBER(X29),X29/AO29,IF(X29="","н.д.",X29))),IF(AO29="","н.д.",AO29))</x:f>
        <x:v>12.146800407035045</x:v>
      </x:c>
      <x:c r="M29" s="35" t="n">
        <x:f t="shared" si="1">IF(ISNUMBER(AP29),IF(AP29=0,"н.п.",IF(ISNUMBER(X29),X29/AP29,IF(X29="","н.д.",X29))),IF(AP29="","н.д.",AP29))</x:f>
        <x:v>2.6388675188570234</x:v>
      </x:c>
      <x:c r="N29" s="35" t="n">
        <x:f t="shared" si="2">IF(ISNUMBER(AI29),IF(AI29=0,"н.п.",IF(ISNUMBER(X29),X29/AI29,IF(X29="","н.д.",X29))),IF(AI29="","н.д.",AI29))</x:f>
        <x:v>1.2513304340532723</x:v>
      </x:c>
      <x:c r="O29" s="35" t="n">
        <x:f t="shared" si="5">IF(COLUMN()=17,IF(ISNUMBER(AJ29),IF(AJ29&lt;=0,"н.п.",IF(ISNUMBER($AB29),$AB29/AJ29,IF($AB29="","н.д.",$AB29))),IF(AJ29="","н.д.",AJ29)),IF($C$6="Да",IF(ISNUMBER(AJ29),IF(AJ29&lt;=0,"н.п.",IF(ISNUMBER($AA29),$AA29/AJ29,IF($AA29="","н.д.",$AA29))),IF(AJ29="","н.д.",AJ29)),IF(ISNUMBER(AJ29),IF(AJ29&lt;=0,"н.п.",IF(ISNUMBER($Z29),$Z29/AJ29,IF($Z29="","н.д.",$Z29))),IF(AJ29="","н.д.",AJ29))))</x:f>
        <x:v>2.1681522051656064</x:v>
      </x:c>
      <x:c r="P29" s="35" t="n">
        <x:f t="shared" si="5">IF(COLUMN()=17,IF(ISNUMBER(AK29),IF(AK29&lt;=0,"н.п.",IF(ISNUMBER($AB29),$AB29/AK29,IF($AB29="","н.д.",$AB29))),IF(AK29="","н.д.",AK29)),IF($C$6="Да",IF(ISNUMBER(AK29),IF(AK29&lt;=0,"н.п.",IF(ISNUMBER($AA29),$AA29/AK29,IF($AA29="","н.д.",$AA29))),IF(AK29="","н.д.",AK29)),IF(ISNUMBER(AK29),IF(AK29&lt;=0,"н.п.",IF(ISNUMBER($Z29),$Z29/AK29,IF($Z29="","н.д.",$Z29))),IF(AK29="","н.д.",AK29))))</x:f>
        <x:v>2.1093811830524665</x:v>
      </x:c>
      <x:c r="Q29" s="35" t="str">
        <x:f t="shared" si="5">IF(COLUMN()=17,IF(ISNUMBER(AL29),IF(AL29&lt;=0,"н.п.",IF(ISNUMBER($AB29),$AB29/AL29,IF($AB29="","н.д.",$AB29))),IF(AL29="","н.д.",AL29)),IF($C$6="Да",IF(ISNUMBER(AL29),IF(AL29&lt;=0,"н.п.",IF(ISNUMBER($AA29),$AA29/AL29,IF($AA29="","н.д.",$AA29))),IF(AL29="","н.д.",AL29)),IF(ISNUMBER(AL29),IF(AL29&lt;=0,"н.п.",IF(ISNUMBER($Z29),$Z29/AL29,IF($Z29="","н.д.",$Z29))),IF(AL29="","н.д.",AL29))))</x:f>
        <x:v>н.п.</x:v>
      </x:c>
      <x:c r="R29" s="35" t="str">
        <x:f t="shared" si="5">IF(COLUMN()=17,IF(ISNUMBER(AM29),IF(AM29&lt;=0,"н.п.",IF(ISNUMBER($AB29),$AB29/AM29,IF($AB29="","н.д.",$AB29))),IF(AM29="","н.д.",AM29)),IF($C$6="Да",IF(ISNUMBER(AM29),IF(AM29&lt;=0,"н.п.",IF(ISNUMBER($AA29),$AA29/AM29,IF($AA29="","н.д.",$AA29))),IF(AM29="","н.д.",AM29)),IF(ISNUMBER(AM29),IF(AM29&lt;=0,"н.п.",IF(ISNUMBER($Z29),$Z29/AM29,IF($Z29="","н.д.",$Z29))),IF(AM29="","н.д.",AM29))))</x:f>
        <x:v>н.п.</x:v>
      </x:c>
      <x:c r="S29" s="35" t="str">
        <x:f t="shared" si="5">IF(COLUMN()=17,IF(ISNUMBER(AN29),IF(AN29&lt;=0,"н.п.",IF(ISNUMBER($AB29),$AB29/AN29,IF($AB29="","н.д.",$AB29))),IF(AN29="","н.д.",AN29)),IF($C$6="Да",IF(ISNUMBER(AN29),IF(AN29&lt;=0,"н.п.",IF(ISNUMBER($AA29),$AA29/AN29,IF($AA29="","н.д.",$AA29))),IF(AN29="","н.д.",AN29)),IF(ISNUMBER(AN29),IF(AN29&lt;=0,"н.п.",IF(ISNUMBER($Z29),$Z29/AN29,IF($Z29="","н.д.",$Z29))),IF(AN29="","н.д.",AN29))))</x:f>
        <x:v>н.д.</x:v>
      </x:c>
      <x:c r="T29" s="3"/>
      <x:c r="U29" s="51" t="n">
        <x:f>Котировки!C21</x:f>
        <x:v>5376.952380952</x:v>
      </x:c>
      <x:c r="V29" s="51" t="n">
        <x:f>Котировки!E21</x:f>
        <x:v>129500000</x:v>
      </x:c>
      <x:c r="W29" s="53"/>
      <x:c r="X29" s="31" t="n">
        <x:f t="shared" si="6">IF($C$5="Да",IF(ISNUMBER(W29),IF(ISNUMBER(U29),U29*W29/10^6,IF(U29="","н.д.",U29)),IF(W29="","н.д.",W29)),IF(ISNUMBER(V29),IF(ISNUMBER(U29),U29*V29/10^6,IF(U29="","н.д.",U29)),IF(V29="","н.д.",V29)))</x:f>
        <x:v>696315.3333332839</x:v>
      </x:c>
      <x:c r="Y29" s="3"/>
      <x:c r="Z29" s="31" t="n">
        <x:f>IF(ISNUMBER('Фин.показатели TTM'!E25),'Фин.показатели TTM'!E25,IF('Фин.показатели TTM'!E25="",IF(ISNUMBER('Фин.показатели TTM'!R25),'Фин.показатели TTM'!R25,IF('Фин.показатели TTM'!R25="","н.д.",'Фин.показатели TTM'!R25)),'Фин.показатели TTM'!E25))</x:f>
        <x:v>309172</x:v>
      </x:c>
      <x:c r="AA29" s="31" t="str">
        <x:f>IF(ISNUMBER('Фин.показатели TTM'!F25),'Фин.показатели TTM'!F25,IF('Фин.показатели TTM'!F25="","н.д.",'Фин.показатели TTM'!F25))</x:f>
        <x:v>н.д.</x:v>
      </x:c>
      <x:c r="AB29" s="31" t="str">
        <x:f>IF(ISNUMBER('Фин.показатели TTM'!G25),'Фин.показатели TTM'!G25,IF('Фин.показатели TTM'!G25="",IF(ISNUMBER('Фин.показатели TTM'!Y25),'Фин.показатели TTM'!Y25,IF('Фин.показатели TTM'!Y25="","н.д.",'Фин.показатели TTM'!Y25)),'Фин.показатели TTM'!G25))</x:f>
        <x:v>н.п.</x:v>
      </x:c>
      <x:c r="AC29" s="34">
        <x:v>255</x:v>
      </x:c>
      <x:c r="AD29" s="34" t="n">
        <x:f>Котировки!D21*Котировки!F21/10^6</x:f>
        <x:v>0</x:v>
      </x:c>
      <x:c r="AE29" s="34">
        <x:v>1540</x:v>
      </x:c>
      <x:c r="AF29" s="31" t="n">
        <x:f t="shared" si="7">IF($C$6="Да",IF(ISNUMBER(AA29),IF(ISNUMBER(X29),IF(COUNTIF(AC29:AE29,"н.д.")&gt;0,"н.д.",X29+AA29+SUM(AC29:AE29)),IF(X29="","н.д.",X29)),IF(AA29="","н.д.",AA29)),IF(ISNUMBER(Z29),IF(ISNUMBER(X29),IF(COUNTIF(AC29:AE29,"н.д.")&gt;0,"н.д.",X29+Z29+SUM(AC29:AE29)),IF(X29="","н.д.",X29)),IF(Z29="","н.д.",Z29)))</x:f>
        <x:v>1007282.3333332839</x:v>
      </x:c>
      <x:c r="AG29" s="31" t="str">
        <x:f t="shared" si="8">IF(ISNUMBER(AB29),IF(ISNUMBER(X29),IF(COUNTIF(AC29:AE29,"н.д.")&gt;0,"н.д.",X29+AB29+SUM(AC29:AE29)),IF(X29="","н.д.",X29)),IF(AB29="","н.д.",AB29))</x:f>
        <x:v>н.п.</x:v>
      </x:c>
      <x:c r="AH29" s="3"/>
      <x:c r="AI29" s="31" t="n">
        <x:f>IF(ISNUMBER('Фин.показатели TTM'!H25),'Фин.показатели TTM'!H25,IF('Фин.показатели TTM'!H25="","н.д.",'Фин.показатели TTM'!H25))</x:f>
        <x:v>556460</x:v>
      </x:c>
      <x:c r="AJ29" s="31" t="n">
        <x:f>IF(ISNUMBER('Фин.показатели TTM'!I25),'Фин.показатели TTM'!I25,IF('Фин.показатели TTM'!I25="",IF(ISNUMBER('Фин.показатели TTM'!Z25),'Фин.показатели TTM'!Z25,IF('Фин.показатели TTM'!Z25="","н.д.",'Фин.показатели TTM'!Z25)),'Фин.показатели TTM'!I25))</x:f>
        <x:v>142597</x:v>
      </x:c>
      <x:c r="AK29" s="31" t="n">
        <x:f>IF(ISNUMBER('Фин.показатели TTM'!J25),'Фин.показатели TTM'!J25,IF('Фин.показатели TTM'!J25="","н.д.",'Фин.показатели TTM'!J25))</x:f>
        <x:v>146570</x:v>
      </x:c>
      <x:c r="AL29" s="31" t="str">
        <x:f>IF(ISNUMBER('Фин.показатели TTM'!K25),'Фин.показатели TTM'!K25,IF('Фин.показатели TTM'!K25="",IF(ISNUMBER('Фин.показатели TTM'!AI25),'Фин.показатели TTM'!AI25,IF('Фин.показатели TTM'!AI25="","н.д.",'Фин.показатели TTM'!AI25)),'Фин.показатели TTM'!K25))</x:f>
        <x:v>н.п.</x:v>
      </x:c>
      <x:c r="AM29" s="31" t="str">
        <x:f>IF(ISNUMBER('Фин.показатели TTM'!L25),'Фин.показатели TTM'!L25,IF('Фин.показатели TTM'!L25="",IF(ISNUMBER('Фин.показатели TTM'!AK25),'Фин.показатели TTM'!AK25,IF('Фин.показатели TTM'!AK25="","н.д.",'Фин.показатели TTM'!AK25)),'Фин.показатели TTM'!L25))</x:f>
        <x:v>н.п.</x:v>
      </x:c>
      <x:c r="AN29" s="31" t="str">
        <x:f>IF(ISNUMBER('Фин.показатели TTM'!M25),'Фин.показатели TTM'!M25,IF('Фин.показатели TTM'!M25="","н.д.",'Фин.показатели TTM'!M25))</x:f>
        <x:v>н.д.</x:v>
      </x:c>
      <x:c r="AO29" s="31" t="n">
        <x:f>IF(ISNUMBER('Фин.показатели TTM'!N25),'Фин.показатели TTM'!N25,IF('Фин.показатели TTM'!N25="","н.д.",'Фин.показатели TTM'!N25))</x:f>
        <x:v>57325</x:v>
      </x:c>
      <x:c r="AP29" s="31" t="n">
        <x:f>IF(ISNUMBER('Фин.показатели TTM'!O25),'Фин.показатели TTM'!O25,IF('Фин.показатели TTM'!O25="","н.д.",'Фин.показатели TTM'!O25))</x:f>
        <x:v>263869</x:v>
      </x:c>
      <x:c r="AQ29" s="3"/>
      <x:c r="AR29" s="3"/>
    </x:row>
    <x:row r="30">
      <x:c r="B30" s="3">
        <x:v>20</x:v>
      </x:c>
      <x:c r="C30" s="3" t="s">
        <x:v>98</x:v>
      </x:c>
      <x:c r="D30" s="50" t="s">
        <x:v>90</x:v>
      </x:c>
      <x:c r="E30" s="3"/>
      <x:c r="F30" s="35" t="str">
        <x:f t="shared" si="3">IF(COLUMN()=8,IF(ISNUMBER(AJ30),IF(AJ30&lt;=0,"н.п.",IF(ISNUMBER($AG30),$AG30/AJ30,IF($AG30="","н.д.",$AG30))),IF(AJ30="","н.д.",AJ30)),IF(ISNUMBER(AJ30),IF(AJ30&lt;=0,"н.п.",IF(ISNUMBER($AF30),$AF30/AJ30,IF($AF30="","н.д.",$AF30))),IF(AJ30="","н.д.",AJ30)))</x:f>
        <x:v>н.д.</x:v>
      </x:c>
      <x:c r="G30" s="35" t="str">
        <x:f t="shared" si="3">IF(COLUMN()=8,IF(ISNUMBER(AK30),IF(AK30&lt;=0,"н.п.",IF(ISNUMBER($AG30),$AG30/AK30,IF($AG30="","н.д.",$AG30))),IF(AK30="","н.д.",AK30)),IF(ISNUMBER(AK30),IF(AK30&lt;=0,"н.п.",IF(ISNUMBER($AF30),$AF30/AK30,IF($AF30="","н.д.",$AF30))),IF(AK30="","н.д.",AK30)))</x:f>
        <x:v>н.д.</x:v>
      </x:c>
      <x:c r="H30" s="35" t="str">
        <x:f t="shared" si="3">IF(COLUMN()=8,IF(ISNUMBER(AL30),IF(AL30&lt;=0,"н.п.",IF(ISNUMBER($AG30),$AG30/AL30,IF($AG30="","н.д.",$AG30))),IF(AL30="","н.д.",AL30)),IF(ISNUMBER(AL30),IF(AL30&lt;=0,"н.п.",IF(ISNUMBER($AF30),$AF30/AL30,IF($AF30="","н.д.",$AF30))),IF(AL30="","н.д.",AL30)))</x:f>
        <x:v>н.п.</x:v>
      </x:c>
      <x:c r="I30" s="35" t="str">
        <x:f t="shared" si="3">IF(COLUMN()=8,IF(ISNUMBER(AM30),IF(AM30&lt;=0,"н.п.",IF(ISNUMBER($AG30),$AG30/AM30,IF($AG30="","н.д.",$AG30))),IF(AM30="","н.д.",AM30)),IF(ISNUMBER(AM30),IF(AM30&lt;=0,"н.п.",IF(ISNUMBER($AF30),$AF30/AM30,IF($AF30="","н.д.",$AF30))),IF(AM30="","н.д.",AM30)))</x:f>
        <x:v>н.п.</x:v>
      </x:c>
      <x:c r="J30" s="35" t="n">
        <x:f t="shared" si="3">IF(COLUMN()=8,IF(ISNUMBER(AN30),IF(AN30&lt;=0,"н.п.",IF(ISNUMBER($AG30),$AG30/AN30,IF($AG30="","н.д.",$AG30))),IF(AN30="","н.д.",AN30)),IF(ISNUMBER(AN30),IF(AN30&lt;=0,"н.п.",IF(ISNUMBER($AF30),$AF30/AN30,IF($AF30="","н.д.",$AF30))),IF(AN30="","н.д.",AN30)))</x:f>
        <x:v>2.6767050596600863</x:v>
      </x:c>
      <x:c r="K30" s="35" t="n">
        <x:f t="shared" si="0">IF(ISNUMBER(AI30),IF(AI30=0,"н.п.",IF(ISNUMBER(AF30),AF30/AI30,IF(AF30="","н.д.",AF30))),IF(AI30="","н.д.",AI30))</x:f>
        <x:v>1.0184977195376914</x:v>
      </x:c>
      <x:c r="L30" s="35" t="n">
        <x:f t="shared" si="4">IF(ISNUMBER(AO30),IF(AO30&lt;=0,"н.п.",IF(ISNUMBER(X30),X30/AO30,IF(X30="","н.д.",X30))),IF(AO30="","н.д.",AO30))</x:f>
        <x:v>12.952777830379192</x:v>
      </x:c>
      <x:c r="M30" s="35" t="n">
        <x:f t="shared" si="1">IF(ISNUMBER(AP30),IF(AP30=0,"н.п.",IF(ISNUMBER(X30),X30/AP30,IF(X30="","н.д.",X30))),IF(AP30="","н.д.",AP30))</x:f>
        <x:v>0.5914772536514206</x:v>
      </x:c>
      <x:c r="N30" s="35" t="n">
        <x:f t="shared" si="2">IF(ISNUMBER(AI30),IF(AI30=0,"н.п.",IF(ISNUMBER(X30),X30/AI30,IF(X30="","н.д.",X30))),IF(AI30="","н.д.",AI30))</x:f>
        <x:v>0.1444283496193374</x:v>
      </x:c>
      <x:c r="O30" s="35" t="str">
        <x:f t="shared" si="5">IF(COLUMN()=17,IF(ISNUMBER(AJ30),IF(AJ30&lt;=0,"н.п.",IF(ISNUMBER($AB30),$AB30/AJ30,IF($AB30="","н.д.",$AB30))),IF(AJ30="","н.д.",AJ30)),IF($C$6="Да",IF(ISNUMBER(AJ30),IF(AJ30&lt;=0,"н.п.",IF(ISNUMBER($AA30),$AA30/AJ30,IF($AA30="","н.д.",$AA30))),IF(AJ30="","н.д.",AJ30)),IF(ISNUMBER(AJ30),IF(AJ30&lt;=0,"н.п.",IF(ISNUMBER($Z30),$Z30/AJ30,IF($Z30="","н.д.",$Z30))),IF(AJ30="","н.д.",AJ30))))</x:f>
        <x:v>н.д.</x:v>
      </x:c>
      <x:c r="P30" s="35" t="str">
        <x:f t="shared" si="5">IF(COLUMN()=17,IF(ISNUMBER(AK30),IF(AK30&lt;=0,"н.п.",IF(ISNUMBER($AB30),$AB30/AK30,IF($AB30="","н.д.",$AB30))),IF(AK30="","н.д.",AK30)),IF($C$6="Да",IF(ISNUMBER(AK30),IF(AK30&lt;=0,"н.п.",IF(ISNUMBER($AA30),$AA30/AK30,IF($AA30="","н.д.",$AA30))),IF(AK30="","н.д.",AK30)),IF(ISNUMBER(AK30),IF(AK30&lt;=0,"н.п.",IF(ISNUMBER($Z30),$Z30/AK30,IF($Z30="","н.д.",$Z30))),IF(AK30="","н.д.",AK30))))</x:f>
        <x:v>н.д.</x:v>
      </x:c>
      <x:c r="Q30" s="35" t="str">
        <x:f t="shared" si="5">IF(COLUMN()=17,IF(ISNUMBER(AL30),IF(AL30&lt;=0,"н.п.",IF(ISNUMBER($AB30),$AB30/AL30,IF($AB30="","н.д.",$AB30))),IF(AL30="","н.д.",AL30)),IF($C$6="Да",IF(ISNUMBER(AL30),IF(AL30&lt;=0,"н.п.",IF(ISNUMBER($AA30),$AA30/AL30,IF($AA30="","н.д.",$AA30))),IF(AL30="","н.д.",AL30)),IF(ISNUMBER(AL30),IF(AL30&lt;=0,"н.п.",IF(ISNUMBER($Z30),$Z30/AL30,IF($Z30="","н.д.",$Z30))),IF(AL30="","н.д.",AL30))))</x:f>
        <x:v>н.п.</x:v>
      </x:c>
      <x:c r="R30" s="35" t="str">
        <x:f t="shared" si="5">IF(COLUMN()=17,IF(ISNUMBER(AM30),IF(AM30&lt;=0,"н.п.",IF(ISNUMBER($AB30),$AB30/AM30,IF($AB30="","н.д.",$AB30))),IF(AM30="","н.д.",AM30)),IF($C$6="Да",IF(ISNUMBER(AM30),IF(AM30&lt;=0,"н.п.",IF(ISNUMBER($AA30),$AA30/AM30,IF($AA30="","н.д.",$AA30))),IF(AM30="","н.д.",AM30)),IF(ISNUMBER(AM30),IF(AM30&lt;=0,"н.п.",IF(ISNUMBER($Z30),$Z30/AM30,IF($Z30="","н.д.",$Z30))),IF(AM30="","н.д.",AM30))))</x:f>
        <x:v>н.п.</x:v>
      </x:c>
      <x:c r="S30" s="35" t="n">
        <x:f t="shared" si="5">IF(COLUMN()=17,IF(ISNUMBER(AN30),IF(AN30&lt;=0,"н.п.",IF(ISNUMBER($AB30),$AB30/AN30,IF($AB30="","н.д.",$AB30))),IF(AN30="","н.д.",AN30)),IF($C$6="Да",IF(ISNUMBER(AN30),IF(AN30&lt;=0,"н.п.",IF(ISNUMBER($AA30),$AA30/AN30,IF($AA30="","н.д.",$AA30))),IF(AN30="","н.д.",AN30)),IF(ISNUMBER(AN30),IF(AN30&lt;=0,"н.п.",IF(ISNUMBER($Z30),$Z30/AN30,IF($Z30="","н.д.",$Z30))),IF(AN30="","н.д.",AN30))))</x:f>
        <x:v>2.1015348728982755</x:v>
      </x:c>
      <x:c r="T30" s="3"/>
      <x:c r="U30" s="51" t="n">
        <x:f>Котировки!C22</x:f>
        <x:v>40.247142857</x:v>
      </x:c>
      <x:c r="V30" s="51" t="n">
        <x:f>Котировки!E22</x:f>
        <x:v>3282997929</x:v>
      </x:c>
      <x:c r="W30" s="53"/>
      <x:c r="X30" s="31" t="n">
        <x:f t="shared" si="6">IF($C$5="Да",IF(ISNUMBER(W30),IF(ISNUMBER(U30),U30*W30/10^6,IF(U30="","н.д.",U30)),IF(W30="","н.д.",W30)),IF(ISNUMBER(V30),IF(ISNUMBER(U30),U30*V30/10^6,IF(U30="","н.д.",U30)),IF(V30="","н.д.",V30)))</x:f>
        <x:v>132131.28664769814</x:v>
      </x:c>
      <x:c r="Y30" s="3"/>
      <x:c r="Z30" s="31" t="n">
        <x:f>IF(ISNUMBER('Фин.показатели TTM'!E26),'Фин.показатели TTM'!E26,IF('Фин.показатели TTM'!E26="",IF(ISNUMBER('Фин.показатели TTM'!R26),'Фин.показатели TTM'!R26,IF('Фин.показатели TTM'!R26="","н.д.",'Фин.показатели TTM'!R26)),'Фин.показатели TTM'!E26))</x:f>
        <x:v>731559</x:v>
      </x:c>
      <x:c r="AA30" s="31" t="n">
        <x:f>IF(ISNUMBER('Фин.показатели TTM'!F26),'Фин.показатели TTM'!F26,IF('Фин.показатели TTM'!F26="","н.д.",'Фин.показатели TTM'!F26))</x:f>
        <x:v>558517</x:v>
      </x:c>
      <x:c r="AB30" s="31" t="str">
        <x:f>IF(ISNUMBER('Фин.показатели TTM'!G26),'Фин.показатели TTM'!G26,IF('Фин.показатели TTM'!G26="",IF(ISNUMBER('Фин.показатели TTM'!Y26),'Фин.показатели TTM'!Y26,IF('Фин.показатели TTM'!Y26="","н.д.",'Фин.показатели TTM'!Y26)),'Фин.показатели TTM'!G26))</x:f>
        <x:v>н.п.</x:v>
      </x:c>
      <x:c r="AC30" s="34">
        <x:v>59406</x:v>
      </x:c>
      <x:c r="AD30" s="34" t="n">
        <x:f>Котировки!D22*Котировки!F22/10^6</x:f>
        <x:v>8683.48155539559</x:v>
      </x:c>
      <x:c r="AE30" s="34"/>
      <x:c r="AF30" s="31" t="n">
        <x:f t="shared" si="7">IF($C$6="Да",IF(ISNUMBER(AA30),IF(ISNUMBER(X30),IF(COUNTIF(AC30:AE30,"н.д.")&gt;0,"н.д.",X30+AA30+SUM(AC30:AE30)),IF(X30="","н.д.",X30)),IF(AA30="","н.д.",AA30)),IF(ISNUMBER(Z30),IF(ISNUMBER(X30),IF(COUNTIF(AC30:AE30,"н.д.")&gt;0,"н.д.",X30+Z30+SUM(AC30:AE30)),IF(X30="","н.д.",X30)),IF(Z30="","н.д.",Z30)))</x:f>
        <x:v>931779.7682030937</x:v>
      </x:c>
      <x:c r="AG30" s="31" t="str">
        <x:f t="shared" si="8">IF(ISNUMBER(AB30),IF(ISNUMBER(X30),IF(COUNTIF(AC30:AE30,"н.д.")&gt;0,"н.д.",X30+AB30+SUM(AC30:AE30)),IF(X30="","н.д.",X30)),IF(AB30="","н.д.",AB30))</x:f>
        <x:v>н.п.</x:v>
      </x:c>
      <x:c r="AH30" s="3"/>
      <x:c r="AI30" s="31" t="n">
        <x:f>IF(ISNUMBER('Фин.показатели TTM'!H26),'Фин.показатели TTM'!H26,IF('Фин.показатели TTM'!H26="","н.д.",'Фин.показатели TTM'!H26))</x:f>
        <x:v>914857</x:v>
      </x:c>
      <x:c r="AJ30" s="31" t="str">
        <x:f>IF(ISNUMBER('Фин.показатели TTM'!I26),'Фин.показатели TTM'!I26,IF('Фин.показатели TTM'!I26="",IF(ISNUMBER('Фин.показатели TTM'!Z26),'Фин.показатели TTM'!Z26,IF('Фин.показатели TTM'!Z26="","н.д.",'Фин.показатели TTM'!Z26)),'Фин.показатели TTM'!I26))</x:f>
        <x:v>н.д.</x:v>
      </x:c>
      <x:c r="AK30" s="31" t="str">
        <x:f>IF(ISNUMBER('Фин.показатели TTM'!J26),'Фин.показатели TTM'!J26,IF('Фин.показатели TTM'!J26="","н.д.",'Фин.показатели TTM'!J26))</x:f>
        <x:v>н.д.</x:v>
      </x:c>
      <x:c r="AL30" s="31" t="str">
        <x:f>IF(ISNUMBER('Фин.показатели TTM'!K26),'Фин.показатели TTM'!K26,IF('Фин.показатели TTM'!K26="",IF(ISNUMBER('Фин.показатели TTM'!AI26),'Фин.показатели TTM'!AI26,IF('Фин.показатели TTM'!AI26="","н.д.",'Фин.показатели TTM'!AI26)),'Фин.показатели TTM'!K26))</x:f>
        <x:v>н.п.</x:v>
      </x:c>
      <x:c r="AM30" s="31" t="str">
        <x:f>IF(ISNUMBER('Фин.показатели TTM'!L26),'Фин.показатели TTM'!L26,IF('Фин.показатели TTM'!L26="",IF(ISNUMBER('Фин.показатели TTM'!AK26),'Фин.показатели TTM'!AK26,IF('Фин.показатели TTM'!AK26="","н.д.",'Фин.показатели TTM'!AK26)),'Фин.показатели TTM'!L26))</x:f>
        <x:v>н.п.</x:v>
      </x:c>
      <x:c r="AN30" s="31" t="n">
        <x:f>IF(ISNUMBER('Фин.показатели TTM'!M26),'Фин.показатели TTM'!M26,IF('Фин.показатели TTM'!M26="","н.д.",'Фин.показатели TTM'!M26))</x:f>
        <x:v>348107</x:v>
      </x:c>
      <x:c r="AO30" s="31" t="n">
        <x:f>IF(ISNUMBER('Фин.показатели TTM'!N26),'Фин.показатели TTM'!N26,IF('Фин.показатели TTM'!N26="","н.д.",'Фин.показатели TTM'!N26))</x:f>
        <x:v>10201</x:v>
      </x:c>
      <x:c r="AP30" s="31" t="n">
        <x:f>IF(ISNUMBER('Фин.показатели TTM'!O26),'Фин.показатели TTM'!O26,IF('Фин.показатели TTM'!O26="","н.д.",'Фин.показатели TTM'!O26))</x:f>
        <x:v>223392</x:v>
      </x:c>
      <x:c r="AQ30" s="3"/>
      <x:c r="AR30" s="3"/>
    </x:row>
    <x:row r="31">
      <x:c r="B31" s="3">
        <x:v>21</x:v>
      </x:c>
      <x:c r="C31" s="3" t="s">
        <x:v>99</x:v>
      </x:c>
      <x:c r="D31" s="50" t="s">
        <x:v>100</x:v>
      </x:c>
      <x:c r="E31" s="3"/>
      <x:c r="F31" s="35" t="n">
        <x:f t="shared" si="3">IF(COLUMN()=8,IF(ISNUMBER(AJ31),IF(AJ31&lt;=0,"н.п.",IF(ISNUMBER($AG31),$AG31/AJ31,IF($AG31="","н.д.",$AG31))),IF(AJ31="","н.д.",AJ31)),IF(ISNUMBER(AJ31),IF(AJ31&lt;=0,"н.п.",IF(ISNUMBER($AF31),$AF31/AJ31,IF($AF31="","н.д.",$AF31))),IF(AJ31="","н.д.",AJ31)))</x:f>
        <x:v>3.2961567690006945</x:v>
      </x:c>
      <x:c r="G31" s="35" t="n">
        <x:f t="shared" si="3">IF(COLUMN()=8,IF(ISNUMBER(AK31),IF(AK31&lt;=0,"н.п.",IF(ISNUMBER($AG31),$AG31/AK31,IF($AG31="","н.д.",$AG31))),IF(AK31="","н.д.",AK31)),IF(ISNUMBER(AK31),IF(AK31&lt;=0,"н.п.",IF(ISNUMBER($AF31),$AF31/AK31,IF($AF31="","н.д.",$AF31))),IF(AK31="","н.д.",AK31)))</x:f>
        <x:v>3.456662983984673</x:v>
      </x:c>
      <x:c r="H31" s="35" t="str">
        <x:f t="shared" si="3">IF(COLUMN()=8,IF(ISNUMBER(AL31),IF(AL31&lt;=0,"н.п.",IF(ISNUMBER($AG31),$AG31/AL31,IF($AG31="","н.д.",$AG31))),IF(AL31="","н.д.",AL31)),IF(ISNUMBER(AL31),IF(AL31&lt;=0,"н.п.",IF(ISNUMBER($AF31),$AF31/AL31,IF($AF31="","н.д.",$AF31))),IF(AL31="","н.д.",AL31)))</x:f>
        <x:v>н.п.</x:v>
      </x:c>
      <x:c r="I31" s="35" t="str">
        <x:f t="shared" si="3">IF(COLUMN()=8,IF(ISNUMBER(AM31),IF(AM31&lt;=0,"н.п.",IF(ISNUMBER($AG31),$AG31/AM31,IF($AG31="","н.д.",$AG31))),IF(AM31="","н.д.",AM31)),IF(ISNUMBER(AM31),IF(AM31&lt;=0,"н.п.",IF(ISNUMBER($AF31),$AF31/AM31,IF($AF31="","н.д.",$AF31))),IF(AM31="","н.д.",AM31)))</x:f>
        <x:v>н.п.</x:v>
      </x:c>
      <x:c r="J31" s="35" t="str">
        <x:f t="shared" si="3">IF(COLUMN()=8,IF(ISNUMBER(AN31),IF(AN31&lt;=0,"н.п.",IF(ISNUMBER($AG31),$AG31/AN31,IF($AG31="","н.д.",$AG31))),IF(AN31="","н.д.",AN31)),IF(ISNUMBER(AN31),IF(AN31&lt;=0,"н.п.",IF(ISNUMBER($AF31),$AF31/AN31,IF($AF31="","н.д.",$AF31))),IF(AN31="","н.д.",AN31)))</x:f>
        <x:v>н.д.</x:v>
      </x:c>
      <x:c r="K31" s="35" t="n">
        <x:f t="shared" si="0">IF(ISNUMBER(AI31),IF(AI31=0,"н.п.",IF(ISNUMBER(AF31),AF31/AI31,IF(AF31="","н.д.",AF31))),IF(AI31="","н.д.",AI31))</x:f>
        <x:v>0.6985358544507567</x:v>
      </x:c>
      <x:c r="L31" s="35" t="n">
        <x:f t="shared" si="4">IF(ISNUMBER(AO31),IF(AO31&lt;=0,"н.п.",IF(ISNUMBER(X31),X31/AO31,IF(X31="","н.д.",X31))),IF(AO31="","н.д.",AO31))</x:f>
        <x:v>4.138090030596312</x:v>
      </x:c>
      <x:c r="M31" s="35" t="n">
        <x:f t="shared" si="1">IF(ISNUMBER(AP31),IF(AP31=0,"н.п.",IF(ISNUMBER(X31),X31/AP31,IF(X31="","н.д.",X31))),IF(AP31="","н.д.",AP31))</x:f>
        <x:v>2.8758404154058494</x:v>
      </x:c>
      <x:c r="N31" s="35" t="n">
        <x:f t="shared" si="2">IF(ISNUMBER(AI31),IF(AI31=0,"н.п.",IF(ISNUMBER(X31),X31/AI31,IF(X31="","н.д.",X31))),IF(AI31="","н.д.",AI31))</x:f>
        <x:v>0.1408803841395055</x:v>
      </x:c>
      <x:c r="O31" s="35" t="n">
        <x:f t="shared" si="5">IF(COLUMN()=17,IF(ISNUMBER(AJ31),IF(AJ31&lt;=0,"н.п.",IF(ISNUMBER($AB31),$AB31/AJ31,IF($AB31="","н.д.",$AB31))),IF(AJ31="","н.д.",AJ31)),IF($C$6="Да",IF(ISNUMBER(AJ31),IF(AJ31&lt;=0,"н.п.",IF(ISNUMBER($AA31),$AA31/AJ31,IF($AA31="","н.д.",$AA31))),IF(AJ31="","н.д.",AJ31)),IF(ISNUMBER(AJ31),IF(AJ31&lt;=0,"н.п.",IF(ISNUMBER($Z31),$Z31/AJ31,IF($Z31="","н.д.",$Z31))),IF(AJ31="","н.д.",AJ31))))</x:f>
        <x:v>2.6313894147666477</x:v>
      </x:c>
      <x:c r="P31" s="35" t="n">
        <x:f t="shared" si="5">IF(COLUMN()=17,IF(ISNUMBER(AK31),IF(AK31&lt;=0,"н.п.",IF(ISNUMBER($AB31),$AB31/AK31,IF($AB31="","н.д.",$AB31))),IF(AK31="","н.д.",AK31)),IF($C$6="Да",IF(ISNUMBER(AK31),IF(AK31&lt;=0,"н.п.",IF(ISNUMBER($AA31),$AA31/AK31,IF($AA31="","н.д.",$AA31))),IF(AK31="","н.д.",AK31)),IF(ISNUMBER(AK31),IF(AK31&lt;=0,"н.п.",IF(ISNUMBER($Z31),$Z31/AK31,IF($Z31="","н.д.",$Z31))),IF(AK31="","н.д.",AK31))))</x:f>
        <x:v>2.7595248114459587</x:v>
      </x:c>
      <x:c r="Q31" s="35" t="str">
        <x:f t="shared" si="5">IF(COLUMN()=17,IF(ISNUMBER(AL31),IF(AL31&lt;=0,"н.п.",IF(ISNUMBER($AB31),$AB31/AL31,IF($AB31="","н.д.",$AB31))),IF(AL31="","н.д.",AL31)),IF($C$6="Да",IF(ISNUMBER(AL31),IF(AL31&lt;=0,"н.п.",IF(ISNUMBER($AA31),$AA31/AL31,IF($AA31="","н.д.",$AA31))),IF(AL31="","н.д.",AL31)),IF(ISNUMBER(AL31),IF(AL31&lt;=0,"н.п.",IF(ISNUMBER($Z31),$Z31/AL31,IF($Z31="","н.д.",$Z31))),IF(AL31="","н.д.",AL31))))</x:f>
        <x:v>н.п.</x:v>
      </x:c>
      <x:c r="R31" s="35" t="str">
        <x:f t="shared" si="5">IF(COLUMN()=17,IF(ISNUMBER(AM31),IF(AM31&lt;=0,"н.п.",IF(ISNUMBER($AB31),$AB31/AM31,IF($AB31="","н.д.",$AB31))),IF(AM31="","н.д.",AM31)),IF($C$6="Да",IF(ISNUMBER(AM31),IF(AM31&lt;=0,"н.п.",IF(ISNUMBER($AA31),$AA31/AM31,IF($AA31="","н.д.",$AA31))),IF(AM31="","н.д.",AM31)),IF(ISNUMBER(AM31),IF(AM31&lt;=0,"н.п.",IF(ISNUMBER($Z31),$Z31/AM31,IF($Z31="","н.д.",$Z31))),IF(AM31="","н.д.",AM31))))</x:f>
        <x:v>н.п.</x:v>
      </x:c>
      <x:c r="S31" s="35" t="str">
        <x:f t="shared" si="5">IF(COLUMN()=17,IF(ISNUMBER(AN31),IF(AN31&lt;=0,"н.п.",IF(ISNUMBER($AB31),$AB31/AN31,IF($AB31="","н.д.",$AB31))),IF(AN31="","н.д.",AN31)),IF($C$6="Да",IF(ISNUMBER(AN31),IF(AN31&lt;=0,"н.п.",IF(ISNUMBER($AA31),$AA31/AN31,IF($AA31="","н.д.",$AA31))),IF(AN31="","н.д.",AN31)),IF(ISNUMBER(AN31),IF(AN31&lt;=0,"н.п.",IF(ISNUMBER($Z31),$Z31/AN31,IF($Z31="","н.д.",$Z31))),IF(AN31="","н.д.",AN31))))</x:f>
        <x:v>н.д.</x:v>
      </x:c>
      <x:c r="T31" s="3"/>
      <x:c r="U31" s="51" t="n">
        <x:f>Котировки!C23</x:f>
        <x:v>32.501904762</x:v>
      </x:c>
      <x:c r="V31" s="51" t="n">
        <x:f>Котировки!E23</x:f>
        <x:v>3975771215</x:v>
      </x:c>
      <x:c r="W31" s="53"/>
      <x:c r="X31" s="31" t="n">
        <x:f t="shared" si="6">IF($C$5="Да",IF(ISNUMBER(W31),IF(ISNUMBER(U31),U31*W31/10^6,IF(U31="","н.д.",U31)),IF(W31="","н.д.",W31)),IF(ISNUMBER(V31),IF(ISNUMBER(U31),U31*V31/10^6,IF(U31="","н.д.",U31)),IF(V31="","н.д.",V31)))</x:f>
        <x:v>129220.13738543104</x:v>
      </x:c>
      <x:c r="Y31" s="3"/>
      <x:c r="Z31" s="31" t="n">
        <x:f>IF(ISNUMBER('Фин.показатели TTM'!E27),'Фин.показатели TTM'!E27,IF('Фин.показатели TTM'!E27="",IF(ISNUMBER('Фин.показатели TTM'!R27),'Фин.показатели TTM'!R27,IF('Фин.показатели TTM'!R27="","н.д.",'Фин.показатели TTM'!R27)),'Фин.показатели TTM'!E27))</x:f>
        <x:v>511500</x:v>
      </x:c>
      <x:c r="AA31" s="31" t="str">
        <x:f>IF(ISNUMBER('Фин.показатели TTM'!F27),'Фин.показатели TTM'!F27,IF('Фин.показатели TTM'!F27="","н.д.",'Фин.показатели TTM'!F27))</x:f>
        <x:v>н.д.</x:v>
      </x:c>
      <x:c r="AB31" s="31" t="str">
        <x:f>IF(ISNUMBER('Фин.показатели TTM'!G27),'Фин.показатели TTM'!G27,IF('Фин.показатели TTM'!G27="",IF(ISNUMBER('Фин.показатели TTM'!Y27),'Фин.показатели TTM'!Y27,IF('Фин.показатели TTM'!Y27="","н.д.",'Фин.показатели TTM'!Y27)),'Фин.показатели TTM'!G27))</x:f>
        <x:v>н.п.</x:v>
      </x:c>
      <x:c r="AC31" s="34"/>
      <x:c r="AD31" s="34" t="n">
        <x:f>Котировки!D23*Котировки!F23/10^6</x:f>
        <x:v>0</x:v>
      </x:c>
      <x:c r="AE31" s="34"/>
      <x:c r="AF31" s="31" t="n">
        <x:f t="shared" si="7">IF($C$6="Да",IF(ISNUMBER(AA31),IF(ISNUMBER(X31),IF(COUNTIF(AC31:AE31,"н.д.")&gt;0,"н.д.",X31+AA31+SUM(AC31:AE31)),IF(X31="","н.д.",X31)),IF(AA31="","н.д.",AA31)),IF(ISNUMBER(Z31),IF(ISNUMBER(X31),IF(COUNTIF(AC31:AE31,"н.д.")&gt;0,"н.д.",X31+Z31+SUM(AC31:AE31)),IF(X31="","н.д.",X31)),IF(Z31="","н.д.",Z31)))</x:f>
        <x:v>640720.137385431</x:v>
      </x:c>
      <x:c r="AG31" s="31" t="str">
        <x:f t="shared" si="8">IF(ISNUMBER(AB31),IF(ISNUMBER(X31),IF(COUNTIF(AC31:AE31,"н.д.")&gt;0,"н.д.",X31+AB31+SUM(AC31:AE31)),IF(X31="","н.д.",X31)),IF(AB31="","н.д.",AB31))</x:f>
        <x:v>н.п.</x:v>
      </x:c>
      <x:c r="AH31" s="3"/>
      <x:c r="AI31" s="31" t="n">
        <x:f>IF(ISNUMBER('Фин.показатели TTM'!H27),'Фин.показатели TTM'!H27,IF('Фин.показатели TTM'!H27="","н.д.",'Фин.показатели TTM'!H27))</x:f>
        <x:v>917233</x:v>
      </x:c>
      <x:c r="AJ31" s="31" t="n">
        <x:f>IF(ISNUMBER('Фин.показатели TTM'!I27),'Фин.показатели TTM'!I27,IF('Фин.показатели TTM'!I27="",IF(ISNUMBER('Фин.показатели TTM'!Z27),'Фин.показатели TTM'!Z27,IF('Фин.показатели TTM'!Z27="","н.д.",'Фин.показатели TTM'!Z27)),'Фин.показатели TTM'!I27))</x:f>
        <x:v>194384</x:v>
      </x:c>
      <x:c r="AK31" s="31" t="n">
        <x:f>IF(ISNUMBER('Фин.показатели TTM'!J27),'Фин.показатели TTM'!J27,IF('Фин.показатели TTM'!J27="","н.д.",'Фин.показатели TTM'!J27))</x:f>
        <x:v>185358</x:v>
      </x:c>
      <x:c r="AL31" s="31" t="str">
        <x:f>IF(ISNUMBER('Фин.показатели TTM'!K27),'Фин.показатели TTM'!K27,IF('Фин.показатели TTM'!K27="",IF(ISNUMBER('Фин.показатели TTM'!AI27),'Фин.показатели TTM'!AI27,IF('Фин.показатели TTM'!AI27="","н.д.",'Фин.показатели TTM'!AI27)),'Фин.показатели TTM'!K27))</x:f>
        <x:v>н.п.</x:v>
      </x:c>
      <x:c r="AM31" s="31" t="str">
        <x:f>IF(ISNUMBER('Фин.показатели TTM'!L27),'Фин.показатели TTM'!L27,IF('Фин.показатели TTM'!L27="",IF(ISNUMBER('Фин.показатели TTM'!AK27),'Фин.показатели TTM'!AK27,IF('Фин.показатели TTM'!AK27="","н.д.",'Фин.показатели TTM'!AK27)),'Фин.показатели TTM'!L27))</x:f>
        <x:v>н.п.</x:v>
      </x:c>
      <x:c r="AN31" s="31" t="str">
        <x:f>IF(ISNUMBER('Фин.показатели TTM'!M27),'Фин.показатели TTM'!M27,IF('Фин.показатели TTM'!M27="","н.д.",'Фин.показатели TTM'!M27))</x:f>
        <x:v>н.д.</x:v>
      </x:c>
      <x:c r="AO31" s="31" t="n">
        <x:f>IF(ISNUMBER('Фин.показатели TTM'!N27),'Фин.показатели TTM'!N27,IF('Фин.показатели TTM'!N27="","н.д.",'Фин.показатели TTM'!N27))</x:f>
        <x:v>31227</x:v>
      </x:c>
      <x:c r="AP31" s="31" t="n">
        <x:f>IF(ISNUMBER('Фин.показатели TTM'!O27),'Фин.показатели TTM'!O27,IF('Фин.показатели TTM'!O27="","н.д.",'Фин.показатели TTM'!O27))</x:f>
        <x:v>44933</x:v>
      </x:c>
      <x:c r="AQ31" s="3"/>
      <x:c r="AR31" s="3"/>
    </x:row>
    <x:row r="32">
      <x:c r="B32" s="3">
        <x:v>22</x:v>
      </x:c>
      <x:c r="C32" s="3" t="s">
        <x:v>101</x:v>
      </x:c>
      <x:c r="D32" s="50" t="s">
        <x:v>80</x:v>
      </x:c>
      <x:c r="E32" s="3"/>
      <x:c r="F32" s="35" t="str">
        <x:f t="shared" si="3">IF(COLUMN()=8,IF(ISNUMBER(AJ32),IF(AJ32&lt;=0,"н.п.",IF(ISNUMBER($AG32),$AG32/AJ32,IF($AG32="","н.д.",$AG32))),IF(AJ32="","н.д.",AJ32)),IF(ISNUMBER(AJ32),IF(AJ32&lt;=0,"н.п.",IF(ISNUMBER($AF32),$AF32/AJ32,IF($AF32="","н.д.",$AF32))),IF(AJ32="","н.д.",AJ32)))</x:f>
        <x:v>н.д.</x:v>
      </x:c>
      <x:c r="G32" s="35" t="n">
        <x:f t="shared" si="3">IF(COLUMN()=8,IF(ISNUMBER(AK32),IF(AK32&lt;=0,"н.п.",IF(ISNUMBER($AG32),$AG32/AK32,IF($AG32="","н.д.",$AG32))),IF(AK32="","н.д.",AK32)),IF(ISNUMBER(AK32),IF(AK32&lt;=0,"н.п.",IF(ISNUMBER($AF32),$AF32/AK32,IF($AF32="","н.д.",$AF32))),IF(AK32="","н.д.",AK32)))</x:f>
        <x:v>2.631360228779866</x:v>
      </x:c>
      <x:c r="H32" s="35" t="str">
        <x:f t="shared" si="3">IF(COLUMN()=8,IF(ISNUMBER(AL32),IF(AL32&lt;=0,"н.п.",IF(ISNUMBER($AG32),$AG32/AL32,IF($AG32="","н.д.",$AG32))),IF(AL32="","н.д.",AL32)),IF(ISNUMBER(AL32),IF(AL32&lt;=0,"н.п.",IF(ISNUMBER($AF32),$AF32/AL32,IF($AF32="","н.д.",$AF32))),IF(AL32="","н.д.",AL32)))</x:f>
        <x:v>н.п.</x:v>
      </x:c>
      <x:c r="I32" s="35" t="str">
        <x:f t="shared" si="3">IF(COLUMN()=8,IF(ISNUMBER(AM32),IF(AM32&lt;=0,"н.п.",IF(ISNUMBER($AG32),$AG32/AM32,IF($AG32="","н.д.",$AG32))),IF(AM32="","н.д.",AM32)),IF(ISNUMBER(AM32),IF(AM32&lt;=0,"н.п.",IF(ISNUMBER($AF32),$AF32/AM32,IF($AF32="","н.д.",$AF32))),IF(AM32="","н.д.",AM32)))</x:f>
        <x:v>н.п.</x:v>
      </x:c>
      <x:c r="J32" s="35" t="str">
        <x:f t="shared" si="3">IF(COLUMN()=8,IF(ISNUMBER(AN32),IF(AN32&lt;=0,"н.п.",IF(ISNUMBER($AG32),$AG32/AN32,IF($AG32="","н.д.",$AG32))),IF(AN32="","н.д.",AN32)),IF(ISNUMBER(AN32),IF(AN32&lt;=0,"н.п.",IF(ISNUMBER($AF32),$AF32/AN32,IF($AF32="","н.д.",$AF32))),IF(AN32="","н.д.",AN32)))</x:f>
        <x:v>н.д.</x:v>
      </x:c>
      <x:c r="K32" s="35" t="n">
        <x:f t="shared" si="0">IF(ISNUMBER(AI32),IF(AI32=0,"н.п.",IF(ISNUMBER(AF32),AF32/AI32,IF(AF32="","н.д.",AF32))),IF(AI32="","н.д.",AI32))</x:f>
        <x:v>0.2895828163452513</x:v>
      </x:c>
      <x:c r="L32" s="35" t="str">
        <x:f t="shared" si="4">IF(ISNUMBER(AO32),IF(AO32&lt;=0,"н.п.",IF(ISNUMBER(X32),X32/AO32,IF(X32="","н.д.",X32))),IF(AO32="","н.д.",AO32))</x:f>
        <x:v>н.п.</x:v>
      </x:c>
      <x:c r="M32" s="35" t="n">
        <x:f t="shared" si="1">IF(ISNUMBER(AP32),IF(AP32=0,"н.п.",IF(ISNUMBER(X32),X32/AP32,IF(X32="","н.д.",X32))),IF(AP32="","н.д.",AP32))</x:f>
        <x:v>0.384610575921176</x:v>
      </x:c>
      <x:c r="N32" s="35" t="n">
        <x:f t="shared" si="2">IF(ISNUMBER(AI32),IF(AI32=0,"н.п.",IF(ISNUMBER(X32),X32/AI32,IF(X32="","н.д.",X32))),IF(AI32="","н.д.",AI32))</x:f>
        <x:v>0.4288301476843254</x:v>
      </x:c>
      <x:c r="O32" s="35" t="str">
        <x:f t="shared" si="5">IF(COLUMN()=17,IF(ISNUMBER(AJ32),IF(AJ32&lt;=0,"н.п.",IF(ISNUMBER($AB32),$AB32/AJ32,IF($AB32="","н.д.",$AB32))),IF(AJ32="","н.д.",AJ32)),IF($C$6="Да",IF(ISNUMBER(AJ32),IF(AJ32&lt;=0,"н.п.",IF(ISNUMBER($AA32),$AA32/AJ32,IF($AA32="","н.д.",$AA32))),IF(AJ32="","н.д.",AJ32)),IF(ISNUMBER(AJ32),IF(AJ32&lt;=0,"н.п.",IF(ISNUMBER($Z32),$Z32/AJ32,IF($Z32="","н.д.",$Z32))),IF(AJ32="","н.д.",AJ32))))</x:f>
        <x:v>н.д.</x:v>
      </x:c>
      <x:c r="P32" s="35" t="n">
        <x:f t="shared" si="5">IF(COLUMN()=17,IF(ISNUMBER(AK32),IF(AK32&lt;=0,"н.п.",IF(ISNUMBER($AB32),$AB32/AK32,IF($AB32="","н.д.",$AB32))),IF(AK32="","н.д.",AK32)),IF($C$6="Да",IF(ISNUMBER(AK32),IF(AK32&lt;=0,"н.п.",IF(ISNUMBER($AA32),$AA32/AK32,IF($AA32="","н.д.",$AA32))),IF(AK32="","н.д.",AK32)),IF(ISNUMBER(AK32),IF(AK32&lt;=0,"н.п.",IF(ISNUMBER($Z32),$Z32/AK32,IF($Z32="","н.д.",$Z32))),IF(AK32="","н.д.",AK32))))</x:f>
        <x:v>-1.2677365660626236</x:v>
      </x:c>
      <x:c r="Q32" s="35" t="str">
        <x:f t="shared" si="5">IF(COLUMN()=17,IF(ISNUMBER(AL32),IF(AL32&lt;=0,"н.п.",IF(ISNUMBER($AB32),$AB32/AL32,IF($AB32="","н.д.",$AB32))),IF(AL32="","н.д.",AL32)),IF($C$6="Да",IF(ISNUMBER(AL32),IF(AL32&lt;=0,"н.п.",IF(ISNUMBER($AA32),$AA32/AL32,IF($AA32="","н.д.",$AA32))),IF(AL32="","н.д.",AL32)),IF(ISNUMBER(AL32),IF(AL32&lt;=0,"н.п.",IF(ISNUMBER($Z32),$Z32/AL32,IF($Z32="","н.д.",$Z32))),IF(AL32="","н.д.",AL32))))</x:f>
        <x:v>н.п.</x:v>
      </x:c>
      <x:c r="R32" s="35" t="str">
        <x:f t="shared" si="5">IF(COLUMN()=17,IF(ISNUMBER(AM32),IF(AM32&lt;=0,"н.п.",IF(ISNUMBER($AB32),$AB32/AM32,IF($AB32="","н.д.",$AB32))),IF(AM32="","н.д.",AM32)),IF($C$6="Да",IF(ISNUMBER(AM32),IF(AM32&lt;=0,"н.п.",IF(ISNUMBER($AA32),$AA32/AM32,IF($AA32="","н.д.",$AA32))),IF(AM32="","н.д.",AM32)),IF(ISNUMBER(AM32),IF(AM32&lt;=0,"н.п.",IF(ISNUMBER($Z32),$Z32/AM32,IF($Z32="","н.д.",$Z32))),IF(AM32="","н.д.",AM32))))</x:f>
        <x:v>н.п.</x:v>
      </x:c>
      <x:c r="S32" s="35" t="str">
        <x:f t="shared" si="5">IF(COLUMN()=17,IF(ISNUMBER(AN32),IF(AN32&lt;=0,"н.п.",IF(ISNUMBER($AB32),$AB32/AN32,IF($AB32="","н.д.",$AB32))),IF(AN32="","н.д.",AN32)),IF($C$6="Да",IF(ISNUMBER(AN32),IF(AN32&lt;=0,"н.п.",IF(ISNUMBER($AA32),$AA32/AN32,IF($AA32="","н.д.",$AA32))),IF(AN32="","н.д.",AN32)),IF(ISNUMBER(AN32),IF(AN32&lt;=0,"н.п.",IF(ISNUMBER($Z32),$Z32/AN32,IF($Z32="","н.д.",$Z32))),IF(AN32="","н.д.",AN32))))</x:f>
        <x:v>н.д.</x:v>
      </x:c>
      <x:c r="T32" s="3"/>
      <x:c r="U32" s="51" t="n">
        <x:f>Котировки!C24</x:f>
        <x:v>22.206904762</x:v>
      </x:c>
      <x:c r="V32" s="51" t="n">
        <x:f>Котировки!E24</x:f>
        <x:v>11174330000</x:v>
      </x:c>
      <x:c r="W32" s="53"/>
      <x:c r="X32" s="31" t="n">
        <x:f t="shared" si="6">IF($C$5="Да",IF(ISNUMBER(W32),IF(ISNUMBER(U32),U32*W32/10^6,IF(U32="","н.д.",U32)),IF(W32="","н.д.",W32)),IF(ISNUMBER(V32),IF(ISNUMBER(U32),U32*V32/10^6,IF(U32="","н.д.",U32)),IF(V32="","н.д.",V32)))</x:f>
        <x:v>248147.28208915945</x:v>
      </x:c>
      <x:c r="Y32" s="3"/>
      <x:c r="Z32" s="31" t="n">
        <x:f>IF(ISNUMBER('Фин.показатели TTM'!E28),'Фин.показатели TTM'!E28,IF('Фин.показатели TTM'!E28="",IF(ISNUMBER('Фин.показатели TTM'!R28),'Фин.показатели TTM'!R28,IF('Фин.показатели TTM'!R28="","н.д.",'Фин.показатели TTM'!R28)),'Фин.показатели TTM'!E28))</x:f>
        <x:v>-80732</x:v>
      </x:c>
      <x:c r="AA32" s="31" t="str">
        <x:f>IF(ISNUMBER('Фин.показатели TTM'!F28),'Фин.показатели TTM'!F28,IF('Фин.показатели TTM'!F28="","н.д.",'Фин.показатели TTM'!F28))</x:f>
        <x:v>н.д.</x:v>
      </x:c>
      <x:c r="AB32" s="31" t="str">
        <x:f>IF(ISNUMBER('Фин.показатели TTM'!G28),'Фин.показатели TTM'!G28,IF('Фин.показатели TTM'!G28="",IF(ISNUMBER('Фин.показатели TTM'!Y28),'Фин.показатели TTM'!Y28,IF('Фин.показатели TTM'!Y28="","н.д.",'Фин.показатели TTM'!Y28)),'Фин.показатели TTM'!G28))</x:f>
        <x:v>н.п.</x:v>
      </x:c>
      <x:c r="AC32" s="34">
        <x:v>155</x:v>
      </x:c>
      <x:c r="AD32" s="34" t="n">
        <x:f>Котировки!D24*Котировки!F24/10^6</x:f>
        <x:v>0</x:v>
      </x:c>
      <x:c r="AE32" s="34"/>
      <x:c r="AF32" s="31" t="n">
        <x:f t="shared" si="7">IF($C$6="Да",IF(ISNUMBER(AA32),IF(ISNUMBER(X32),IF(COUNTIF(AC32:AE32,"н.д.")&gt;0,"н.д.",X32+AA32+SUM(AC32:AE32)),IF(X32="","н.д.",X32)),IF(AA32="","н.д.",AA32)),IF(ISNUMBER(Z32),IF(ISNUMBER(X32),IF(COUNTIF(AC32:AE32,"н.д.")&gt;0,"н.д.",X32+Z32+SUM(AC32:AE32)),IF(X32="","н.д.",X32)),IF(Z32="","н.д.",Z32)))</x:f>
        <x:v>167570.28208915945</x:v>
      </x:c>
      <x:c r="AG32" s="31" t="str">
        <x:f t="shared" si="8">IF(ISNUMBER(AB32),IF(ISNUMBER(X32),IF(COUNTIF(AC32:AE32,"н.д.")&gt;0,"н.д.",X32+AB32+SUM(AC32:AE32)),IF(X32="","н.д.",X32)),IF(AB32="","н.д.",AB32))</x:f>
        <x:v>н.п.</x:v>
      </x:c>
      <x:c r="AH32" s="3"/>
      <x:c r="AI32" s="31" t="n">
        <x:f>IF(ISNUMBER('Фин.показатели TTM'!H28),'Фин.показатели TTM'!H28,IF('Фин.показатели TTM'!H28="","н.д.",'Фин.показатели TTM'!H28))</x:f>
        <x:v>578661</x:v>
      </x:c>
      <x:c r="AJ32" s="31" t="str">
        <x:f>IF(ISNUMBER('Фин.показатели TTM'!I28),'Фин.показатели TTM'!I28,IF('Фин.показатели TTM'!I28="",IF(ISNUMBER('Фин.показатели TTM'!Z28),'Фин.показатели TTM'!Z28,IF('Фин.показатели TTM'!Z28="","н.д.",'Фин.показатели TTM'!Z28)),'Фин.показатели TTM'!I28))</x:f>
        <x:v>н.д.</x:v>
      </x:c>
      <x:c r="AK32" s="31" t="n">
        <x:f>IF(ISNUMBER('Фин.показатели TTM'!J28),'Фин.показатели TTM'!J28,IF('Фин.показатели TTM'!J28="","н.д.",'Фин.показатели TTM'!J28))</x:f>
        <x:v>63682</x:v>
      </x:c>
      <x:c r="AL32" s="31" t="str">
        <x:f>IF(ISNUMBER('Фин.показатели TTM'!K28),'Фин.показатели TTM'!K28,IF('Фин.показатели TTM'!K28="",IF(ISNUMBER('Фин.показатели TTM'!AI28),'Фин.показатели TTM'!AI28,IF('Фин.показатели TTM'!AI28="","н.д.",'Фин.показатели TTM'!AI28)),'Фин.показатели TTM'!K28))</x:f>
        <x:v>н.п.</x:v>
      </x:c>
      <x:c r="AM32" s="31" t="str">
        <x:f>IF(ISNUMBER('Фин.показатели TTM'!L28),'Фин.показатели TTM'!L28,IF('Фин.показатели TTM'!L28="",IF(ISNUMBER('Фин.показатели TTM'!AK28),'Фин.показатели TTM'!AK28,IF('Фин.показатели TTM'!AK28="","н.д.",'Фин.показатели TTM'!AK28)),'Фин.показатели TTM'!L28))</x:f>
        <x:v>н.п.</x:v>
      </x:c>
      <x:c r="AN32" s="31" t="str">
        <x:f>IF(ISNUMBER('Фин.показатели TTM'!M28),'Фин.показатели TTM'!M28,IF('Фин.показатели TTM'!M28="","н.д.",'Фин.показатели TTM'!M28))</x:f>
        <x:v>н.д.</x:v>
      </x:c>
      <x:c r="AO32" s="31" t="n">
        <x:f>IF(ISNUMBER('Фин.показатели TTM'!N28),'Фин.показатели TTM'!N28,IF('Фин.показатели TTM'!N28="","н.д.",'Фин.показатели TTM'!N28))</x:f>
        <x:v>-38713</x:v>
      </x:c>
      <x:c r="AP32" s="31" t="n">
        <x:f>IF(ISNUMBER('Фин.показатели TTM'!O28),'Фин.показатели TTM'!O28,IF('Фин.показатели TTM'!O28="","н.д.",'Фин.показатели TTM'!O28))</x:f>
        <x:v>645191</x:v>
      </x:c>
      <x:c r="AQ32" s="3"/>
      <x:c r="AR32" s="3"/>
    </x:row>
    <x:row r="33">
      <x:c r="B33" s="3">
        <x:v>23</x:v>
      </x:c>
      <x:c r="C33" s="3" t="s">
        <x:v>102</x:v>
      </x:c>
      <x:c r="D33" s="50" t="s">
        <x:v>80</x:v>
      </x:c>
      <x:c r="E33" s="3"/>
      <x:c r="F33" s="35" t="str">
        <x:f t="shared" si="3">IF(COLUMN()=8,IF(ISNUMBER(AJ33),IF(AJ33&lt;=0,"н.п.",IF(ISNUMBER($AG33),$AG33/AJ33,IF($AG33="","н.д.",$AG33))),IF(AJ33="","н.д.",AJ33)),IF(ISNUMBER(AJ33),IF(AJ33&lt;=0,"н.п.",IF(ISNUMBER($AF33),$AF33/AJ33,IF($AF33="","н.д.",$AF33))),IF(AJ33="","н.д.",AJ33)))</x:f>
        <x:v>н.д.</x:v>
      </x:c>
      <x:c r="G33" s="35" t="n">
        <x:f t="shared" si="3">IF(COLUMN()=8,IF(ISNUMBER(AK33),IF(AK33&lt;=0,"н.п.",IF(ISNUMBER($AG33),$AG33/AK33,IF($AG33="","н.д.",$AG33))),IF(AK33="","н.д.",AK33)),IF(ISNUMBER(AK33),IF(AK33&lt;=0,"н.п.",IF(ISNUMBER($AF33),$AF33/AK33,IF($AF33="","н.д.",$AF33))),IF(AK33="","н.д.",AK33)))</x:f>
        <x:v>5.648652509928179</x:v>
      </x:c>
      <x:c r="H33" s="35" t="str">
        <x:f t="shared" si="3">IF(COLUMN()=8,IF(ISNUMBER(AL33),IF(AL33&lt;=0,"н.п.",IF(ISNUMBER($AG33),$AG33/AL33,IF($AG33="","н.д.",$AG33))),IF(AL33="","н.д.",AL33)),IF(ISNUMBER(AL33),IF(AL33&lt;=0,"н.п.",IF(ISNUMBER($AF33),$AF33/AL33,IF($AF33="","н.д.",$AF33))),IF(AL33="","н.д.",AL33)))</x:f>
        <x:v>н.п.</x:v>
      </x:c>
      <x:c r="I33" s="35" t="str">
        <x:f t="shared" si="3">IF(COLUMN()=8,IF(ISNUMBER(AM33),IF(AM33&lt;=0,"н.п.",IF(ISNUMBER($AG33),$AG33/AM33,IF($AG33="","н.д.",$AG33))),IF(AM33="","н.д.",AM33)),IF(ISNUMBER(AM33),IF(AM33&lt;=0,"н.п.",IF(ISNUMBER($AF33),$AF33/AM33,IF($AF33="","н.д.",$AF33))),IF(AM33="","н.д.",AM33)))</x:f>
        <x:v>н.п.</x:v>
      </x:c>
      <x:c r="J33" s="35" t="str">
        <x:f t="shared" si="3">IF(COLUMN()=8,IF(ISNUMBER(AN33),IF(AN33&lt;=0,"н.п.",IF(ISNUMBER($AG33),$AG33/AN33,IF($AG33="","н.д.",$AG33))),IF(AN33="","н.д.",AN33)),IF(ISNUMBER(AN33),IF(AN33&lt;=0,"н.п.",IF(ISNUMBER($AF33),$AF33/AN33,IF($AF33="","н.д.",$AF33))),IF(AN33="","н.д.",AN33)))</x:f>
        <x:v>н.д.</x:v>
      </x:c>
      <x:c r="K33" s="35" t="n">
        <x:f t="shared" si="0">IF(ISNUMBER(AI33),IF(AI33=0,"н.п.",IF(ISNUMBER(AF33),AF33/AI33,IF(AF33="","н.д.",AF33))),IF(AI33="","н.д.",AI33))</x:f>
        <x:v>1.0361612232207376</x:v>
      </x:c>
      <x:c r="L33" s="35" t="n">
        <x:f t="shared" si="4">IF(ISNUMBER(AO33),IF(AO33&lt;=0,"н.п.",IF(ISNUMBER(X33),X33/AO33,IF(X33="","н.д.",X33))),IF(AO33="","н.д.",AO33))</x:f>
        <x:v>3.320822892140084</x:v>
      </x:c>
      <x:c r="M33" s="35" t="n">
        <x:f t="shared" si="1">IF(ISNUMBER(AP33),IF(AP33=0,"н.п.",IF(ISNUMBER(X33),X33/AP33,IF(X33="","н.д.",X33))),IF(AP33="","н.д.",AP33))</x:f>
        <x:v>0.2563579226692757</x:v>
      </x:c>
      <x:c r="N33" s="35" t="n">
        <x:f t="shared" si="2">IF(ISNUMBER(AI33),IF(AI33=0,"н.п.",IF(ISNUMBER(X33),X33/AI33,IF(X33="","н.д.",X33))),IF(AI33="","н.д.",AI33))</x:f>
        <x:v>0.1322297975106965</x:v>
      </x:c>
      <x:c r="O33" s="35" t="str">
        <x:f t="shared" si="5">IF(COLUMN()=17,IF(ISNUMBER(AJ33),IF(AJ33&lt;=0,"н.п.",IF(ISNUMBER($AB33),$AB33/AJ33,IF($AB33="","н.д.",$AB33))),IF(AJ33="","н.д.",AJ33)),IF($C$6="Да",IF(ISNUMBER(AJ33),IF(AJ33&lt;=0,"н.п.",IF(ISNUMBER($AA33),$AA33/AJ33,IF($AA33="","н.д.",$AA33))),IF(AJ33="","н.д.",AJ33)),IF(ISNUMBER(AJ33),IF(AJ33&lt;=0,"н.п.",IF(ISNUMBER($Z33),$Z33/AJ33,IF($Z33="","н.д.",$Z33))),IF(AJ33="","н.д.",AJ33))))</x:f>
        <x:v>н.д.</x:v>
      </x:c>
      <x:c r="P33" s="35" t="n">
        <x:f t="shared" si="5">IF(COLUMN()=17,IF(ISNUMBER(AK33),IF(AK33&lt;=0,"н.п.",IF(ISNUMBER($AB33),$AB33/AK33,IF($AB33="","н.д.",$AB33))),IF(AK33="","н.д.",AK33)),IF($C$6="Да",IF(ISNUMBER(AK33),IF(AK33&lt;=0,"н.п.",IF(ISNUMBER($AA33),$AA33/AK33,IF($AA33="","н.д.",$AA33))),IF(AK33="","н.д.",AK33)),IF(ISNUMBER(AK33),IF(AK33&lt;=0,"н.п.",IF(ISNUMBER($Z33),$Z33/AK33,IF($Z33="","н.д.",$Z33))),IF(AK33="","н.д.",AK33))))</x:f>
        <x:v>3.438333775011019</x:v>
      </x:c>
      <x:c r="Q33" s="35" t="str">
        <x:f t="shared" si="5">IF(COLUMN()=17,IF(ISNUMBER(AL33),IF(AL33&lt;=0,"н.п.",IF(ISNUMBER($AB33),$AB33/AL33,IF($AB33="","н.д.",$AB33))),IF(AL33="","н.д.",AL33)),IF($C$6="Да",IF(ISNUMBER(AL33),IF(AL33&lt;=0,"н.п.",IF(ISNUMBER($AA33),$AA33/AL33,IF($AA33="","н.д.",$AA33))),IF(AL33="","н.д.",AL33)),IF(ISNUMBER(AL33),IF(AL33&lt;=0,"н.п.",IF(ISNUMBER($Z33),$Z33/AL33,IF($Z33="","н.д.",$Z33))),IF(AL33="","н.д.",AL33))))</x:f>
        <x:v>н.п.</x:v>
      </x:c>
      <x:c r="R33" s="35" t="str">
        <x:f t="shared" si="5">IF(COLUMN()=17,IF(ISNUMBER(AM33),IF(AM33&lt;=0,"н.п.",IF(ISNUMBER($AB33),$AB33/AM33,IF($AB33="","н.д.",$AB33))),IF(AM33="","н.д.",AM33)),IF($C$6="Да",IF(ISNUMBER(AM33),IF(AM33&lt;=0,"н.п.",IF(ISNUMBER($AA33),$AA33/AM33,IF($AA33="","н.д.",$AA33))),IF(AM33="","н.д.",AM33)),IF(ISNUMBER(AM33),IF(AM33&lt;=0,"н.п.",IF(ISNUMBER($Z33),$Z33/AM33,IF($Z33="","н.д.",$Z33))),IF(AM33="","н.д.",AM33))))</x:f>
        <x:v>н.п.</x:v>
      </x:c>
      <x:c r="S33" s="35" t="str">
        <x:f t="shared" si="5">IF(COLUMN()=17,IF(ISNUMBER(AN33),IF(AN33&lt;=0,"н.п.",IF(ISNUMBER($AB33),$AB33/AN33,IF($AB33="","н.д.",$AB33))),IF(AN33="","н.д.",AN33)),IF($C$6="Да",IF(ISNUMBER(AN33),IF(AN33&lt;=0,"н.п.",IF(ISNUMBER($AA33),$AA33/AN33,IF($AA33="","н.д.",$AA33))),IF(AN33="","н.д.",AN33)),IF(ISNUMBER(AN33),IF(AN33&lt;=0,"н.п.",IF(ISNUMBER($Z33),$Z33/AN33,IF($Z33="","н.д.",$Z33))),IF(AN33="","н.д.",AN33))))</x:f>
        <x:v>н.д.</x:v>
      </x:c>
      <x:c r="T33" s="3"/>
      <x:c r="U33" s="51" t="n">
        <x:f>Котировки!C25</x:f>
        <x:v>305.178571429</x:v>
      </x:c>
      <x:c r="V33" s="51" t="n">
        <x:f>Котировки!E25</x:f>
        <x:v>638848896</x:v>
      </x:c>
      <x:c r="W33" s="53"/>
      <x:c r="X33" s="31" t="n">
        <x:f t="shared" si="6">IF($C$5="Да",IF(ISNUMBER(W33),IF(ISNUMBER(U33),U33*W33/10^6,IF(U33="","н.д.",U33)),IF(W33="","н.д.",W33)),IF(ISNUMBER(V33),IF(ISNUMBER(U33),U33*V33/10^6,IF(U33="","н.д.",U33)),IF(V33="","н.д.",V33)))</x:f>
        <x:v>194962.99344027377</x:v>
      </x:c>
      <x:c r="Y33" s="3"/>
      <x:c r="Z33" s="31" t="n">
        <x:f>IF(ISNUMBER('Фин.показатели TTM'!E29),'Фин.показатели TTM'!E29,IF('Фин.показатели TTM'!E29="",IF(ISNUMBER('Фин.показатели TTM'!R29),'Фин.показатели TTM'!R29,IF('Фин.показатели TTM'!R29="","н.д.",'Фин.показатели TTM'!R29)),'Фин.показатели TTM'!E29))</x:f>
        <x:v>929936.644</x:v>
      </x:c>
      <x:c r="AA33" s="31" t="str">
        <x:f>IF(ISNUMBER('Фин.показатели TTM'!F29),'Фин.показатели TTM'!F29,IF('Фин.показатели TTM'!F29="","н.д.",'Фин.показатели TTM'!F29))</x:f>
        <x:v>н.д.</x:v>
      </x:c>
      <x:c r="AB33" s="31" t="str">
        <x:f>IF(ISNUMBER('Фин.показатели TTM'!G29),'Фин.показатели TTM'!G29,IF('Фин.показатели TTM'!G29="",IF(ISNUMBER('Фин.показатели TTM'!Y29),'Фин.показатели TTM'!Y29,IF('Фин.показатели TTM'!Y29="","н.д.",'Фин.показатели TTM'!Y29)),'Фин.показатели TTM'!G29))</x:f>
        <x:v>н.п.</x:v>
      </x:c>
      <x:c r="AC33" s="34">
        <x:v>402842.9559</x:v>
      </x:c>
      <x:c r="AD33" s="34" t="n">
        <x:f>Котировки!D25*Котировки!F25/10^6</x:f>
        <x:v>0</x:v>
      </x:c>
      <x:c r="AE33" s="34"/>
      <x:c r="AF33" s="31" t="n">
        <x:f t="shared" si="7">IF($C$6="Да",IF(ISNUMBER(AA33),IF(ISNUMBER(X33),IF(COUNTIF(AC33:AE33,"н.д.")&gt;0,"н.д.",X33+AA33+SUM(AC33:AE33)),IF(X33="","н.д.",X33)),IF(AA33="","н.д.",AA33)),IF(ISNUMBER(Z33),IF(ISNUMBER(X33),IF(COUNTIF(AC33:AE33,"н.д.")&gt;0,"н.д.",X33+Z33+SUM(AC33:AE33)),IF(X33="","н.д.",X33)),IF(Z33="","н.д.",Z33)))</x:f>
        <x:v>1527742.5933402737</x:v>
      </x:c>
      <x:c r="AG33" s="31" t="str">
        <x:f t="shared" si="8">IF(ISNUMBER(AB33),IF(ISNUMBER(X33),IF(COUNTIF(AC33:AE33,"н.д.")&gt;0,"н.д.",X33+AB33+SUM(AC33:AE33)),IF(X33="","н.д.",X33)),IF(AB33="","н.д.",AB33))</x:f>
        <x:v>н.п.</x:v>
      </x:c>
      <x:c r="AH33" s="3"/>
      <x:c r="AI33" s="31" t="n">
        <x:f>IF(ISNUMBER('Фин.показатели TTM'!H29),'Фин.показатели TTM'!H29,IF('Фин.показатели TTM'!H29="","н.д.",'Фин.показатели TTM'!H29))</x:f>
        <x:v>1474425.5614889117</x:v>
      </x:c>
      <x:c r="AJ33" s="31" t="str">
        <x:f>IF(ISNUMBER('Фин.показатели TTM'!I29),'Фин.показатели TTM'!I29,IF('Фин.показатели TTM'!I29="",IF(ISNUMBER('Фин.показатели TTM'!Z29),'Фин.показатели TTM'!Z29,IF('Фин.показатели TTM'!Z29="","н.д.",'Фин.показатели TTM'!Z29)),'Фин.показатели TTM'!I29))</x:f>
        <x:v>н.д.</x:v>
      </x:c>
      <x:c r="AK33" s="31" t="n">
        <x:f>IF(ISNUMBER('Фин.показатели TTM'!J29),'Фин.показатели TTM'!J29,IF('Фин.показатели TTM'!J29="","н.д.",'Фин.показатели TTM'!J29))</x:f>
        <x:v>270461.42255256174</x:v>
      </x:c>
      <x:c r="AL33" s="31" t="str">
        <x:f>IF(ISNUMBER('Фин.показатели TTM'!K29),'Фин.показатели TTM'!K29,IF('Фин.показатели TTM'!K29="",IF(ISNUMBER('Фин.показатели TTM'!AI29),'Фин.показатели TTM'!AI29,IF('Фин.показатели TTM'!AI29="","н.д.",'Фин.показатели TTM'!AI29)),'Фин.показатели TTM'!K29))</x:f>
        <x:v>н.п.</x:v>
      </x:c>
      <x:c r="AM33" s="31" t="str">
        <x:f>IF(ISNUMBER('Фин.показатели TTM'!L29),'Фин.показатели TTM'!L29,IF('Фин.показатели TTM'!L29="",IF(ISNUMBER('Фин.показатели TTM'!AK29),'Фин.показатели TTM'!AK29,IF('Фин.показатели TTM'!AK29="","н.д.",'Фин.показатели TTM'!AK29)),'Фин.показатели TTM'!L29))</x:f>
        <x:v>н.п.</x:v>
      </x:c>
      <x:c r="AN33" s="31" t="str">
        <x:f>IF(ISNUMBER('Фин.показатели TTM'!M29),'Фин.показатели TTM'!M29,IF('Фин.показатели TTM'!M29="","н.д.",'Фин.показатели TTM'!M29))</x:f>
        <x:v>н.д.</x:v>
      </x:c>
      <x:c r="AO33" s="31" t="n">
        <x:f>IF(ISNUMBER('Фин.показатели TTM'!N29),'Фин.показатели TTM'!N29,IF('Фин.показатели TTM'!N29="","н.д.",'Фин.показатели TTM'!N29))</x:f>
        <x:v>58709.24158639218</x:v>
      </x:c>
      <x:c r="AP33" s="31" t="n">
        <x:f>IF(ISNUMBER('Фин.показатели TTM'!O29),'Фин.показатели TTM'!O29,IF('Фин.показатели TTM'!O29="","н.д.",'Фин.показатели TTM'!O29))</x:f>
        <x:v>760510.8959</x:v>
      </x:c>
      <x:c r="AQ33" s="3"/>
      <x:c r="AR33" s="3"/>
    </x:row>
    <x:row r="34">
      <x:c r="B34" s="3">
        <x:v>24</x:v>
      </x:c>
      <x:c r="C34" s="3" t="s">
        <x:v>103</x:v>
      </x:c>
      <x:c r="D34" s="50" t="s">
        <x:v>104</x:v>
      </x:c>
      <x:c r="E34" s="3"/>
      <x:c r="F34" s="35" t="n">
        <x:f t="shared" si="3">IF(COLUMN()=8,IF(ISNUMBER(AJ34),IF(AJ34&lt;=0,"н.п.",IF(ISNUMBER($AG34),$AG34/AJ34,IF($AG34="","н.д.",$AG34))),IF(AJ34="","н.д.",AJ34)),IF(ISNUMBER(AJ34),IF(AJ34&lt;=0,"н.п.",IF(ISNUMBER($AF34),$AF34/AJ34,IF($AF34="","н.д.",$AF34))),IF(AJ34="","н.д.",AJ34)))</x:f>
        <x:v>7.247691398884481</x:v>
      </x:c>
      <x:c r="G34" s="35" t="str">
        <x:f t="shared" si="3">IF(COLUMN()=8,IF(ISNUMBER(AK34),IF(AK34&lt;=0,"н.п.",IF(ISNUMBER($AG34),$AG34/AK34,IF($AG34="","н.д.",$AG34))),IF(AK34="","н.д.",AK34)),IF(ISNUMBER(AK34),IF(AK34&lt;=0,"н.п.",IF(ISNUMBER($AF34),$AF34/AK34,IF($AF34="","н.д.",$AF34))),IF(AK34="","н.д.",AK34)))</x:f>
        <x:v>н.д.</x:v>
      </x:c>
      <x:c r="H34" s="35" t="str">
        <x:f t="shared" si="3">IF(COLUMN()=8,IF(ISNUMBER(AL34),IF(AL34&lt;=0,"н.п.",IF(ISNUMBER($AG34),$AG34/AL34,IF($AG34="","н.д.",$AG34))),IF(AL34="","н.д.",AL34)),IF(ISNUMBER(AL34),IF(AL34&lt;=0,"н.п.",IF(ISNUMBER($AF34),$AF34/AL34,IF($AF34="","н.д.",$AF34))),IF(AL34="","н.д.",AL34)))</x:f>
        <x:v>н.п.</x:v>
      </x:c>
      <x:c r="I34" s="35" t="str">
        <x:f t="shared" si="3">IF(COLUMN()=8,IF(ISNUMBER(AM34),IF(AM34&lt;=0,"н.п.",IF(ISNUMBER($AG34),$AG34/AM34,IF($AG34="","н.д.",$AG34))),IF(AM34="","н.д.",AM34)),IF(ISNUMBER(AM34),IF(AM34&lt;=0,"н.п.",IF(ISNUMBER($AF34),$AF34/AM34,IF($AF34="","н.д.",$AF34))),IF(AM34="","н.д.",AM34)))</x:f>
        <x:v>н.п.</x:v>
      </x:c>
      <x:c r="J34" s="35" t="str">
        <x:f t="shared" si="3">IF(COLUMN()=8,IF(ISNUMBER(AN34),IF(AN34&lt;=0,"н.п.",IF(ISNUMBER($AG34),$AG34/AN34,IF($AG34="","н.д.",$AG34))),IF(AN34="","н.д.",AN34)),IF(ISNUMBER(AN34),IF(AN34&lt;=0,"н.п.",IF(ISNUMBER($AF34),$AF34/AN34,IF($AF34="","н.д.",$AF34))),IF(AN34="","н.д.",AN34)))</x:f>
        <x:v>н.д.</x:v>
      </x:c>
      <x:c r="K34" s="35" t="n">
        <x:f t="shared" si="0">IF(ISNUMBER(AI34),IF(AI34=0,"н.п.",IF(ISNUMBER(AF34),AF34/AI34,IF(AF34="","н.д.",AF34))),IF(AI34="","н.д.",AI34))</x:f>
        <x:v>2.1376380522911402</x:v>
      </x:c>
      <x:c r="L34" s="35" t="n">
        <x:f t="shared" si="4">IF(ISNUMBER(AO34),IF(AO34&lt;=0,"н.п.",IF(ISNUMBER(X34),X34/AO34,IF(X34="","н.д.",X34))),IF(AO34="","н.д.",AO34))</x:f>
        <x:v>8.920166280833456</x:v>
      </x:c>
      <x:c r="M34" s="35" t="n">
        <x:f t="shared" si="1">IF(ISNUMBER(AP34),IF(AP34=0,"н.п.",IF(ISNUMBER(X34),X34/AP34,IF(X34="","н.д.",X34))),IF(AP34="","н.д.",AP34))</x:f>
        <x:v>2.5729819785195764</x:v>
      </x:c>
      <x:c r="N34" s="35" t="n">
        <x:f t="shared" si="2">IF(ISNUMBER(AI34),IF(AI34=0,"н.п.",IF(ISNUMBER(X34),X34/AI34,IF(X34="","н.д.",X34))),IF(AI34="","н.д.",AI34))</x:f>
        <x:v>2.0043020277851973</x:v>
      </x:c>
      <x:c r="O34" s="35" t="n">
        <x:f t="shared" si="5">IF(COLUMN()=17,IF(ISNUMBER(AJ34),IF(AJ34&lt;=0,"н.п.",IF(ISNUMBER($AB34),$AB34/AJ34,IF($AB34="","н.д.",$AB34))),IF(AJ34="","н.д.",AJ34)),IF($C$6="Да",IF(ISNUMBER(AJ34),IF(AJ34&lt;=0,"н.п.",IF(ISNUMBER($AA34),$AA34/AJ34,IF($AA34="","н.д.",$AA34))),IF(AJ34="","н.д.",AJ34)),IF(ISNUMBER(AJ34),IF(AJ34&lt;=0,"н.п.",IF(ISNUMBER($Z34),$Z34/AJ34,IF($Z34="","н.д.",$Z34))),IF(AJ34="","н.д.",AJ34))))</x:f>
        <x:v>0.4332272349847772</x:v>
      </x:c>
      <x:c r="P34" s="35" t="str">
        <x:f t="shared" si="5">IF(COLUMN()=17,IF(ISNUMBER(AK34),IF(AK34&lt;=0,"н.п.",IF(ISNUMBER($AB34),$AB34/AK34,IF($AB34="","н.д.",$AB34))),IF(AK34="","н.д.",AK34)),IF($C$6="Да",IF(ISNUMBER(AK34),IF(AK34&lt;=0,"н.п.",IF(ISNUMBER($AA34),$AA34/AK34,IF($AA34="","н.д.",$AA34))),IF(AK34="","н.д.",AK34)),IF(ISNUMBER(AK34),IF(AK34&lt;=0,"н.п.",IF(ISNUMBER($Z34),$Z34/AK34,IF($Z34="","н.д.",$Z34))),IF(AK34="","н.д.",AK34))))</x:f>
        <x:v>н.д.</x:v>
      </x:c>
      <x:c r="Q34" s="35" t="str">
        <x:f t="shared" si="5">IF(COLUMN()=17,IF(ISNUMBER(AL34),IF(AL34&lt;=0,"н.п.",IF(ISNUMBER($AB34),$AB34/AL34,IF($AB34="","н.д.",$AB34))),IF(AL34="","н.д.",AL34)),IF($C$6="Да",IF(ISNUMBER(AL34),IF(AL34&lt;=0,"н.п.",IF(ISNUMBER($AA34),$AA34/AL34,IF($AA34="","н.д.",$AA34))),IF(AL34="","н.д.",AL34)),IF(ISNUMBER(AL34),IF(AL34&lt;=0,"н.п.",IF(ISNUMBER($Z34),$Z34/AL34,IF($Z34="","н.д.",$Z34))),IF(AL34="","н.д.",AL34))))</x:f>
        <x:v>н.п.</x:v>
      </x:c>
      <x:c r="R34" s="35" t="str">
        <x:f t="shared" si="5">IF(COLUMN()=17,IF(ISNUMBER(AM34),IF(AM34&lt;=0,"н.п.",IF(ISNUMBER($AB34),$AB34/AM34,IF($AB34="","н.д.",$AB34))),IF(AM34="","н.д.",AM34)),IF($C$6="Да",IF(ISNUMBER(AM34),IF(AM34&lt;=0,"н.п.",IF(ISNUMBER($AA34),$AA34/AM34,IF($AA34="","н.д.",$AA34))),IF(AM34="","н.д.",AM34)),IF(ISNUMBER(AM34),IF(AM34&lt;=0,"н.п.",IF(ISNUMBER($Z34),$Z34/AM34,IF($Z34="","н.д.",$Z34))),IF(AM34="","н.д.",AM34))))</x:f>
        <x:v>н.п.</x:v>
      </x:c>
      <x:c r="S34" s="35" t="str">
        <x:f t="shared" si="5">IF(COLUMN()=17,IF(ISNUMBER(AN34),IF(AN34&lt;=0,"н.п.",IF(ISNUMBER($AB34),$AB34/AN34,IF($AB34="","н.д.",$AB34))),IF(AN34="","н.д.",AN34)),IF($C$6="Да",IF(ISNUMBER(AN34),IF(AN34&lt;=0,"н.п.",IF(ISNUMBER($AA34),$AA34/AN34,IF($AA34="","н.д.",$AA34))),IF(AN34="","н.д.",AN34)),IF(ISNUMBER(AN34),IF(AN34&lt;=0,"н.п.",IF(ISNUMBER($Z34),$Z34/AN34,IF($Z34="","н.д.",$Z34))),IF(AN34="","н.д.",AN34))))</x:f>
        <x:v>н.д.</x:v>
      </x:c>
      <x:c r="T34" s="3"/>
      <x:c r="U34" s="51" t="n">
        <x:f>Котировки!C26</x:f>
        <x:v>1307.29047619</x:v>
      </x:c>
      <x:c r="V34" s="51" t="n">
        <x:f>Котировки!E26</x:f>
        <x:v>75125010</x:v>
      </x:c>
      <x:c r="W34" s="53"/>
      <x:c r="X34" s="31" t="n">
        <x:f t="shared" si="6">IF($C$5="Да",IF(ISNUMBER(W34),IF(ISNUMBER(U34),U34*W34/10^6,IF(U34="","н.д.",U34)),IF(W34="","н.д.",W34)),IF(ISNUMBER(V34),IF(ISNUMBER(U34),U34*V34/10^6,IF(U34="","н.д.",U34)),IF(V34="","н.д.",V34)))</x:f>
        <x:v>98210.21009667851</x:v>
      </x:c>
      <x:c r="Y34" s="3"/>
      <x:c r="Z34" s="31" t="n">
        <x:f>IF(ISNUMBER('Фин.показатели TTM'!E30),'Фин.показатели TTM'!E30,IF('Фин.показатели TTM'!E30="",IF(ISNUMBER('Фин.показатели TTM'!R30),'Фин.показатели TTM'!R30,IF('Фин.показатели TTM'!R30="","н.д.",'Фин.показатели TTM'!R30)),'Фин.показатели TTM'!E30))</x:f>
        <x:v>6261</x:v>
      </x:c>
      <x:c r="AA34" s="31" t="str">
        <x:f>IF(ISNUMBER('Фин.показатели TTM'!F30),'Фин.показатели TTM'!F30,IF('Фин.показатели TTM'!F30="","н.д.",'Фин.показатели TTM'!F30))</x:f>
        <x:v>н.д.</x:v>
      </x:c>
      <x:c r="AB34" s="31" t="str">
        <x:f>IF(ISNUMBER('Фин.показатели TTM'!G30),'Фин.показатели TTM'!G30,IF('Фин.показатели TTM'!G30="",IF(ISNUMBER('Фин.показатели TTM'!Y30),'Фин.показатели TTM'!Y30,IF('Фин.показатели TTM'!Y30="","н.д.",'Фин.показатели TTM'!Y30)),'Фин.показатели TTM'!G30))</x:f>
        <x:v>н.п.</x:v>
      </x:c>
      <x:c r="AC34" s="34">
        <x:v>272.42599999999999</x:v>
      </x:c>
      <x:c r="AD34" s="34" t="n">
        <x:f>Котировки!D26*Котировки!F26/10^6</x:f>
        <x:v>0</x:v>
      </x:c>
      <x:c r="AE34" s="34"/>
      <x:c r="AF34" s="31" t="n">
        <x:f t="shared" si="7">IF($C$6="Да",IF(ISNUMBER(AA34),IF(ISNUMBER(X34),IF(COUNTIF(AC34:AE34,"н.д.")&gt;0,"н.д.",X34+AA34+SUM(AC34:AE34)),IF(X34="","н.д.",X34)),IF(AA34="","н.д.",AA34)),IF(ISNUMBER(Z34),IF(ISNUMBER(X34),IF(COUNTIF(AC34:AE34,"н.д.")&gt;0,"н.д.",X34+Z34+SUM(AC34:AE34)),IF(X34="","н.д.",X34)),IF(Z34="","н.д.",Z34)))</x:f>
        <x:v>104743.63609667851</x:v>
      </x:c>
      <x:c r="AG34" s="31" t="str">
        <x:f t="shared" si="8">IF(ISNUMBER(AB34),IF(ISNUMBER(X34),IF(COUNTIF(AC34:AE34,"н.д.")&gt;0,"н.д.",X34+AB34+SUM(AC34:AE34)),IF(X34="","н.д.",X34)),IF(AB34="","н.д.",AB34))</x:f>
        <x:v>н.п.</x:v>
      </x:c>
      <x:c r="AH34" s="3"/>
      <x:c r="AI34" s="31" t="n">
        <x:f>IF(ISNUMBER('Фин.показатели TTM'!H30),'Фин.показатели TTM'!H30,IF('Фин.показатели TTM'!H30="","н.д.",'Фин.показатели TTM'!H30))</x:f>
        <x:v>48999.706000000006</x:v>
      </x:c>
      <x:c r="AJ34" s="31" t="n">
        <x:f>IF(ISNUMBER('Фин.показатели TTM'!I30),'Фин.показатели TTM'!I30,IF('Фин.показатели TTM'!I30="",IF(ISNUMBER('Фин.показатели TTM'!Z30),'Фин.показатели TTM'!Z30,IF('Фин.показатели TTM'!Z30="","н.д.",'Фин.показатели TTM'!Z30)),'Фин.показатели TTM'!I30))</x:f>
        <x:v>14452</x:v>
      </x:c>
      <x:c r="AK34" s="31" t="str">
        <x:f>IF(ISNUMBER('Фин.показатели TTM'!J30),'Фин.показатели TTM'!J30,IF('Фин.показатели TTM'!J30="","н.д.",'Фин.показатели TTM'!J30))</x:f>
        <x:v>н.д.</x:v>
      </x:c>
      <x:c r="AL34" s="31" t="str">
        <x:f>IF(ISNUMBER('Фин.показатели TTM'!K30),'Фин.показатели TTM'!K30,IF('Фин.показатели TTM'!K30="",IF(ISNUMBER('Фин.показатели TTM'!AI30),'Фин.показатели TTM'!AI30,IF('Фин.показатели TTM'!AI30="","н.д.",'Фин.показатели TTM'!AI30)),'Фин.показатели TTM'!K30))</x:f>
        <x:v>н.п.</x:v>
      </x:c>
      <x:c r="AM34" s="31" t="str">
        <x:f>IF(ISNUMBER('Фин.показатели TTM'!L30),'Фин.показатели TTM'!L30,IF('Фин.показатели TTM'!L30="",IF(ISNUMBER('Фин.показатели TTM'!AK30),'Фин.показатели TTM'!AK30,IF('Фин.показатели TTM'!AK30="","н.д.",'Фин.показатели TTM'!AK30)),'Фин.показатели TTM'!L30))</x:f>
        <x:v>н.п.</x:v>
      </x:c>
      <x:c r="AN34" s="31" t="str">
        <x:f>IF(ISNUMBER('Фин.показатели TTM'!M30),'Фин.показатели TTM'!M30,IF('Фин.показатели TTM'!M30="","н.д.",'Фин.показатели TTM'!M30))</x:f>
        <x:v>н.д.</x:v>
      </x:c>
      <x:c r="AO34" s="31" t="n">
        <x:f>IF(ISNUMBER('Фин.показатели TTM'!N30),'Фин.показатели TTM'!N30,IF('Фин.показатели TTM'!N30="","н.д.",'Фин.показатели TTM'!N30))</x:f>
        <x:v>11009.908</x:v>
      </x:c>
      <x:c r="AP34" s="31" t="n">
        <x:f>IF(ISNUMBER('Фин.показатели TTM'!O30),'Фин.показатели TTM'!O30,IF('Фин.показатели TTM'!O30="","н.д.",'Фин.показатели TTM'!O30))</x:f>
        <x:v>38169.801</x:v>
      </x:c>
      <x:c r="AQ34" s="3"/>
      <x:c r="AR34" s="3"/>
    </x:row>
    <x:row r="35">
      <x:c r="B35" s="3">
        <x:v>25</x:v>
      </x:c>
      <x:c r="C35" s="3" t="s">
        <x:v>105</x:v>
      </x:c>
      <x:c r="D35" s="50" t="s">
        <x:v>84</x:v>
      </x:c>
      <x:c r="E35" s="3"/>
      <x:c r="F35" s="35" t="str">
        <x:f t="shared" si="3">IF(COLUMN()=8,IF(ISNUMBER(AJ35),IF(AJ35&lt;=0,"н.п.",IF(ISNUMBER($AG35),$AG35/AJ35,IF($AG35="","н.д.",$AG35))),IF(AJ35="","н.д.",AJ35)),IF(ISNUMBER(AJ35),IF(AJ35&lt;=0,"н.п.",IF(ISNUMBER($AF35),$AF35/AJ35,IF($AF35="","н.д.",$AF35))),IF(AJ35="","н.д.",AJ35)))</x:f>
        <x:v>н.д.</x:v>
      </x:c>
      <x:c r="G35" s="35" t="n">
        <x:f t="shared" si="3">IF(COLUMN()=8,IF(ISNUMBER(AK35),IF(AK35&lt;=0,"н.п.",IF(ISNUMBER($AG35),$AG35/AK35,IF($AG35="","н.д.",$AG35))),IF(AK35="","н.д.",AK35)),IF(ISNUMBER(AK35),IF(AK35&lt;=0,"н.п.",IF(ISNUMBER($AF35),$AF35/AK35,IF($AF35="","н.д.",$AF35))),IF(AK35="","н.д.",AK35)))</x:f>
        <x:v>4.0182028155990315</x:v>
      </x:c>
      <x:c r="H35" s="35" t="n">
        <x:f t="shared" si="3">IF(COLUMN()=8,IF(ISNUMBER(AL35),IF(AL35&lt;=0,"н.п.",IF(ISNUMBER($AG35),$AG35/AL35,IF($AG35="","н.д.",$AG35))),IF(AL35="","н.д.",AL35)),IF(ISNUMBER(AL35),IF(AL35&lt;=0,"н.п.",IF(ISNUMBER($AF35),$AF35/AL35,IF($AF35="","н.д.",$AF35))),IF(AL35="","н.д.",AL35)))</x:f>
        <x:v>3.7869780507720945</x:v>
      </x:c>
      <x:c r="I35" s="35" t="str">
        <x:f t="shared" si="3">IF(COLUMN()=8,IF(ISNUMBER(AM35),IF(AM35&lt;=0,"н.п.",IF(ISNUMBER($AG35),$AG35/AM35,IF($AG35="","н.д.",$AG35))),IF(AM35="","н.д.",AM35)),IF(ISNUMBER(AM35),IF(AM35&lt;=0,"н.п.",IF(ISNUMBER($AF35),$AF35/AM35,IF($AF35="","н.д.",$AF35))),IF(AM35="","н.д.",AM35)))</x:f>
        <x:v>н.п.</x:v>
      </x:c>
      <x:c r="J35" s="35" t="str">
        <x:f t="shared" si="3">IF(COLUMN()=8,IF(ISNUMBER(AN35),IF(AN35&lt;=0,"н.п.",IF(ISNUMBER($AG35),$AG35/AN35,IF($AG35="","н.д.",$AG35))),IF(AN35="","н.д.",AN35)),IF(ISNUMBER(AN35),IF(AN35&lt;=0,"н.п.",IF(ISNUMBER($AF35),$AF35/AN35,IF($AF35="","н.д.",$AF35))),IF(AN35="","н.д.",AN35)))</x:f>
        <x:v>н.д.</x:v>
      </x:c>
      <x:c r="K35" s="35" t="n">
        <x:f t="shared" si="0">IF(ISNUMBER(AI35),IF(AI35=0,"н.п.",IF(ISNUMBER(AF35),AF35/AI35,IF(AF35="","н.д.",AF35))),IF(AI35="","н.д.",AI35))</x:f>
        <x:v>0.3868528777084048</x:v>
      </x:c>
      <x:c r="L35" s="35" t="n">
        <x:f t="shared" si="4">IF(ISNUMBER(AO35),IF(AO35&lt;=0,"н.п.",IF(ISNUMBER(X35),X35/AO35,IF(X35="","н.д.",X35))),IF(AO35="","н.д.",AO35))</x:f>
        <x:v>6.4546557087828855</x:v>
      </x:c>
      <x:c r="M35" s="35" t="n">
        <x:f t="shared" si="1">IF(ISNUMBER(AP35),IF(AP35=0,"н.п.",IF(ISNUMBER(X35),X35/AP35,IF(X35="","н.д.",X35))),IF(AP35="","н.д.",AP35))</x:f>
        <x:v>1.06119599424697</x:v>
      </x:c>
      <x:c r="N35" s="35" t="n">
        <x:f t="shared" si="2">IF(ISNUMBER(AI35),IF(AI35=0,"н.п.",IF(ISNUMBER(X35),X35/AI35,IF(X35="","н.д.",X35))),IF(AI35="","н.д.",AI35))</x:f>
        <x:v>0.1626041117642209</x:v>
      </x:c>
      <x:c r="O35" s="35" t="str">
        <x:f t="shared" si="5">IF(COLUMN()=17,IF(ISNUMBER(AJ35),IF(AJ35&lt;=0,"н.п.",IF(ISNUMBER($AB35),$AB35/AJ35,IF($AB35="","н.д.",$AB35))),IF(AJ35="","н.д.",AJ35)),IF($C$6="Да",IF(ISNUMBER(AJ35),IF(AJ35&lt;=0,"н.п.",IF(ISNUMBER($AA35),$AA35/AJ35,IF($AA35="","н.д.",$AA35))),IF(AJ35="","н.д.",AJ35)),IF(ISNUMBER(AJ35),IF(AJ35&lt;=0,"н.п.",IF(ISNUMBER($Z35),$Z35/AJ35,IF($Z35="","н.д.",$Z35))),IF(AJ35="","н.д.",AJ35))))</x:f>
        <x:v>н.д.</x:v>
      </x:c>
      <x:c r="P35" s="35" t="n">
        <x:f t="shared" si="5">IF(COLUMN()=17,IF(ISNUMBER(AK35),IF(AK35&lt;=0,"н.п.",IF(ISNUMBER($AB35),$AB35/AK35,IF($AB35="","н.д.",$AB35))),IF(AK35="","н.д.",AK35)),IF($C$6="Да",IF(ISNUMBER(AK35),IF(AK35&lt;=0,"н.п.",IF(ISNUMBER($AA35),$AA35/AK35,IF($AA35="","н.д.",$AA35))),IF(AK35="","н.д.",AK35)),IF(ISNUMBER(AK35),IF(AK35&lt;=0,"н.п.",IF(ISNUMBER($Z35),$Z35/AK35,IF($Z35="","н.д.",$Z35))),IF(AK35="","н.д.",AK35))))</x:f>
        <x:v>2.3209308639655286</x:v>
      </x:c>
      <x:c r="Q35" s="35" t="n">
        <x:f t="shared" si="5">IF(COLUMN()=17,IF(ISNUMBER(AL35),IF(AL35&lt;=0,"н.п.",IF(ISNUMBER($AB35),$AB35/AL35,IF($AB35="","н.д.",$AB35))),IF(AL35="","н.д.",AL35)),IF($C$6="Да",IF(ISNUMBER(AL35),IF(AL35&lt;=0,"н.п.",IF(ISNUMBER($AA35),$AA35/AL35,IF($AA35="","н.д.",$AA35))),IF(AL35="","н.д.",AL35)),IF(ISNUMBER(AL35),IF(AL35&lt;=0,"н.п.",IF(ISNUMBER($Z35),$Z35/AL35,IF($Z35="","н.д.",$Z35))),IF(AL35="","н.д.",AL35))))</x:f>
        <x:v>1.3906003411028995</x:v>
      </x:c>
      <x:c r="R35" s="35" t="str">
        <x:f t="shared" si="5">IF(COLUMN()=17,IF(ISNUMBER(AM35),IF(AM35&lt;=0,"н.п.",IF(ISNUMBER($AB35),$AB35/AM35,IF($AB35="","н.д.",$AB35))),IF(AM35="","н.д.",AM35)),IF($C$6="Да",IF(ISNUMBER(AM35),IF(AM35&lt;=0,"н.п.",IF(ISNUMBER($AA35),$AA35/AM35,IF($AA35="","н.д.",$AA35))),IF(AM35="","н.д.",AM35)),IF(ISNUMBER(AM35),IF(AM35&lt;=0,"н.п.",IF(ISNUMBER($Z35),$Z35/AM35,IF($Z35="","н.д.",$Z35))),IF(AM35="","н.д.",AM35))))</x:f>
        <x:v>н.п.</x:v>
      </x:c>
      <x:c r="S35" s="35" t="str">
        <x:f t="shared" si="5">IF(COLUMN()=17,IF(ISNUMBER(AN35),IF(AN35&lt;=0,"н.п.",IF(ISNUMBER($AB35),$AB35/AN35,IF($AB35="","н.д.",$AB35))),IF(AN35="","н.д.",AN35)),IF($C$6="Да",IF(ISNUMBER(AN35),IF(AN35&lt;=0,"н.п.",IF(ISNUMBER($AA35),$AA35/AN35,IF($AA35="","н.д.",$AA35))),IF(AN35="","н.д.",AN35)),IF(ISNUMBER(AN35),IF(AN35&lt;=0,"н.п.",IF(ISNUMBER($Z35),$Z35/AN35,IF($Z35="","н.д.",$Z35))),IF(AN35="","н.д.",AN35))))</x:f>
        <x:v>н.д.</x:v>
      </x:c>
      <x:c r="T35" s="3"/>
      <x:c r="U35" s="51" t="n">
        <x:f>Котировки!C27</x:f>
        <x:v>1735.904761905</x:v>
      </x:c>
      <x:c r="V35" s="51" t="n">
        <x:f>Котировки!E27</x:f>
        <x:v>115985197</x:v>
      </x:c>
      <x:c r="W35" s="53"/>
      <x:c r="X35" s="31" t="n">
        <x:f t="shared" si="6">IF($C$5="Да",IF(ISNUMBER(W35),IF(ISNUMBER(U35),U35*W35/10^6,IF(U35="","н.д.",U35)),IF(W35="","н.д.",W35)),IF(ISNUMBER(V35),IF(ISNUMBER(U35),U35*V35/10^6,IF(U35="","н.д.",U35)),IF(V35="","н.д.",V35)))</x:f>
        <x:v>201339.25578278952</x:v>
      </x:c>
      <x:c r="Y35" s="3"/>
      <x:c r="Z35" s="31" t="n">
        <x:f>IF(ISNUMBER('Фин.показатели TTM'!E31),'Фин.показатели TTM'!E31,IF('Фин.показатели TTM'!E31="",IF(ISNUMBER('Фин.показатели TTM'!R31),'Фин.показатели TTM'!R31,IF('Фин.показатели TTM'!R31="","н.д.",'Фин.показатели TTM'!R31)),'Фин.показатели TTM'!E31))</x:f>
        <x:v>276677.038</x:v>
      </x:c>
      <x:c r="AA35" s="31" t="str">
        <x:f>IF(ISNUMBER('Фин.показатели TTM'!F31),'Фин.показатели TTM'!F31,IF('Фин.показатели TTM'!F31="","н.д.",'Фин.показатели TTM'!F31))</x:f>
        <x:v>н.д.</x:v>
      </x:c>
      <x:c r="AB35" s="31" t="n">
        <x:f>IF(ISNUMBER('Фин.показатели TTM'!G31),'Фин.показатели TTM'!G31,IF('Фин.показатели TTM'!G31="",IF(ISNUMBER('Фин.показатели TTM'!Y31),'Фин.показатели TTM'!Y31,IF('Фин.показатели TTM'!Y31="","н.д.",'Фин.показатели TTM'!Y31)),'Фин.показатели TTM'!G31))</x:f>
        <x:v>117411.168</x:v>
      </x:c>
      <x:c r="AC35" s="34">
        <x:v>991.70699999999999</x:v>
      </x:c>
      <x:c r="AD35" s="34" t="n">
        <x:f>Котировки!D27*Котировки!F27/10^6</x:f>
        <x:v>0</x:v>
      </x:c>
      <x:c r="AE35" s="34"/>
      <x:c r="AF35" s="31" t="n">
        <x:f t="shared" si="7">IF($C$6="Да",IF(ISNUMBER(AA35),IF(ISNUMBER(X35),IF(COUNTIF(AC35:AE35,"н.д.")&gt;0,"н.д.",X35+AA35+SUM(AC35:AE35)),IF(X35="","н.д.",X35)),IF(AA35="","н.д.",AA35)),IF(ISNUMBER(Z35),IF(ISNUMBER(X35),IF(COUNTIF(AC35:AE35,"н.д.")&gt;0,"н.д.",X35+Z35+SUM(AC35:AE35)),IF(X35="","н.д.",X35)),IF(Z35="","н.д.",Z35)))</x:f>
        <x:v>479008.0007827895</x:v>
      </x:c>
      <x:c r="AG35" s="31" t="n">
        <x:f t="shared" si="8">IF(ISNUMBER(AB35),IF(ISNUMBER(X35),IF(COUNTIF(AC35:AE35,"н.д.")&gt;0,"н.д.",X35+AB35+SUM(AC35:AE35)),IF(X35="","н.д.",X35)),IF(AB35="","н.д.",AB35))</x:f>
        <x:v>319742.1307827895</x:v>
      </x:c>
      <x:c r="AH35" s="3"/>
      <x:c r="AI35" s="31" t="n">
        <x:f>IF(ISNUMBER('Фин.показатели TTM'!H31),'Фин.показатели TTM'!H31,IF('Фин.показатели TTM'!H31="","н.д.",'Фин.показатели TTM'!H31))</x:f>
        <x:v>1238217.494</x:v>
      </x:c>
      <x:c r="AJ35" s="31" t="str">
        <x:f>IF(ISNUMBER('Фин.показатели TTM'!I31),'Фин.показатели TTM'!I31,IF('Фин.показатели TTM'!I31="",IF(ISNUMBER('Фин.показатели TTM'!Z31),'Фин.показатели TTM'!Z31,IF('Фин.показатели TTM'!Z31="","н.д.",'Фин.показатели TTM'!Z31)),'Фин.показатели TTM'!I31))</x:f>
        <x:v>н.д.</x:v>
      </x:c>
      <x:c r="AK35" s="31" t="n">
        <x:f>IF(ISNUMBER('Фин.показатели TTM'!J31),'Фин.показатели TTM'!J31,IF('Фин.показатели TTM'!J31="","н.д.",'Фин.показатели TTM'!J31))</x:f>
        <x:v>119209.51300000004</x:v>
      </x:c>
      <x:c r="AL35" s="31" t="n">
        <x:f>IF(ISNUMBER('Фин.показатели TTM'!K31),'Фин.показатели TTM'!K31,IF('Фин.показатели TTM'!K31="",IF(ISNUMBER('Фин.показатели TTM'!AI31),'Фин.показатели TTM'!AI31,IF('Фин.показатели TTM'!AI31="","н.д.",'Фин.показатели TTM'!AI31)),'Фин.показатели TTM'!K31))</x:f>
        <x:v>84432</x:v>
      </x:c>
      <x:c r="AM35" s="31" t="str">
        <x:f>IF(ISNUMBER('Фин.показатели TTM'!L31),'Фин.показатели TTM'!L31,IF('Фин.показатели TTM'!L31="",IF(ISNUMBER('Фин.показатели TTM'!AK31),'Фин.показатели TTM'!AK31,IF('Фин.показатели TTM'!AK31="","н.д.",'Фин.показатели TTM'!AK31)),'Фин.показатели TTM'!L31))</x:f>
        <x:v>н.п.</x:v>
      </x:c>
      <x:c r="AN35" s="31" t="str">
        <x:f>IF(ISNUMBER('Фин.показатели TTM'!M31),'Фин.показатели TTM'!M31,IF('Фин.показатели TTM'!M31="","н.д.",'Фин.показатели TTM'!M31))</x:f>
        <x:v>н.д.</x:v>
      </x:c>
      <x:c r="AO35" s="31" t="n">
        <x:f>IF(ISNUMBER('Фин.показатели TTM'!N31),'Фин.показатели TTM'!N31,IF('Фин.показатели TTM'!N31="","н.д.",'Фин.показатели TTM'!N31))</x:f>
        <x:v>31192.873</x:v>
      </x:c>
      <x:c r="AP35" s="31" t="n">
        <x:f>IF(ISNUMBER('Фин.показатели TTM'!O31),'Фин.показатели TTM'!O31,IF('Фин.показатели TTM'!O31="","н.д.",'Фин.показатели TTM'!O31))</x:f>
        <x:v>189728.624</x:v>
      </x:c>
      <x:c r="AQ35" s="3"/>
      <x:c r="AR35" s="3"/>
    </x:row>
    <x:row r="36">
      <x:c r="B36" s="3">
        <x:v>26</x:v>
      </x:c>
      <x:c r="C36" s="3" t="s">
        <x:v>106</x:v>
      </x:c>
      <x:c r="D36" s="50" t="s">
        <x:v>107</x:v>
      </x:c>
      <x:c r="E36" s="3"/>
      <x:c r="F36" s="35" t="str">
        <x:f t="shared" si="3">IF(COLUMN()=8,IF(ISNUMBER(AJ36),IF(AJ36&lt;=0,"н.п.",IF(ISNUMBER($AG36),$AG36/AJ36,IF($AG36="","н.д.",$AG36))),IF(AJ36="","н.д.",AJ36)),IF(ISNUMBER(AJ36),IF(AJ36&lt;=0,"н.п.",IF(ISNUMBER($AF36),$AF36/AJ36,IF($AF36="","н.д.",$AF36))),IF(AJ36="","н.д.",AJ36)))</x:f>
        <x:v>н.д.</x:v>
      </x:c>
      <x:c r="G36" s="35" t="str">
        <x:f t="shared" si="3">IF(COLUMN()=8,IF(ISNUMBER(AK36),IF(AK36&lt;=0,"н.п.",IF(ISNUMBER($AG36),$AG36/AK36,IF($AG36="","н.д.",$AG36))),IF(AK36="","н.д.",AK36)),IF(ISNUMBER(AK36),IF(AK36&lt;=0,"н.п.",IF(ISNUMBER($AF36),$AF36/AK36,IF($AF36="","н.д.",$AF36))),IF(AK36="","н.д.",AK36)))</x:f>
        <x:v>н.д.</x:v>
      </x:c>
      <x:c r="H36" s="35" t="str">
        <x:f t="shared" si="3">IF(COLUMN()=8,IF(ISNUMBER(AL36),IF(AL36&lt;=0,"н.п.",IF(ISNUMBER($AG36),$AG36/AL36,IF($AG36="","н.д.",$AG36))),IF(AL36="","н.д.",AL36)),IF(ISNUMBER(AL36),IF(AL36&lt;=0,"н.п.",IF(ISNUMBER($AF36),$AF36/AL36,IF($AF36="","н.д.",$AF36))),IF(AL36="","н.д.",AL36)))</x:f>
        <x:v>н.п.</x:v>
      </x:c>
      <x:c r="I36" s="35" t="str">
        <x:f t="shared" si="3">IF(COLUMN()=8,IF(ISNUMBER(AM36),IF(AM36&lt;=0,"н.п.",IF(ISNUMBER($AG36),$AG36/AM36,IF($AG36="","н.д.",$AG36))),IF(AM36="","н.д.",AM36)),IF(ISNUMBER(AM36),IF(AM36&lt;=0,"н.п.",IF(ISNUMBER($AF36),$AF36/AM36,IF($AF36="","н.д.",$AF36))),IF(AM36="","н.д.",AM36)))</x:f>
        <x:v>н.п.</x:v>
      </x:c>
      <x:c r="J36" s="35" t="str">
        <x:f t="shared" si="3">IF(COLUMN()=8,IF(ISNUMBER(AN36),IF(AN36&lt;=0,"н.п.",IF(ISNUMBER($AG36),$AG36/AN36,IF($AG36="","н.д.",$AG36))),IF(AN36="","н.д.",AN36)),IF(ISNUMBER(AN36),IF(AN36&lt;=0,"н.п.",IF(ISNUMBER($AF36),$AF36/AN36,IF($AF36="","н.д.",$AF36))),IF(AN36="","н.д.",AN36)))</x:f>
        <x:v>н.д.</x:v>
      </x:c>
      <x:c r="K36" s="35" t="n">
        <x:f t="shared" si="0">IF(ISNUMBER(AI36),IF(AI36=0,"н.п.",IF(ISNUMBER(AF36),AF36/AI36,IF(AF36="","н.д.",AF36))),IF(AI36="","н.д.",AI36))</x:f>
        <x:v>2.278371261815495</x:v>
      </x:c>
      <x:c r="L36" s="35" t="n">
        <x:f t="shared" si="4">IF(ISNUMBER(AO36),IF(AO36&lt;=0,"н.п.",IF(ISNUMBER(X36),X36/AO36,IF(X36="","н.д.",X36))),IF(AO36="","н.д.",AO36))</x:f>
        <x:v>45.46418154265324</x:v>
      </x:c>
      <x:c r="M36" s="35" t="n">
        <x:f t="shared" si="1">IF(ISNUMBER(AP36),IF(AP36=0,"н.п.",IF(ISNUMBER(X36),X36/AP36,IF(X36="","н.д.",X36))),IF(AP36="","н.д.",AP36))</x:f>
        <x:v>0.5248738248393047</x:v>
      </x:c>
      <x:c r="N36" s="35" t="n">
        <x:f t="shared" si="2">IF(ISNUMBER(AI36),IF(AI36=0,"н.п.",IF(ISNUMBER(X36),X36/AI36,IF(X36="","н.д.",X36))),IF(AI36="","н.д.",AI36))</x:f>
        <x:v>1.4264136215204926</x:v>
      </x:c>
      <x:c r="O36" s="35" t="str">
        <x:f t="shared" si="5">IF(COLUMN()=17,IF(ISNUMBER(AJ36),IF(AJ36&lt;=0,"н.п.",IF(ISNUMBER($AB36),$AB36/AJ36,IF($AB36="","н.д.",$AB36))),IF(AJ36="","н.д.",AJ36)),IF($C$6="Да",IF(ISNUMBER(AJ36),IF(AJ36&lt;=0,"н.п.",IF(ISNUMBER($AA36),$AA36/AJ36,IF($AA36="","н.д.",$AA36))),IF(AJ36="","н.д.",AJ36)),IF(ISNUMBER(AJ36),IF(AJ36&lt;=0,"н.п.",IF(ISNUMBER($Z36),$Z36/AJ36,IF($Z36="","н.д.",$Z36))),IF(AJ36="","н.д.",AJ36))))</x:f>
        <x:v>н.д.</x:v>
      </x:c>
      <x:c r="P36" s="35" t="str">
        <x:f t="shared" si="5">IF(COLUMN()=17,IF(ISNUMBER(AK36),IF(AK36&lt;=0,"н.п.",IF(ISNUMBER($AB36),$AB36/AK36,IF($AB36="","н.д.",$AB36))),IF(AK36="","н.д.",AK36)),IF($C$6="Да",IF(ISNUMBER(AK36),IF(AK36&lt;=0,"н.п.",IF(ISNUMBER($AA36),$AA36/AK36,IF($AA36="","н.д.",$AA36))),IF(AK36="","н.д.",AK36)),IF(ISNUMBER(AK36),IF(AK36&lt;=0,"н.п.",IF(ISNUMBER($Z36),$Z36/AK36,IF($Z36="","н.д.",$Z36))),IF(AK36="","н.д.",AK36))))</x:f>
        <x:v>н.д.</x:v>
      </x:c>
      <x:c r="Q36" s="35" t="str">
        <x:f t="shared" si="5">IF(COLUMN()=17,IF(ISNUMBER(AL36),IF(AL36&lt;=0,"н.п.",IF(ISNUMBER($AB36),$AB36/AL36,IF($AB36="","н.д.",$AB36))),IF(AL36="","н.д.",AL36)),IF($C$6="Да",IF(ISNUMBER(AL36),IF(AL36&lt;=0,"н.п.",IF(ISNUMBER($AA36),$AA36/AL36,IF($AA36="","н.д.",$AA36))),IF(AL36="","н.д.",AL36)),IF(ISNUMBER(AL36),IF(AL36&lt;=0,"н.п.",IF(ISNUMBER($Z36),$Z36/AL36,IF($Z36="","н.д.",$Z36))),IF(AL36="","н.д.",AL36))))</x:f>
        <x:v>н.п.</x:v>
      </x:c>
      <x:c r="R36" s="35" t="str">
        <x:f t="shared" si="5">IF(COLUMN()=17,IF(ISNUMBER(AM36),IF(AM36&lt;=0,"н.п.",IF(ISNUMBER($AB36),$AB36/AM36,IF($AB36="","н.д.",$AB36))),IF(AM36="","н.д.",AM36)),IF($C$6="Да",IF(ISNUMBER(AM36),IF(AM36&lt;=0,"н.п.",IF(ISNUMBER($AA36),$AA36/AM36,IF($AA36="","н.д.",$AA36))),IF(AM36="","н.д.",AM36)),IF(ISNUMBER(AM36),IF(AM36&lt;=0,"н.п.",IF(ISNUMBER($Z36),$Z36/AM36,IF($Z36="","н.д.",$Z36))),IF(AM36="","н.д.",AM36))))</x:f>
        <x:v>н.п.</x:v>
      </x:c>
      <x:c r="S36" s="35" t="str">
        <x:f t="shared" si="5">IF(COLUMN()=17,IF(ISNUMBER(AN36),IF(AN36&lt;=0,"н.п.",IF(ISNUMBER($AB36),$AB36/AN36,IF($AB36="","н.д.",$AB36))),IF(AN36="","н.д.",AN36)),IF($C$6="Да",IF(ISNUMBER(AN36),IF(AN36&lt;=0,"н.п.",IF(ISNUMBER($AA36),$AA36/AN36,IF($AA36="","н.д.",$AA36))),IF(AN36="","н.д.",AN36)),IF(ISNUMBER(AN36),IF(AN36&lt;=0,"н.п.",IF(ISNUMBER($Z36),$Z36/AN36,IF($Z36="","н.д.",$Z36))),IF(AN36="","н.д.",AN36))))</x:f>
        <x:v>н.д.</x:v>
      </x:c>
      <x:c r="T36" s="3"/>
      <x:c r="U36" s="51" t="n">
        <x:f>Котировки!C28</x:f>
        <x:v>80.603809524</x:v>
      </x:c>
      <x:c r="V36" s="51" t="n">
        <x:f>Котировки!E28</x:f>
        <x:v>2374993901</x:v>
      </x:c>
      <x:c r="W36" s="53"/>
      <x:c r="X36" s="31" t="n">
        <x:f t="shared" si="6">IF($C$5="Да",IF(ISNUMBER(W36),IF(ISNUMBER(U36),U36*W36/10^6,IF(U36="","н.д.",U36)),IF(W36="","н.д.",W36)),IF(ISNUMBER(V36),IF(ISNUMBER(U36),U36*V36/10^6,IF(U36="","н.д.",U36)),IF(V36="","н.д.",V36)))</x:f>
        <x:v>191433.5560168657</x:v>
      </x:c>
      <x:c r="Y36" s="3"/>
      <x:c r="Z36" s="31" t="n">
        <x:f>IF(ISNUMBER('Фин.показатели TTM'!E32),'Фин.показатели TTM'!E32,IF('Фин.показатели TTM'!E32="",IF(ISNUMBER('Фин.показатели TTM'!R32),'Фин.показатели TTM'!R32,IF('Фин.показатели TTM'!R32="","н.д.",'Фин.показатели TTM'!R32)),'Фин.показатели TTM'!E32))</x:f>
        <x:v>103921</x:v>
      </x:c>
      <x:c r="AA36" s="31" t="str">
        <x:f>IF(ISNUMBER('Фин.показатели TTM'!F32),'Фин.показатели TTM'!F32,IF('Фин.показатели TTM'!F32="","н.д.",'Фин.показатели TTM'!F32))</x:f>
        <x:v>н.д.</x:v>
      </x:c>
      <x:c r="AB36" s="31" t="str">
        <x:f>IF(ISNUMBER('Фин.показатели TTM'!G32),'Фин.показатели TTM'!G32,IF('Фин.показатели TTM'!G32="",IF(ISNUMBER('Фин.показатели TTM'!Y32),'Фин.показатели TTM'!Y32,IF('Фин.показатели TTM'!Y32="","н.д.",'Фин.показатели TTM'!Y32)),'Фин.показатели TTM'!G32))</x:f>
        <x:v>н.п.</x:v>
      </x:c>
      <x:c r="AC36" s="34">
        <x:v>10417</x:v>
      </x:c>
      <x:c r="AD36" s="34" t="n">
        <x:f>Котировки!D28*Котировки!F28/10^6</x:f>
        <x:v>0</x:v>
      </x:c>
      <x:c r="AE36" s="34"/>
      <x:c r="AF36" s="31" t="n">
        <x:f t="shared" si="7">IF($C$6="Да",IF(ISNUMBER(AA36),IF(ISNUMBER(X36),IF(COUNTIF(AC36:AE36,"н.д.")&gt;0,"н.д.",X36+AA36+SUM(AC36:AE36)),IF(X36="","н.д.",X36)),IF(AA36="","н.д.",AA36)),IF(ISNUMBER(Z36),IF(ISNUMBER(X36),IF(COUNTIF(AC36:AE36,"н.д.")&gt;0,"н.д.",X36+Z36+SUM(AC36:AE36)),IF(X36="","н.д.",X36)),IF(Z36="","н.д.",Z36)))</x:f>
        <x:v>305771.5560168657</x:v>
      </x:c>
      <x:c r="AG36" s="31" t="str">
        <x:f t="shared" si="8">IF(ISNUMBER(AB36),IF(ISNUMBER(X36),IF(COUNTIF(AC36:AE36,"н.д.")&gt;0,"н.д.",X36+AB36+SUM(AC36:AE36)),IF(X36="","н.д.",X36)),IF(AB36="","н.д.",AB36))</x:f>
        <x:v>н.п.</x:v>
      </x:c>
      <x:c r="AH36" s="3"/>
      <x:c r="AI36" s="31" t="n">
        <x:f>IF(ISNUMBER('Фин.показатели TTM'!H32),'Фин.показатели TTM'!H32,IF('Фин.показатели TTM'!H32="","н.д.",'Фин.показатели TTM'!H32))</x:f>
        <x:v>134206.202975548</x:v>
      </x:c>
      <x:c r="AJ36" s="31" t="str">
        <x:f>IF(ISNUMBER('Фин.показатели TTM'!I32),'Фин.показатели TTM'!I32,IF('Фин.показатели TTM'!I32="",IF(ISNUMBER('Фин.показатели TTM'!Z32),'Фин.показатели TTM'!Z32,IF('Фин.показатели TTM'!Z32="","н.д.",'Фин.показатели TTM'!Z32)),'Фин.показатели TTM'!I32))</x:f>
        <x:v>н.д.</x:v>
      </x:c>
      <x:c r="AK36" s="31" t="str">
        <x:f>IF(ISNUMBER('Фин.показатели TTM'!J32),'Фин.показатели TTM'!J32,IF('Фин.показатели TTM'!J32="","н.д.",'Фин.показатели TTM'!J32))</x:f>
        <x:v>н.д.</x:v>
      </x:c>
      <x:c r="AL36" s="31" t="str">
        <x:f>IF(ISNUMBER('Фин.показатели TTM'!K32),'Фин.показатели TTM'!K32,IF('Фин.показатели TTM'!K32="",IF(ISNUMBER('Фин.показатели TTM'!AI32),'Фин.показатели TTM'!AI32,IF('Фин.показатели TTM'!AI32="","н.д.",'Фин.показатели TTM'!AI32)),'Фин.показатели TTM'!K32))</x:f>
        <x:v>н.п.</x:v>
      </x:c>
      <x:c r="AM36" s="31" t="str">
        <x:f>IF(ISNUMBER('Фин.показатели TTM'!L32),'Фин.показатели TTM'!L32,IF('Фин.показатели TTM'!L32="",IF(ISNUMBER('Фин.показатели TTM'!AK32),'Фин.показатели TTM'!AK32,IF('Фин.показатели TTM'!AK32="","н.д.",'Фин.показатели TTM'!AK32)),'Фин.показатели TTM'!L32))</x:f>
        <x:v>н.п.</x:v>
      </x:c>
      <x:c r="AN36" s="31" t="str">
        <x:f>IF(ISNUMBER('Фин.показатели TTM'!M32),'Фин.показатели TTM'!M32,IF('Фин.показатели TTM'!M32="","н.д.",'Фин.показатели TTM'!M32))</x:f>
        <x:v>н.д.</x:v>
      </x:c>
      <x:c r="AO36" s="31" t="n">
        <x:f>IF(ISNUMBER('Фин.показатели TTM'!N32),'Фин.показатели TTM'!N32,IF('Фин.показатели TTM'!N32="","н.д.",'Фин.показатели TTM'!N32))</x:f>
        <x:v>4210.645601026998</x:v>
      </x:c>
      <x:c r="AP36" s="31" t="n">
        <x:f>IF(ISNUMBER('Фин.показатели TTM'!O32),'Фин.показатели TTM'!O32,IF('Фин.показатели TTM'!O32="","н.д.",'Фин.показатели TTM'!O32))</x:f>
        <x:v>364723</x:v>
      </x:c>
      <x:c r="AQ36" s="3"/>
      <x:c r="AR36" s="3"/>
    </x:row>
    <x:row r="37">
      <x:c r="B37" s="3">
        <x:v>27</x:v>
      </x:c>
      <x:c r="C37" s="3" t="s">
        <x:v>108</x:v>
      </x:c>
      <x:c r="D37" s="50" t="s">
        <x:v>76</x:v>
      </x:c>
      <x:c r="E37" s="3"/>
      <x:c r="F37" s="35" t="str">
        <x:f t="shared" si="3">IF(COLUMN()=8,IF(ISNUMBER(AJ37),IF(AJ37&lt;=0,"н.п.",IF(ISNUMBER($AG37),$AG37/AJ37,IF($AG37="","н.д.",$AG37))),IF(AJ37="","н.д.",AJ37)),IF(ISNUMBER(AJ37),IF(AJ37&lt;=0,"н.п.",IF(ISNUMBER($AF37),$AF37/AJ37,IF($AF37="","н.д.",$AF37))),IF(AJ37="","н.д.",AJ37)))</x:f>
        <x:v>н.д.</x:v>
      </x:c>
      <x:c r="G37" s="35" t="str">
        <x:f t="shared" si="3">IF(COLUMN()=8,IF(ISNUMBER(AK37),IF(AK37&lt;=0,"н.п.",IF(ISNUMBER($AG37),$AG37/AK37,IF($AG37="","н.д.",$AG37))),IF(AK37="","н.д.",AK37)),IF(ISNUMBER(AK37),IF(AK37&lt;=0,"н.п.",IF(ISNUMBER($AF37),$AF37/AK37,IF($AF37="","н.д.",$AF37))),IF(AK37="","н.д.",AK37)))</x:f>
        <x:v>н.д.</x:v>
      </x:c>
      <x:c r="H37" s="35" t="str">
        <x:f t="shared" si="3">IF(COLUMN()=8,IF(ISNUMBER(AL37),IF(AL37&lt;=0,"н.п.",IF(ISNUMBER($AG37),$AG37/AL37,IF($AG37="","н.д.",$AG37))),IF(AL37="","н.д.",AL37)),IF(ISNUMBER(AL37),IF(AL37&lt;=0,"н.п.",IF(ISNUMBER($AF37),$AF37/AL37,IF($AF37="","н.д.",$AF37))),IF(AL37="","н.д.",AL37)))</x:f>
        <x:v>н.п.</x:v>
      </x:c>
      <x:c r="I37" s="35" t="str">
        <x:f t="shared" si="3">IF(COLUMN()=8,IF(ISNUMBER(AM37),IF(AM37&lt;=0,"н.п.",IF(ISNUMBER($AG37),$AG37/AM37,IF($AG37="","н.д.",$AG37))),IF(AM37="","н.д.",AM37)),IF(ISNUMBER(AM37),IF(AM37&lt;=0,"н.п.",IF(ISNUMBER($AF37),$AF37/AM37,IF($AF37="","н.д.",$AF37))),IF(AM37="","н.д.",AM37)))</x:f>
        <x:v>н.п.</x:v>
      </x:c>
      <x:c r="J37" s="35" t="str">
        <x:f t="shared" si="3">IF(COLUMN()=8,IF(ISNUMBER(AN37),IF(AN37&lt;=0,"н.п.",IF(ISNUMBER($AG37),$AG37/AN37,IF($AG37="","н.д.",$AG37))),IF(AN37="","н.д.",AN37)),IF(ISNUMBER(AN37),IF(AN37&lt;=0,"н.п.",IF(ISNUMBER($AF37),$AF37/AN37,IF($AF37="","н.д.",$AF37))),IF(AN37="","н.д.",AN37)))</x:f>
        <x:v>н.д.</x:v>
      </x:c>
      <x:c r="K37" s="35" t="str">
        <x:f t="shared" si="0">IF(ISNUMBER(AI37),IF(AI37=0,"н.п.",IF(ISNUMBER(AF37),AF37/AI37,IF(AF37="","н.д.",AF37))),IF(AI37="","н.д.",AI37))</x:f>
        <x:v>н.д.</x:v>
      </x:c>
      <x:c r="L37" s="35" t="n">
        <x:f t="shared" si="4">IF(ISNUMBER(AO37),IF(AO37&lt;=0,"н.п.",IF(ISNUMBER(X37),X37/AO37,IF(X37="","н.д.",X37))),IF(AO37="","н.д.",AO37))</x:f>
        <x:v>3.7640707699171188</x:v>
      </x:c>
      <x:c r="M37" s="35" t="n">
        <x:f t="shared" si="1">IF(ISNUMBER(AP37),IF(AP37=0,"н.п.",IF(ISNUMBER(X37),X37/AP37,IF(X37="","н.д.",X37))),IF(AP37="","н.д.",AP37))</x:f>
        <x:v>0.5117411021408435</x:v>
      </x:c>
      <x:c r="N37" s="35" t="str">
        <x:f t="shared" si="2">IF(ISNUMBER(AI37),IF(AI37=0,"н.п.",IF(ISNUMBER(X37),X37/AI37,IF(X37="","н.д.",X37))),IF(AI37="","н.д.",AI37))</x:f>
        <x:v>н.д.</x:v>
      </x:c>
      <x:c r="O37" s="35" t="str">
        <x:f t="shared" si="5">IF(COLUMN()=17,IF(ISNUMBER(AJ37),IF(AJ37&lt;=0,"н.п.",IF(ISNUMBER($AB37),$AB37/AJ37,IF($AB37="","н.д.",$AB37))),IF(AJ37="","н.д.",AJ37)),IF($C$6="Да",IF(ISNUMBER(AJ37),IF(AJ37&lt;=0,"н.п.",IF(ISNUMBER($AA37),$AA37/AJ37,IF($AA37="","н.д.",$AA37))),IF(AJ37="","н.д.",AJ37)),IF(ISNUMBER(AJ37),IF(AJ37&lt;=0,"н.п.",IF(ISNUMBER($Z37),$Z37/AJ37,IF($Z37="","н.д.",$Z37))),IF(AJ37="","н.д.",AJ37))))</x:f>
        <x:v>н.д.</x:v>
      </x:c>
      <x:c r="P37" s="35" t="str">
        <x:f t="shared" si="5">IF(COLUMN()=17,IF(ISNUMBER(AK37),IF(AK37&lt;=0,"н.п.",IF(ISNUMBER($AB37),$AB37/AK37,IF($AB37="","н.д.",$AB37))),IF(AK37="","н.д.",AK37)),IF($C$6="Да",IF(ISNUMBER(AK37),IF(AK37&lt;=0,"н.п.",IF(ISNUMBER($AA37),$AA37/AK37,IF($AA37="","н.д.",$AA37))),IF(AK37="","н.д.",AK37)),IF(ISNUMBER(AK37),IF(AK37&lt;=0,"н.п.",IF(ISNUMBER($Z37),$Z37/AK37,IF($Z37="","н.д.",$Z37))),IF(AK37="","н.д.",AK37))))</x:f>
        <x:v>н.д.</x:v>
      </x:c>
      <x:c r="Q37" s="35" t="str">
        <x:f t="shared" si="5">IF(COLUMN()=17,IF(ISNUMBER(AL37),IF(AL37&lt;=0,"н.п.",IF(ISNUMBER($AB37),$AB37/AL37,IF($AB37="","н.д.",$AB37))),IF(AL37="","н.д.",AL37)),IF($C$6="Да",IF(ISNUMBER(AL37),IF(AL37&lt;=0,"н.п.",IF(ISNUMBER($AA37),$AA37/AL37,IF($AA37="","н.д.",$AA37))),IF(AL37="","н.д.",AL37)),IF(ISNUMBER(AL37),IF(AL37&lt;=0,"н.п.",IF(ISNUMBER($Z37),$Z37/AL37,IF($Z37="","н.д.",$Z37))),IF(AL37="","н.д.",AL37))))</x:f>
        <x:v>н.п.</x:v>
      </x:c>
      <x:c r="R37" s="35" t="str">
        <x:f t="shared" si="5">IF(COLUMN()=17,IF(ISNUMBER(AM37),IF(AM37&lt;=0,"н.п.",IF(ISNUMBER($AB37),$AB37/AM37,IF($AB37="","н.д.",$AB37))),IF(AM37="","н.д.",AM37)),IF($C$6="Да",IF(ISNUMBER(AM37),IF(AM37&lt;=0,"н.п.",IF(ISNUMBER($AA37),$AA37/AM37,IF($AA37="","н.д.",$AA37))),IF(AM37="","н.д.",AM37)),IF(ISNUMBER(AM37),IF(AM37&lt;=0,"н.п.",IF(ISNUMBER($Z37),$Z37/AM37,IF($Z37="","н.д.",$Z37))),IF(AM37="","н.д.",AM37))))</x:f>
        <x:v>н.п.</x:v>
      </x:c>
      <x:c r="S37" s="35" t="str">
        <x:f t="shared" si="5">IF(COLUMN()=17,IF(ISNUMBER(AN37),IF(AN37&lt;=0,"н.п.",IF(ISNUMBER($AB37),$AB37/AN37,IF($AB37="","н.д.",$AB37))),IF(AN37="","н.д.",AN37)),IF($C$6="Да",IF(ISNUMBER(AN37),IF(AN37&lt;=0,"н.п.",IF(ISNUMBER($AA37),$AA37/AN37,IF($AA37="","н.д.",$AA37))),IF(AN37="","н.д.",AN37)),IF(ISNUMBER(AN37),IF(AN37&lt;=0,"н.п.",IF(ISNUMBER($Z37),$Z37/AN37,IF($Z37="","н.д.",$Z37))),IF(AN37="","н.д.",AN37))))</x:f>
        <x:v>н.д.</x:v>
      </x:c>
      <x:c r="T37" s="3"/>
      <x:c r="U37" s="51" t="n">
        <x:f>Котировки!C29</x:f>
        <x:v>250.893809524</x:v>
      </x:c>
      <x:c r="V37" s="51" t="n">
        <x:f>Котировки!E29</x:f>
        <x:v>445368521</x:v>
      </x:c>
      <x:c r="W37" s="53"/>
      <x:c r="X37" s="31" t="n">
        <x:f t="shared" si="6">IF($C$5="Да",IF(ISNUMBER(W37),IF(ISNUMBER(U37),U37*W37/10^6,IF(U37="","н.д.",U37)),IF(W37="","н.д.",W37)),IF(ISNUMBER(V37),IF(ISNUMBER(U37),U37*V37/10^6,IF(U37="","н.д.",U37)),IF(V37="","н.д.",V37)))</x:f>
        <x:v>111740.20487575959</x:v>
      </x:c>
      <x:c r="Y37" s="3"/>
      <x:c r="Z37" s="31" t="str">
        <x:f>IF(ISNUMBER('Фин.показатели TTM'!E33),'Фин.показатели TTM'!E33,IF('Фин.показатели TTM'!E33="",IF(ISNUMBER('Фин.показатели TTM'!R33),'Фин.показатели TTM'!R33,IF('Фин.показатели TTM'!R33="","н.д.",'Фин.показатели TTM'!R33)),'Фин.показатели TTM'!E33))</x:f>
        <x:v>н.д.</x:v>
      </x:c>
      <x:c r="AA37" s="31" t="str">
        <x:f>IF(ISNUMBER('Фин.показатели TTM'!F33),'Фин.показатели TTM'!F33,IF('Фин.показатели TTM'!F33="","н.д.",'Фин.показатели TTM'!F33))</x:f>
        <x:v>н.д.</x:v>
      </x:c>
      <x:c r="AB37" s="31" t="str">
        <x:f>IF(ISNUMBER('Фин.показатели TTM'!G33),'Фин.показатели TTM'!G33,IF('Фин.показатели TTM'!G33="",IF(ISNUMBER('Фин.показатели TTM'!Y33),'Фин.показатели TTM'!Y33,IF('Фин.показатели TTM'!Y33="","н.д.",'Фин.показатели TTM'!Y33)),'Фин.показатели TTM'!G33))</x:f>
        <x:v>н.п.</x:v>
      </x:c>
      <x:c r="AC37" s="34">
        <x:v>41</x:v>
      </x:c>
      <x:c r="AD37" s="34" t="n">
        <x:f>Котировки!D29*Котировки!F29/10^6</x:f>
        <x:v>675.5035714257</x:v>
      </x:c>
      <x:c r="AE37" s="34"/>
      <x:c r="AF37" s="31" t="str">
        <x:f t="shared" si="7">IF($C$6="Да",IF(ISNUMBER(AA37),IF(ISNUMBER(X37),IF(COUNTIF(AC37:AE37,"н.д.")&gt;0,"н.д.",X37+AA37+SUM(AC37:AE37)),IF(X37="","н.д.",X37)),IF(AA37="","н.д.",AA37)),IF(ISNUMBER(Z37),IF(ISNUMBER(X37),IF(COUNTIF(AC37:AE37,"н.д.")&gt;0,"н.д.",X37+Z37+SUM(AC37:AE37)),IF(X37="","н.д.",X37)),IF(Z37="","н.д.",Z37)))</x:f>
        <x:v>н.д.</x:v>
      </x:c>
      <x:c r="AG37" s="31" t="str">
        <x:f t="shared" si="8">IF(ISNUMBER(AB37),IF(ISNUMBER(X37),IF(COUNTIF(AC37:AE37,"н.д.")&gt;0,"н.д.",X37+AB37+SUM(AC37:AE37)),IF(X37="","н.д.",X37)),IF(AB37="","н.д.",AB37))</x:f>
        <x:v>н.п.</x:v>
      </x:c>
      <x:c r="AH37" s="3"/>
      <x:c r="AI37" s="31" t="str">
        <x:f>IF(ISNUMBER('Фин.показатели TTM'!H33),'Фин.показатели TTM'!H33,IF('Фин.показатели TTM'!H33="","н.д.",'Фин.показатели TTM'!H33))</x:f>
        <x:v>н.д.</x:v>
      </x:c>
      <x:c r="AJ37" s="31" t="str">
        <x:f>IF(ISNUMBER('Фин.показатели TTM'!I33),'Фин.показатели TTM'!I33,IF('Фин.показатели TTM'!I33="",IF(ISNUMBER('Фин.показатели TTM'!Z33),'Фин.показатели TTM'!Z33,IF('Фин.показатели TTM'!Z33="","н.д.",'Фин.показатели TTM'!Z33)),'Фин.показатели TTM'!I33))</x:f>
        <x:v>н.д.</x:v>
      </x:c>
      <x:c r="AK37" s="31" t="str">
        <x:f>IF(ISNUMBER('Фин.показатели TTM'!J33),'Фин.показатели TTM'!J33,IF('Фин.показатели TTM'!J33="","н.д.",'Фин.показатели TTM'!J33))</x:f>
        <x:v>н.д.</x:v>
      </x:c>
      <x:c r="AL37" s="31" t="str">
        <x:f>IF(ISNUMBER('Фин.показатели TTM'!K33),'Фин.показатели TTM'!K33,IF('Фин.показатели TTM'!K33="",IF(ISNUMBER('Фин.показатели TTM'!AI33),'Фин.показатели TTM'!AI33,IF('Фин.показатели TTM'!AI33="","н.д.",'Фин.показатели TTM'!AI33)),'Фин.показатели TTM'!K33))</x:f>
        <x:v>н.п.</x:v>
      </x:c>
      <x:c r="AM37" s="31" t="str">
        <x:f>IF(ISNUMBER('Фин.показатели TTM'!L33),'Фин.показатели TTM'!L33,IF('Фин.показатели TTM'!L33="",IF(ISNUMBER('Фин.показатели TTM'!AK33),'Фин.показатели TTM'!AK33,IF('Фин.показатели TTM'!AK33="","н.д.",'Фин.показатели TTM'!AK33)),'Фин.показатели TTM'!L33))</x:f>
        <x:v>н.п.</x:v>
      </x:c>
      <x:c r="AN37" s="31" t="str">
        <x:f>IF(ISNUMBER('Фин.показатели TTM'!M33),'Фин.показатели TTM'!M33,IF('Фин.показатели TTM'!M33="","н.д.",'Фин.показатели TTM'!M33))</x:f>
        <x:v>н.д.</x:v>
      </x:c>
      <x:c r="AO37" s="31" t="n">
        <x:f>IF(ISNUMBER('Фин.показатели TTM'!N33),'Фин.показатели TTM'!N33,IF('Фин.показатели TTM'!N33="","н.д.",'Фин.показатели TTM'!N33))</x:f>
        <x:v>29686</x:v>
      </x:c>
      <x:c r="AP37" s="31" t="n">
        <x:f>IF(ISNUMBER('Фин.показатели TTM'!O33),'Фин.показатели TTM'!O33,IF('Фин.показатели TTM'!O33="","н.д.",'Фин.показатели TTM'!O33))</x:f>
        <x:v>218353</x:v>
      </x:c>
      <x:c r="AQ37" s="3"/>
      <x:c r="AR37" s="3"/>
    </x:row>
    <x:row r="38">
      <x:c r="B38" s="3">
        <x:v>28</x:v>
      </x:c>
      <x:c r="C38" s="3" t="s">
        <x:v>109</x:v>
      </x:c>
      <x:c r="D38" s="50" t="s">
        <x:v>80</x:v>
      </x:c>
      <x:c r="E38" s="3"/>
      <x:c r="F38" s="35" t="str">
        <x:f t="shared" si="3">IF(COLUMN()=8,IF(ISNUMBER(AJ38),IF(AJ38&lt;=0,"н.п.",IF(ISNUMBER($AG38),$AG38/AJ38,IF($AG38="","н.д.",$AG38))),IF(AJ38="","н.д.",AJ38)),IF(ISNUMBER(AJ38),IF(AJ38&lt;=0,"н.п.",IF(ISNUMBER($AF38),$AF38/AJ38,IF($AF38="","н.д.",$AF38))),IF(AJ38="","н.д.",AJ38)))</x:f>
        <x:v>н.д.</x:v>
      </x:c>
      <x:c r="G38" s="35" t="n">
        <x:f t="shared" si="3">IF(COLUMN()=8,IF(ISNUMBER(AK38),IF(AK38&lt;=0,"н.п.",IF(ISNUMBER($AG38),$AG38/AK38,IF($AG38="","н.д.",$AG38))),IF(AK38="","н.д.",AK38)),IF(ISNUMBER(AK38),IF(AK38&lt;=0,"н.п.",IF(ISNUMBER($AF38),$AF38/AK38,IF($AF38="","н.д.",$AF38))),IF(AK38="","н.д.",AK38)))</x:f>
        <x:v>7.3912814322350835</x:v>
      </x:c>
      <x:c r="H38" s="35" t="str">
        <x:f t="shared" si="3">IF(COLUMN()=8,IF(ISNUMBER(AL38),IF(AL38&lt;=0,"н.п.",IF(ISNUMBER($AG38),$AG38/AL38,IF($AG38="","н.д.",$AG38))),IF(AL38="","н.д.",AL38)),IF(ISNUMBER(AL38),IF(AL38&lt;=0,"н.п.",IF(ISNUMBER($AF38),$AF38/AL38,IF($AF38="","н.д.",$AF38))),IF(AL38="","н.д.",AL38)))</x:f>
        <x:v>н.п.</x:v>
      </x:c>
      <x:c r="I38" s="35" t="str">
        <x:f t="shared" si="3">IF(COLUMN()=8,IF(ISNUMBER(AM38),IF(AM38&lt;=0,"н.п.",IF(ISNUMBER($AG38),$AG38/AM38,IF($AG38="","н.д.",$AG38))),IF(AM38="","н.д.",AM38)),IF(ISNUMBER(AM38),IF(AM38&lt;=0,"н.п.",IF(ISNUMBER($AF38),$AF38/AM38,IF($AF38="","н.д.",$AF38))),IF(AM38="","н.д.",AM38)))</x:f>
        <x:v>н.п.</x:v>
      </x:c>
      <x:c r="J38" s="35" t="str">
        <x:f t="shared" si="3">IF(COLUMN()=8,IF(ISNUMBER(AN38),IF(AN38&lt;=0,"н.п.",IF(ISNUMBER($AG38),$AG38/AN38,IF($AG38="","н.д.",$AG38))),IF(AN38="","н.д.",AN38)),IF(ISNUMBER(AN38),IF(AN38&lt;=0,"н.п.",IF(ISNUMBER($AF38),$AF38/AN38,IF($AF38="","н.д.",$AF38))),IF(AN38="","н.д.",AN38)))</x:f>
        <x:v>н.д.</x:v>
      </x:c>
      <x:c r="K38" s="35" t="n">
        <x:f t="shared" si="0">IF(ISNUMBER(AI38),IF(AI38=0,"н.п.",IF(ISNUMBER(AF38),AF38/AI38,IF(AF38="","н.д.",AF38))),IF(AI38="","н.д.",AI38))</x:f>
        <x:v>1.3563804189433621</x:v>
      </x:c>
      <x:c r="L38" s="35" t="str">
        <x:f t="shared" si="4">IF(ISNUMBER(AO38),IF(AO38&lt;=0,"н.п.",IF(ISNUMBER(X38),X38/AO38,IF(X38="","н.д.",X38))),IF(AO38="","н.д.",AO38))</x:f>
        <x:v>н.п.</x:v>
      </x:c>
      <x:c r="M38" s="35" t="n">
        <x:f t="shared" si="1">IF(ISNUMBER(AP38),IF(AP38=0,"н.п.",IF(ISNUMBER(X38),X38/AP38,IF(X38="","н.д.",X38))),IF(AP38="","н.д.",AP38))</x:f>
        <x:v>0.36999929168033596</x:v>
      </x:c>
      <x:c r="N38" s="35" t="n">
        <x:f t="shared" si="2">IF(ISNUMBER(AI38),IF(AI38=0,"н.п.",IF(ISNUMBER(X38),X38/AI38,IF(X38="","н.д.",X38))),IF(AI38="","н.д.",AI38))</x:f>
        <x:v>0.7684728728001403</x:v>
      </x:c>
      <x:c r="O38" s="35" t="str">
        <x:f t="shared" si="5">IF(COLUMN()=17,IF(ISNUMBER(AJ38),IF(AJ38&lt;=0,"н.п.",IF(ISNUMBER($AB38),$AB38/AJ38,IF($AB38="","н.д.",$AB38))),IF(AJ38="","н.д.",AJ38)),IF($C$6="Да",IF(ISNUMBER(AJ38),IF(AJ38&lt;=0,"н.п.",IF(ISNUMBER($AA38),$AA38/AJ38,IF($AA38="","н.д.",$AA38))),IF(AJ38="","н.д.",AJ38)),IF(ISNUMBER(AJ38),IF(AJ38&lt;=0,"н.п.",IF(ISNUMBER($Z38),$Z38/AJ38,IF($Z38="","н.д.",$Z38))),IF(AJ38="","н.д.",AJ38))))</x:f>
        <x:v>н.д.</x:v>
      </x:c>
      <x:c r="P38" s="35" t="n">
        <x:f t="shared" si="5">IF(COLUMN()=17,IF(ISNUMBER(AK38),IF(AK38&lt;=0,"н.п.",IF(ISNUMBER($AB38),$AB38/AK38,IF($AB38="","н.д.",$AB38))),IF(AK38="","н.д.",AK38)),IF($C$6="Да",IF(ISNUMBER(AK38),IF(AK38&lt;=0,"н.п.",IF(ISNUMBER($AA38),$AA38/AK38,IF($AA38="","н.д.",$AA38))),IF(AK38="","н.д.",AK38)),IF(ISNUMBER(AK38),IF(AK38&lt;=0,"н.п.",IF(ISNUMBER($Z38),$Z38/AK38,IF($Z38="","н.д.",$Z38))),IF(AK38="","н.д.",AK38))))</x:f>
        <x:v>3.1962824642928416</x:v>
      </x:c>
      <x:c r="Q38" s="35" t="str">
        <x:f t="shared" si="5">IF(COLUMN()=17,IF(ISNUMBER(AL38),IF(AL38&lt;=0,"н.п.",IF(ISNUMBER($AB38),$AB38/AL38,IF($AB38="","н.д.",$AB38))),IF(AL38="","н.д.",AL38)),IF($C$6="Да",IF(ISNUMBER(AL38),IF(AL38&lt;=0,"н.п.",IF(ISNUMBER($AA38),$AA38/AL38,IF($AA38="","н.д.",$AA38))),IF(AL38="","н.д.",AL38)),IF(ISNUMBER(AL38),IF(AL38&lt;=0,"н.п.",IF(ISNUMBER($Z38),$Z38/AL38,IF($Z38="","н.д.",$Z38))),IF(AL38="","н.д.",AL38))))</x:f>
        <x:v>н.п.</x:v>
      </x:c>
      <x:c r="R38" s="35" t="str">
        <x:f t="shared" si="5">IF(COLUMN()=17,IF(ISNUMBER(AM38),IF(AM38&lt;=0,"н.п.",IF(ISNUMBER($AB38),$AB38/AM38,IF($AB38="","н.д.",$AB38))),IF(AM38="","н.д.",AM38)),IF($C$6="Да",IF(ISNUMBER(AM38),IF(AM38&lt;=0,"н.п.",IF(ISNUMBER($AA38),$AA38/AM38,IF($AA38="","н.д.",$AA38))),IF(AM38="","н.д.",AM38)),IF(ISNUMBER(AM38),IF(AM38&lt;=0,"н.п.",IF(ISNUMBER($Z38),$Z38/AM38,IF($Z38="","н.д.",$Z38))),IF(AM38="","н.д.",AM38))))</x:f>
        <x:v>н.п.</x:v>
      </x:c>
      <x:c r="S38" s="35" t="str">
        <x:f t="shared" si="5">IF(COLUMN()=17,IF(ISNUMBER(AN38),IF(AN38&lt;=0,"н.п.",IF(ISNUMBER($AB38),$AB38/AN38,IF($AB38="","н.д.",$AB38))),IF(AN38="","н.д.",AN38)),IF($C$6="Да",IF(ISNUMBER(AN38),IF(AN38&lt;=0,"н.п.",IF(ISNUMBER($AA38),$AA38/AN38,IF($AA38="","н.д.",$AA38))),IF(AN38="","н.д.",AN38)),IF(ISNUMBER(AN38),IF(AN38&lt;=0,"н.п.",IF(ISNUMBER($Z38),$Z38/AN38,IF($Z38="","н.д.",$Z38))),IF(AN38="","н.д.",AN38))))</x:f>
        <x:v>н.д.</x:v>
      </x:c>
      <x:c r="T38" s="3"/>
      <x:c r="U38" s="51" t="n">
        <x:f>Котировки!C30</x:f>
        <x:v>19.944285714</x:v>
      </x:c>
      <x:c r="V38" s="51" t="n">
        <x:f>Котировки!E30</x:f>
        <x:v>7364965630</x:v>
      </x:c>
      <x:c r="W38" s="53"/>
      <x:c r="X38" s="31" t="n">
        <x:f t="shared" si="6">IF($C$5="Да",IF(ISNUMBER(W38),IF(ISNUMBER(U38),U38*W38/10^6,IF(U38="","н.д.",U38)),IF(W38="","н.д.",W38)),IF(ISNUMBER(V38),IF(ISNUMBER(U38),U38*V38/10^6,IF(U38="","н.д.",U38)),IF(V38="","н.д.",V38)))</x:f>
        <x:v>146888.97879851</x:v>
      </x:c>
      <x:c r="Y38" s="3"/>
      <x:c r="Z38" s="31" t="n">
        <x:f>IF(ISNUMBER('Фин.показатели TTM'!E34),'Фин.показатели TTM'!E34,IF('Фин.показатели TTM'!E34="",IF(ISNUMBER('Фин.показатели TTM'!R34),'Фин.показатели TTM'!R34,IF('Фин.показатели TTM'!R34="","н.д.",'Фин.показатели TTM'!R34)),'Фин.показатели TTM'!E34))</x:f>
        <x:v>112116</x:v>
      </x:c>
      <x:c r="AA38" s="31" t="str">
        <x:f>IF(ISNUMBER('Фин.показатели TTM'!F34),'Фин.показатели TTM'!F34,IF('Фин.показатели TTM'!F34="","н.д.",'Фин.показатели TTM'!F34))</x:f>
        <x:v>н.д.</x:v>
      </x:c>
      <x:c r="AB38" s="31" t="str">
        <x:f>IF(ISNUMBER('Фин.показатели TTM'!G34),'Фин.показатели TTM'!G34,IF('Фин.показатели TTM'!G34="",IF(ISNUMBER('Фин.показатели TTM'!Y34),'Фин.показатели TTM'!Y34,IF('Фин.показатели TTM'!Y34="","н.д.",'Фин.показатели TTM'!Y34)),'Фин.показатели TTM'!G34))</x:f>
        <x:v>н.п.</x:v>
      </x:c>
      <x:c r="AC38" s="34">
        <x:v>259</x:v>
      </x:c>
      <x:c r="AD38" s="34" t="n">
        <x:f>Котировки!D30*Котировки!F30/10^6</x:f>
        <x:v>0</x:v>
      </x:c>
      <x:c r="AE38" s="34"/>
      <x:c r="AF38" s="31" t="n">
        <x:f t="shared" si="7">IF($C$6="Да",IF(ISNUMBER(AA38),IF(ISNUMBER(X38),IF(COUNTIF(AC38:AE38,"н.д.")&gt;0,"н.д.",X38+AA38+SUM(AC38:AE38)),IF(X38="","н.д.",X38)),IF(AA38="","н.д.",AA38)),IF(ISNUMBER(Z38),IF(ISNUMBER(X38),IF(COUNTIF(AC38:AE38,"н.д.")&gt;0,"н.д.",X38+Z38+SUM(AC38:AE38)),IF(X38="","н.д.",X38)),IF(Z38="","н.д.",Z38)))</x:f>
        <x:v>259263.97879851</x:v>
      </x:c>
      <x:c r="AG38" s="31" t="str">
        <x:f t="shared" si="8">IF(ISNUMBER(AB38),IF(ISNUMBER(X38),IF(COUNTIF(AC38:AE38,"н.д.")&gt;0,"н.д.",X38+AB38+SUM(AC38:AE38)),IF(X38="","н.д.",X38)),IF(AB38="","н.д.",AB38))</x:f>
        <x:v>н.п.</x:v>
      </x:c>
      <x:c r="AH38" s="3"/>
      <x:c r="AI38" s="31" t="n">
        <x:f>IF(ISNUMBER('Фин.показатели TTM'!H34),'Фин.показатели TTM'!H34,IF('Фин.показатели TTM'!H34="","н.д.",'Фин.показатели TTM'!H34))</x:f>
        <x:v>191144</x:v>
      </x:c>
      <x:c r="AJ38" s="31" t="str">
        <x:f>IF(ISNUMBER('Фин.показатели TTM'!I34),'Фин.показатели TTM'!I34,IF('Фин.показатели TTM'!I34="",IF(ISNUMBER('Фин.показатели TTM'!Z34),'Фин.показатели TTM'!Z34,IF('Фин.показатели TTM'!Z34="","н.д.",'Фин.показатели TTM'!Z34)),'Фин.показатели TTM'!I34))</x:f>
        <x:v>н.д.</x:v>
      </x:c>
      <x:c r="AK38" s="31" t="n">
        <x:f>IF(ISNUMBER('Фин.показатели TTM'!J34),'Фин.показатели TTM'!J34,IF('Фин.показатели TTM'!J34="","н.д.",'Фин.показатели TTM'!J34))</x:f>
        <x:v>35077</x:v>
      </x:c>
      <x:c r="AL38" s="31" t="str">
        <x:f>IF(ISNUMBER('Фин.показатели TTM'!K34),'Фин.показатели TTM'!K34,IF('Фин.показатели TTM'!K34="",IF(ISNUMBER('Фин.показатели TTM'!AI34),'Фин.показатели TTM'!AI34,IF('Фин.показатели TTM'!AI34="","н.д.",'Фин.показатели TTM'!AI34)),'Фин.показатели TTM'!K34))</x:f>
        <x:v>н.п.</x:v>
      </x:c>
      <x:c r="AM38" s="31" t="str">
        <x:f>IF(ISNUMBER('Фин.показатели TTM'!L34),'Фин.показатели TTM'!L34,IF('Фин.показатели TTM'!L34="",IF(ISNUMBER('Фин.показатели TTM'!AK34),'Фин.показатели TTM'!AK34,IF('Фин.показатели TTM'!AK34="","н.д.",'Фин.показатели TTM'!AK34)),'Фин.показатели TTM'!L34))</x:f>
        <x:v>н.п.</x:v>
      </x:c>
      <x:c r="AN38" s="31" t="str">
        <x:f>IF(ISNUMBER('Фин.показатели TTM'!M34),'Фин.показатели TTM'!M34,IF('Фин.показатели TTM'!M34="","н.д.",'Фин.показатели TTM'!M34))</x:f>
        <x:v>н.д.</x:v>
      </x:c>
      <x:c r="AO38" s="31" t="n">
        <x:f>IF(ISNUMBER('Фин.показатели TTM'!N34),'Фин.показатели TTM'!N34,IF('Фин.показатели TTM'!N34="","н.д.",'Фин.показатели TTM'!N34))</x:f>
        <x:v>-13913</x:v>
      </x:c>
      <x:c r="AP38" s="31" t="n">
        <x:f>IF(ISNUMBER('Фин.показатели TTM'!O34),'Фин.показатели TTM'!O34,IF('Фин.показатели TTM'!O34="","н.д.",'Фин.показатели TTM'!O34))</x:f>
        <x:v>396998</x:v>
      </x:c>
      <x:c r="AQ38" s="3"/>
      <x:c r="AR38" s="3"/>
    </x:row>
    <x:row r="39">
      <x:c r="B39" s="3">
        <x:v>29</x:v>
      </x:c>
      <x:c r="C39" s="3" t="s">
        <x:v>110</x:v>
      </x:c>
      <x:c r="D39" s="50" t="s">
        <x:v>74</x:v>
      </x:c>
      <x:c r="E39" s="3"/>
      <x:c r="F39" s="35" t="str">
        <x:f t="shared" si="3">IF(COLUMN()=8,IF(ISNUMBER(AJ39),IF(AJ39&lt;=0,"н.п.",IF(ISNUMBER($AG39),$AG39/AJ39,IF($AG39="","н.д.",$AG39))),IF(AJ39="","н.д.",AJ39)),IF(ISNUMBER(AJ39),IF(AJ39&lt;=0,"н.п.",IF(ISNUMBER($AF39),$AF39/AJ39,IF($AF39="","н.д.",$AF39))),IF(AJ39="","н.д.",AJ39)))</x:f>
        <x:v>н.д.</x:v>
      </x:c>
      <x:c r="G39" s="35" t="str">
        <x:f t="shared" si="3">IF(COLUMN()=8,IF(ISNUMBER(AK39),IF(AK39&lt;=0,"н.п.",IF(ISNUMBER($AG39),$AG39/AK39,IF($AG39="","н.д.",$AG39))),IF(AK39="","н.д.",AK39)),IF(ISNUMBER(AK39),IF(AK39&lt;=0,"н.п.",IF(ISNUMBER($AF39),$AF39/AK39,IF($AF39="","н.д.",$AF39))),IF(AK39="","н.д.",AK39)))</x:f>
        <x:v>н.д.</x:v>
      </x:c>
      <x:c r="H39" s="35" t="str">
        <x:f t="shared" si="3">IF(COLUMN()=8,IF(ISNUMBER(AL39),IF(AL39&lt;=0,"н.п.",IF(ISNUMBER($AG39),$AG39/AL39,IF($AG39="","н.д.",$AG39))),IF(AL39="","н.д.",AL39)),IF(ISNUMBER(AL39),IF(AL39&lt;=0,"н.п.",IF(ISNUMBER($AF39),$AF39/AL39,IF($AF39="","н.д.",$AF39))),IF(AL39="","н.д.",AL39)))</x:f>
        <x:v>н.п.</x:v>
      </x:c>
      <x:c r="I39" s="35" t="str">
        <x:f t="shared" si="3">IF(COLUMN()=8,IF(ISNUMBER(AM39),IF(AM39&lt;=0,"н.п.",IF(ISNUMBER($AG39),$AG39/AM39,IF($AG39="","н.д.",$AG39))),IF(AM39="","н.д.",AM39)),IF(ISNUMBER(AM39),IF(AM39&lt;=0,"н.п.",IF(ISNUMBER($AF39),$AF39/AM39,IF($AF39="","н.д.",$AF39))),IF(AM39="","н.д.",AM39)))</x:f>
        <x:v>н.д.</x:v>
      </x:c>
      <x:c r="J39" s="35" t="str">
        <x:f t="shared" si="3">IF(COLUMN()=8,IF(ISNUMBER(AN39),IF(AN39&lt;=0,"н.п.",IF(ISNUMBER($AG39),$AG39/AN39,IF($AG39="","н.д.",$AG39))),IF(AN39="","н.д.",AN39)),IF(ISNUMBER(AN39),IF(AN39&lt;=0,"н.п.",IF(ISNUMBER($AF39),$AF39/AN39,IF($AF39="","н.д.",$AF39))),IF(AN39="","н.д.",AN39)))</x:f>
        <x:v>н.д.</x:v>
      </x:c>
      <x:c r="K39" s="35" t="str">
        <x:f t="shared" si="0">IF(ISNUMBER(AI39),IF(AI39=0,"н.п.",IF(ISNUMBER(AF39),AF39/AI39,IF(AF39="","н.д.",AF39))),IF(AI39="","н.д.",AI39))</x:f>
        <x:v>н.д.</x:v>
      </x:c>
      <x:c r="L39" s="35" t="n">
        <x:f t="shared" si="4">IF(ISNUMBER(AO39),IF(AO39&lt;=0,"н.п.",IF(ISNUMBER(X39),X39/AO39,IF(X39="","н.д.",X39))),IF(AO39="","н.д.",AO39))</x:f>
        <x:v>13.484633035036783</x:v>
      </x:c>
      <x:c r="M39" s="35" t="n">
        <x:f t="shared" si="1">IF(ISNUMBER(AP39),IF(AP39=0,"н.п.",IF(ISNUMBER(X39),X39/AP39,IF(X39="","н.д.",X39))),IF(AP39="","н.д.",AP39))</x:f>
        <x:v>13.418513886404076</x:v>
      </x:c>
      <x:c r="N39" s="35" t="n">
        <x:f t="shared" si="2">IF(ISNUMBER(AI39),IF(AI39=0,"н.п.",IF(ISNUMBER(X39),X39/AI39,IF(X39="","н.д.",X39))),IF(AI39="","н.д.",AI39))</x:f>
        <x:v>2.9728041325883745</x:v>
      </x:c>
      <x:c r="O39" s="35" t="str">
        <x:f t="shared" si="5">IF(COLUMN()=17,IF(ISNUMBER(AJ39),IF(AJ39&lt;=0,"н.п.",IF(ISNUMBER($AB39),$AB39/AJ39,IF($AB39="","н.д.",$AB39))),IF(AJ39="","н.д.",AJ39)),IF($C$6="Да",IF(ISNUMBER(AJ39),IF(AJ39&lt;=0,"н.п.",IF(ISNUMBER($AA39),$AA39/AJ39,IF($AA39="","н.д.",$AA39))),IF(AJ39="","н.д.",AJ39)),IF(ISNUMBER(AJ39),IF(AJ39&lt;=0,"н.п.",IF(ISNUMBER($Z39),$Z39/AJ39,IF($Z39="","н.д.",$Z39))),IF(AJ39="","н.д.",AJ39))))</x:f>
        <x:v>н.д.</x:v>
      </x:c>
      <x:c r="P39" s="35" t="str">
        <x:f t="shared" si="5">IF(COLUMN()=17,IF(ISNUMBER(AK39),IF(AK39&lt;=0,"н.п.",IF(ISNUMBER($AB39),$AB39/AK39,IF($AB39="","н.д.",$AB39))),IF(AK39="","н.д.",AK39)),IF($C$6="Да",IF(ISNUMBER(AK39),IF(AK39&lt;=0,"н.п.",IF(ISNUMBER($AA39),$AA39/AK39,IF($AA39="","н.д.",$AA39))),IF(AK39="","н.д.",AK39)),IF(ISNUMBER(AK39),IF(AK39&lt;=0,"н.п.",IF(ISNUMBER($Z39),$Z39/AK39,IF($Z39="","н.д.",$Z39))),IF(AK39="","н.д.",AK39))))</x:f>
        <x:v>н.д.</x:v>
      </x:c>
      <x:c r="Q39" s="35" t="str">
        <x:f t="shared" si="5">IF(COLUMN()=17,IF(ISNUMBER(AL39),IF(AL39&lt;=0,"н.п.",IF(ISNUMBER($AB39),$AB39/AL39,IF($AB39="","н.д.",$AB39))),IF(AL39="","н.д.",AL39)),IF($C$6="Да",IF(ISNUMBER(AL39),IF(AL39&lt;=0,"н.п.",IF(ISNUMBER($AA39),$AA39/AL39,IF($AA39="","н.д.",$AA39))),IF(AL39="","н.д.",AL39)),IF(ISNUMBER(AL39),IF(AL39&lt;=0,"н.п.",IF(ISNUMBER($Z39),$Z39/AL39,IF($Z39="","н.д.",$Z39))),IF(AL39="","н.д.",AL39))))</x:f>
        <x:v>н.п.</x:v>
      </x:c>
      <x:c r="R39" s="35" t="str">
        <x:f t="shared" si="5">IF(COLUMN()=17,IF(ISNUMBER(AM39),IF(AM39&lt;=0,"н.п.",IF(ISNUMBER($AB39),$AB39/AM39,IF($AB39="","н.д.",$AB39))),IF(AM39="","н.д.",AM39)),IF($C$6="Да",IF(ISNUMBER(AM39),IF(AM39&lt;=0,"н.п.",IF(ISNUMBER($AA39),$AA39/AM39,IF($AA39="","н.д.",$AA39))),IF(AM39="","н.д.",AM39)),IF(ISNUMBER(AM39),IF(AM39&lt;=0,"н.п.",IF(ISNUMBER($Z39),$Z39/AM39,IF($Z39="","н.д.",$Z39))),IF(AM39="","н.д.",AM39))))</x:f>
        <x:v>н.д.</x:v>
      </x:c>
      <x:c r="S39" s="35" t="str">
        <x:f t="shared" si="5">IF(COLUMN()=17,IF(ISNUMBER(AN39),IF(AN39&lt;=0,"н.п.",IF(ISNUMBER($AB39),$AB39/AN39,IF($AB39="","н.д.",$AB39))),IF(AN39="","н.д.",AN39)),IF($C$6="Да",IF(ISNUMBER(AN39),IF(AN39&lt;=0,"н.п.",IF(ISNUMBER($AA39),$AA39/AN39,IF($AA39="","н.д.",$AA39))),IF(AN39="","н.д.",AN39)),IF(ISNUMBER(AN39),IF(AN39&lt;=0,"н.п.",IF(ISNUMBER($Z39),$Z39/AN39,IF($Z39="","н.д.",$Z39))),IF(AN39="","н.д.",AN39))))</x:f>
        <x:v>н.д.</x:v>
      </x:c>
      <x:c r="T39" s="3"/>
      <x:c r="U39" s="51" t="n">
        <x:f>Котировки!C31</x:f>
        <x:v>634.20952381</x:v>
      </x:c>
      <x:c r="V39" s="51" t="n">
        <x:f>Котировки!E31</x:f>
        <x:v>77670490</x:v>
      </x:c>
      <x:c r="W39" s="53"/>
      <x:c r="X39" s="31" t="n">
        <x:f t="shared" si="6">IF($C$5="Да",IF(ISNUMBER(W39),IF(ISNUMBER(U39),U39*W39/10^6,IF(U39="","н.д.",U39)),IF(W39="","н.д.",W39)),IF(ISNUMBER(V39),IF(ISNUMBER(U39),U39*V39/10^6,IF(U39="","н.д.",U39)),IF(V39="","н.д.",V39)))</x:f>
        <x:v>49259.364476989365</x:v>
      </x:c>
      <x:c r="Y39" s="3"/>
      <x:c r="Z39" s="31" t="str">
        <x:f>IF(ISNUMBER('Фин.показатели TTM'!E35),'Фин.показатели TTM'!E35,IF('Фин.показатели TTM'!E35="",IF(ISNUMBER('Фин.показатели TTM'!R35),'Фин.показатели TTM'!R35,IF('Фин.показатели TTM'!R35="","н.д.",'Фин.показатели TTM'!R35)),'Фин.показатели TTM'!E35))</x:f>
        <x:v>н.д.</x:v>
      </x:c>
      <x:c r="AA39" s="31" t="str">
        <x:f>IF(ISNUMBER('Фин.показатели TTM'!F35),'Фин.показатели TTM'!F35,IF('Фин.показатели TTM'!F35="","н.д.",'Фин.показатели TTM'!F35))</x:f>
        <x:v>н.д.</x:v>
      </x:c>
      <x:c r="AB39" s="31" t="str">
        <x:f>IF(ISNUMBER('Фин.показатели TTM'!G35),'Фин.показатели TTM'!G35,IF('Фин.показатели TTM'!G35="",IF(ISNUMBER('Фин.показатели TTM'!Y35),'Фин.показатели TTM'!Y35,IF('Фин.показатели TTM'!Y35="","н.д.",'Фин.показатели TTM'!Y35)),'Фин.показатели TTM'!G35))</x:f>
        <x:v>н.п.</x:v>
      </x:c>
      <x:c r="AC39" s="34">
        <x:v>376</x:v>
      </x:c>
      <x:c r="AD39" s="34" t="n">
        <x:f>Котировки!D31*Котировки!F31/10^6</x:f>
        <x:v>0</x:v>
      </x:c>
      <x:c r="AE39" s="34"/>
      <x:c r="AF39" s="31" t="str">
        <x:f t="shared" si="7">IF($C$6="Да",IF(ISNUMBER(AA39),IF(ISNUMBER(X39),IF(COUNTIF(AC39:AE39,"н.д.")&gt;0,"н.д.",X39+AA39+SUM(AC39:AE39)),IF(X39="","н.д.",X39)),IF(AA39="","н.д.",AA39)),IF(ISNUMBER(Z39),IF(ISNUMBER(X39),IF(COUNTIF(AC39:AE39,"н.д.")&gt;0,"н.д.",X39+Z39+SUM(AC39:AE39)),IF(X39="","н.д.",X39)),IF(Z39="","н.д.",Z39)))</x:f>
        <x:v>н.д.</x:v>
      </x:c>
      <x:c r="AG39" s="31" t="str">
        <x:f t="shared" si="8">IF(ISNUMBER(AB39),IF(ISNUMBER(X39),IF(COUNTIF(AC39:AE39,"н.д.")&gt;0,"н.д.",X39+AB39+SUM(AC39:AE39)),IF(X39="","н.д.",X39)),IF(AB39="","н.д.",AB39))</x:f>
        <x:v>н.п.</x:v>
      </x:c>
      <x:c r="AH39" s="3"/>
      <x:c r="AI39" s="31" t="n">
        <x:f>IF(ISNUMBER('Фин.показатели TTM'!H35),'Фин.показатели TTM'!H35,IF('Фин.показатели TTM'!H35="","н.д.",'Фин.показатели TTM'!H35))</x:f>
        <x:v>16570</x:v>
      </x:c>
      <x:c r="AJ39" s="31" t="str">
        <x:f>IF(ISNUMBER('Фин.показатели TTM'!I35),'Фин.показатели TTM'!I35,IF('Фин.показатели TTM'!I35="",IF(ISNUMBER('Фин.показатели TTM'!Z35),'Фин.показатели TTM'!Z35,IF('Фин.показатели TTM'!Z35="","н.д.",'Фин.показатели TTM'!Z35)),'Фин.показатели TTM'!I35))</x:f>
        <x:v>н.д.</x:v>
      </x:c>
      <x:c r="AK39" s="31" t="n">
        <x:f>IF(ISNUMBER('Фин.показатели TTM'!J35),'Фин.показатели TTM'!J35,IF('Фин.показатели TTM'!J35="","н.д.",'Фин.показатели TTM'!J35))</x:f>
        <x:v>4673</x:v>
      </x:c>
      <x:c r="AL39" s="31" t="str">
        <x:f>IF(ISNUMBER('Фин.показатели TTM'!K35),'Фин.показатели TTM'!K35,IF('Фин.показатели TTM'!K35="",IF(ISNUMBER('Фин.показатели TTM'!AI35),'Фин.показатели TTM'!AI35,IF('Фин.показатели TTM'!AI35="","н.д.",'Фин.показатели TTM'!AI35)),'Фин.показатели TTM'!K35))</x:f>
        <x:v>н.п.</x:v>
      </x:c>
      <x:c r="AM39" s="31" t="str">
        <x:f>IF(ISNUMBER('Фин.показатели TTM'!L35),'Фин.показатели TTM'!L35,IF('Фин.показатели TTM'!L35="",IF(ISNUMBER('Фин.показатели TTM'!AK35),'Фин.показатели TTM'!AK35,IF('Фин.показатели TTM'!AK35="","н.д.",'Фин.показатели TTM'!AK35)),'Фин.показатели TTM'!L35))</x:f>
        <x:v>н.д.</x:v>
      </x:c>
      <x:c r="AN39" s="31" t="str">
        <x:f>IF(ISNUMBER('Фин.показатели TTM'!M35),'Фин.показатели TTM'!M35,IF('Фин.показатели TTM'!M35="","н.д.",'Фин.показатели TTM'!M35))</x:f>
        <x:v>н.д.</x:v>
      </x:c>
      <x:c r="AO39" s="31" t="n">
        <x:f>IF(ISNUMBER('Фин.показатели TTM'!N35),'Фин.показатели TTM'!N35,IF('Фин.показатели TTM'!N35="","н.д.",'Фин.показатели TTM'!N35))</x:f>
        <x:v>3653</x:v>
      </x:c>
      <x:c r="AP39" s="31" t="n">
        <x:f>IF(ISNUMBER('Фин.показатели TTM'!O35),'Фин.показатели TTM'!O35,IF('Фин.показатели TTM'!O35="","н.д.",'Фин.показатели TTM'!O35))</x:f>
        <x:v>3671</x:v>
      </x:c>
      <x:c r="AQ39" s="3"/>
      <x:c r="AR39" s="3"/>
    </x:row>
    <x:row r="40">
      <x:c r="B40" s="3">
        <x:v>30</x:v>
      </x:c>
      <x:c r="C40" s="3" t="s">
        <x:v>111</x:v>
      </x:c>
      <x:c r="D40" s="50" t="s">
        <x:v>112</x:v>
      </x:c>
      <x:c r="E40" s="3"/>
      <x:c r="F40" s="35" t="str">
        <x:f t="shared" si="3">IF(COLUMN()=8,IF(ISNUMBER(AJ40),IF(AJ40&lt;=0,"н.п.",IF(ISNUMBER($AG40),$AG40/AJ40,IF($AG40="","н.д.",$AG40))),IF(AJ40="","н.д.",AJ40)),IF(ISNUMBER(AJ40),IF(AJ40&lt;=0,"н.п.",IF(ISNUMBER($AF40),$AF40/AJ40,IF($AF40="","н.д.",$AF40))),IF(AJ40="","н.д.",AJ40)))</x:f>
        <x:v>н.д.</x:v>
      </x:c>
      <x:c r="G40" s="35" t="str">
        <x:f t="shared" si="3">IF(COLUMN()=8,IF(ISNUMBER(AK40),IF(AK40&lt;=0,"н.п.",IF(ISNUMBER($AG40),$AG40/AK40,IF($AG40="","н.д.",$AG40))),IF(AK40="","н.д.",AK40)),IF(ISNUMBER(AK40),IF(AK40&lt;=0,"н.п.",IF(ISNUMBER($AF40),$AF40/AK40,IF($AF40="","н.д.",$AF40))),IF(AK40="","н.д.",AK40)))</x:f>
        <x:v>н.д.</x:v>
      </x:c>
      <x:c r="H40" s="35" t="str">
        <x:f t="shared" si="3">IF(COLUMN()=8,IF(ISNUMBER(AL40),IF(AL40&lt;=0,"н.п.",IF(ISNUMBER($AG40),$AG40/AL40,IF($AG40="","н.д.",$AG40))),IF(AL40="","н.д.",AL40)),IF(ISNUMBER(AL40),IF(AL40&lt;=0,"н.п.",IF(ISNUMBER($AF40),$AF40/AL40,IF($AF40="","н.д.",$AF40))),IF(AL40="","н.д.",AL40)))</x:f>
        <x:v>н.п.</x:v>
      </x:c>
      <x:c r="I40" s="35" t="str">
        <x:f t="shared" si="3">IF(COLUMN()=8,IF(ISNUMBER(AM40),IF(AM40&lt;=0,"н.п.",IF(ISNUMBER($AG40),$AG40/AM40,IF($AG40="","н.д.",$AG40))),IF(AM40="","н.д.",AM40)),IF(ISNUMBER(AM40),IF(AM40&lt;=0,"н.п.",IF(ISNUMBER($AF40),$AF40/AM40,IF($AF40="","н.д.",$AF40))),IF(AM40="","н.д.",AM40)))</x:f>
        <x:v>н.п.</x:v>
      </x:c>
      <x:c r="J40" s="35" t="str">
        <x:f t="shared" si="3">IF(COLUMN()=8,IF(ISNUMBER(AN40),IF(AN40&lt;=0,"н.п.",IF(ISNUMBER($AG40),$AG40/AN40,IF($AG40="","н.д.",$AG40))),IF(AN40="","н.д.",AN40)),IF(ISNUMBER(AN40),IF(AN40&lt;=0,"н.п.",IF(ISNUMBER($AF40),$AF40/AN40,IF($AF40="","н.д.",$AF40))),IF(AN40="","н.д.",AN40)))</x:f>
        <x:v>н.д.</x:v>
      </x:c>
      <x:c r="K40" s="35" t="n">
        <x:f t="shared" si="0">IF(ISNUMBER(AI40),IF(AI40=0,"н.п.",IF(ISNUMBER(AF40),AF40/AI40,IF(AF40="","н.д.",AF40))),IF(AI40="","н.д.",AI40))</x:f>
        <x:v>1.2861302420993255</x:v>
      </x:c>
      <x:c r="L40" s="35" t="str">
        <x:f t="shared" si="4">IF(ISNUMBER(AO40),IF(AO40&lt;=0,"н.п.",IF(ISNUMBER(X40),X40/AO40,IF(X40="","н.д.",X40))),IF(AO40="","н.д.",AO40))</x:f>
        <x:v>н.п.</x:v>
      </x:c>
      <x:c r="M40" s="35" t="n">
        <x:f t="shared" si="1">IF(ISNUMBER(AP40),IF(AP40=0,"н.п.",IF(ISNUMBER(X40),X40/AP40,IF(X40="","н.д.",X40))),IF(AP40="","н.д.",AP40))</x:f>
        <x:v>-0.3484760919259396</x:v>
      </x:c>
      <x:c r="N40" s="35" t="n">
        <x:f t="shared" si="2">IF(ISNUMBER(AI40),IF(AI40=0,"н.п.",IF(ISNUMBER(X40),X40/AI40,IF(X40="","н.д.",X40))),IF(AI40="","н.д.",AI40))</x:f>
        <x:v>0.05230741083864653</x:v>
      </x:c>
      <x:c r="O40" s="35" t="str">
        <x:f t="shared" si="5">IF(COLUMN()=17,IF(ISNUMBER(AJ40),IF(AJ40&lt;=0,"н.п.",IF(ISNUMBER($AB40),$AB40/AJ40,IF($AB40="","н.д.",$AB40))),IF(AJ40="","н.д.",AJ40)),IF($C$6="Да",IF(ISNUMBER(AJ40),IF(AJ40&lt;=0,"н.п.",IF(ISNUMBER($AA40),$AA40/AJ40,IF($AA40="","н.д.",$AA40))),IF(AJ40="","н.д.",AJ40)),IF(ISNUMBER(AJ40),IF(AJ40&lt;=0,"н.п.",IF(ISNUMBER($Z40),$Z40/AJ40,IF($Z40="","н.д.",$Z40))),IF(AJ40="","н.д.",AJ40))))</x:f>
        <x:v>н.д.</x:v>
      </x:c>
      <x:c r="P40" s="35" t="str">
        <x:f t="shared" si="5">IF(COLUMN()=17,IF(ISNUMBER(AK40),IF(AK40&lt;=0,"н.п.",IF(ISNUMBER($AB40),$AB40/AK40,IF($AB40="","н.д.",$AB40))),IF(AK40="","н.д.",AK40)),IF($C$6="Да",IF(ISNUMBER(AK40),IF(AK40&lt;=0,"н.п.",IF(ISNUMBER($AA40),$AA40/AK40,IF($AA40="","н.д.",$AA40))),IF(AK40="","н.д.",AK40)),IF(ISNUMBER(AK40),IF(AK40&lt;=0,"н.п.",IF(ISNUMBER($Z40),$Z40/AK40,IF($Z40="","н.д.",$Z40))),IF(AK40="","н.д.",AK40))))</x:f>
        <x:v>н.д.</x:v>
      </x:c>
      <x:c r="Q40" s="35" t="str">
        <x:f t="shared" si="5">IF(COLUMN()=17,IF(ISNUMBER(AL40),IF(AL40&lt;=0,"н.п.",IF(ISNUMBER($AB40),$AB40/AL40,IF($AB40="","н.д.",$AB40))),IF(AL40="","н.д.",AL40)),IF($C$6="Да",IF(ISNUMBER(AL40),IF(AL40&lt;=0,"н.п.",IF(ISNUMBER($AA40),$AA40/AL40,IF($AA40="","н.д.",$AA40))),IF(AL40="","н.д.",AL40)),IF(ISNUMBER(AL40),IF(AL40&lt;=0,"н.п.",IF(ISNUMBER($Z40),$Z40/AL40,IF($Z40="","н.д.",$Z40))),IF(AL40="","н.д.",AL40))))</x:f>
        <x:v>н.п.</x:v>
      </x:c>
      <x:c r="R40" s="35" t="str">
        <x:f t="shared" si="5">IF(COLUMN()=17,IF(ISNUMBER(AM40),IF(AM40&lt;=0,"н.п.",IF(ISNUMBER($AB40),$AB40/AM40,IF($AB40="","н.д.",$AB40))),IF(AM40="","н.д.",AM40)),IF($C$6="Да",IF(ISNUMBER(AM40),IF(AM40&lt;=0,"н.п.",IF(ISNUMBER($AA40),$AA40/AM40,IF($AA40="","н.д.",$AA40))),IF(AM40="","н.д.",AM40)),IF(ISNUMBER(AM40),IF(AM40&lt;=0,"н.п.",IF(ISNUMBER($Z40),$Z40/AM40,IF($Z40="","н.д.",$Z40))),IF(AM40="","н.д.",AM40))))</x:f>
        <x:v>н.п.</x:v>
      </x:c>
      <x:c r="S40" s="35" t="str">
        <x:f t="shared" si="5">IF(COLUMN()=17,IF(ISNUMBER(AN40),IF(AN40&lt;=0,"н.п.",IF(ISNUMBER($AB40),$AB40/AN40,IF($AB40="","н.д.",$AB40))),IF(AN40="","н.д.",AN40)),IF($C$6="Да",IF(ISNUMBER(AN40),IF(AN40&lt;=0,"н.п.",IF(ISNUMBER($AA40),$AA40/AN40,IF($AA40="","н.д.",$AA40))),IF(AN40="","н.д.",AN40)),IF(ISNUMBER(AN40),IF(AN40&lt;=0,"н.п.",IF(ISNUMBER($Z40),$Z40/AN40,IF($Z40="","н.д.",$Z40))),IF(AN40="","н.д.",AN40))))</x:f>
        <x:v>н.д.</x:v>
      </x:c>
      <x:c r="T40" s="3"/>
      <x:c r="U40" s="52" t="n">
        <x:f>Котировки!C32</x:f>
        <x:v>7.432904762</x:v>
      </x:c>
      <x:c r="V40" s="51" t="n">
        <x:f>Котировки!E32</x:f>
        <x:v>9650000000</x:v>
      </x:c>
      <x:c r="W40" s="53"/>
      <x:c r="X40" s="31" t="n">
        <x:f t="shared" si="6">IF($C$5="Да",IF(ISNUMBER(W40),IF(ISNUMBER(U40),U40*W40/10^6,IF(U40="","н.д.",U40)),IF(W40="","н.д.",W40)),IF(ISNUMBER(V40),IF(ISNUMBER(U40),U40*V40/10^6,IF(U40="","н.д.",U40)),IF(V40="","н.д.",V40)))</x:f>
        <x:v>71727.5309533</x:v>
      </x:c>
      <x:c r="Y40" s="3"/>
      <x:c r="Z40" s="31" t="n">
        <x:f>IF(ISNUMBER('Фин.показатели TTM'!E36),'Фин.показатели TTM'!E36,IF('Фин.показатели TTM'!E36="",IF(ISNUMBER('Фин.показатели TTM'!R36),'Фин.показатели TTM'!R36,IF('Фин.показатели TTM'!R36="","н.д.",'Фин.показатели TTM'!R36)),'Фин.показатели TTM'!E36))</x:f>
        <x:v>1639791</x:v>
      </x:c>
      <x:c r="AA40" s="31" t="str">
        <x:f>IF(ISNUMBER('Фин.показатели TTM'!F36),'Фин.показатели TTM'!F36,IF('Фин.показатели TTM'!F36="","н.д.",'Фин.показатели TTM'!F36))</x:f>
        <x:v>н.д.</x:v>
      </x:c>
      <x:c r="AB40" s="31" t="str">
        <x:f>IF(ISNUMBER('Фин.показатели TTM'!G36),'Фин.показатели TTM'!G36,IF('Фин.показатели TTM'!G36="",IF(ISNUMBER('Фин.показатели TTM'!Y36),'Фин.показатели TTM'!Y36,IF('Фин.показатели TTM'!Y36="","н.д.",'Фин.показатели TTM'!Y36)),'Фин.показатели TTM'!G36))</x:f>
        <x:v>н.п.</x:v>
      </x:c>
      <x:c r="AC40" s="34">
        <x:v>52112</x:v>
      </x:c>
      <x:c r="AD40" s="34" t="n">
        <x:f>Котировки!D32*Котировки!F32/10^6</x:f>
        <x:v>0</x:v>
      </x:c>
      <x:c r="AE40" s="34"/>
      <x:c r="AF40" s="31" t="n">
        <x:f t="shared" si="7">IF($C$6="Да",IF(ISNUMBER(AA40),IF(ISNUMBER(X40),IF(COUNTIF(AC40:AE40,"н.д.")&gt;0,"н.д.",X40+AA40+SUM(AC40:AE40)),IF(X40="","н.д.",X40)),IF(AA40="","н.д.",AA40)),IF(ISNUMBER(Z40),IF(ISNUMBER(X40),IF(COUNTIF(AC40:AE40,"н.д.")&gt;0,"н.д.",X40+Z40+SUM(AC40:AE40)),IF(X40="","н.д.",X40)),IF(Z40="","н.д.",Z40)))</x:f>
        <x:v>1763630.5309533</x:v>
      </x:c>
      <x:c r="AG40" s="31" t="str">
        <x:f t="shared" si="8">IF(ISNUMBER(AB40),IF(ISNUMBER(X40),IF(COUNTIF(AC40:AE40,"н.д.")&gt;0,"н.д.",X40+AB40+SUM(AC40:AE40)),IF(X40="","н.д.",X40)),IF(AB40="","н.д.",AB40))</x:f>
        <x:v>н.п.</x:v>
      </x:c>
      <x:c r="AH40" s="3"/>
      <x:c r="AI40" s="31" t="n">
        <x:f>IF(ISNUMBER('Фин.показатели TTM'!H36),'Фин.показатели TTM'!H36,IF('Фин.показатели TTM'!H36="","н.д.",'Фин.показатели TTM'!H36))</x:f>
        <x:v>1371269</x:v>
      </x:c>
      <x:c r="AJ40" s="31" t="str">
        <x:f>IF(ISNUMBER('Фин.показатели TTM'!I36),'Фин.показатели TTM'!I36,IF('Фин.показатели TTM'!I36="",IF(ISNUMBER('Фин.показатели TTM'!Z36),'Фин.показатели TTM'!Z36,IF('Фин.показатели TTM'!Z36="","н.д.",'Фин.показатели TTM'!Z36)),'Фин.показатели TTM'!I36))</x:f>
        <x:v>н.д.</x:v>
      </x:c>
      <x:c r="AK40" s="31" t="str">
        <x:f>IF(ISNUMBER('Фин.показатели TTM'!J36),'Фин.показатели TTM'!J36,IF('Фин.показатели TTM'!J36="","н.д.",'Фин.показатели TTM'!J36))</x:f>
        <x:v>н.д.</x:v>
      </x:c>
      <x:c r="AL40" s="31" t="str">
        <x:f>IF(ISNUMBER('Фин.показатели TTM'!K36),'Фин.показатели TTM'!K36,IF('Фин.показатели TTM'!K36="",IF(ISNUMBER('Фин.показатели TTM'!AI36),'Фин.показатели TTM'!AI36,IF('Фин.показатели TTM'!AI36="","н.д.",'Фин.показатели TTM'!AI36)),'Фин.показатели TTM'!K36))</x:f>
        <x:v>н.п.</x:v>
      </x:c>
      <x:c r="AM40" s="31" t="str">
        <x:f>IF(ISNUMBER('Фин.показатели TTM'!L36),'Фин.показатели TTM'!L36,IF('Фин.показатели TTM'!L36="",IF(ISNUMBER('Фин.показатели TTM'!AK36),'Фин.показатели TTM'!AK36,IF('Фин.показатели TTM'!AK36="","н.д.",'Фин.показатели TTM'!AK36)),'Фин.показатели TTM'!L36))</x:f>
        <x:v>н.п.</x:v>
      </x:c>
      <x:c r="AN40" s="31" t="str">
        <x:f>IF(ISNUMBER('Фин.показатели TTM'!M36),'Фин.показатели TTM'!M36,IF('Фин.показатели TTM'!M36="","н.д.",'Фин.показатели TTM'!M36))</x:f>
        <x:v>н.д.</x:v>
      </x:c>
      <x:c r="AO40" s="31" t="n">
        <x:f>IF(ISNUMBER('Фин.показатели TTM'!N36),'Фин.показатели TTM'!N36,IF('Фин.показатели TTM'!N36="","н.д.",'Фин.показатели TTM'!N36))</x:f>
        <x:v>-187397</x:v>
      </x:c>
      <x:c r="AP40" s="31" t="n">
        <x:f>IF(ISNUMBER('Фин.показатели TTM'!O36),'Фин.показатели TTM'!O36,IF('Фин.показатели TTM'!O36="","н.д.",'Фин.показатели TTM'!O36))</x:f>
        <x:v>-205832</x:v>
      </x:c>
      <x:c r="AQ40" s="3"/>
      <x:c r="AR40" s="3"/>
    </x:row>
    <x:row r="41">
      <x:c r="B41" s="3">
        <x:v>31</x:v>
      </x:c>
      <x:c r="C41" s="3" t="s">
        <x:v>113</x:v>
      </x:c>
      <x:c r="D41" s="50" t="s">
        <x:v>80</x:v>
      </x:c>
      <x:c r="E41" s="3"/>
      <x:c r="F41" s="35" t="str">
        <x:f t="shared" si="3">IF(COLUMN()=8,IF(ISNUMBER(AJ41),IF(AJ41&lt;=0,"н.п.",IF(ISNUMBER($AG41),$AG41/AJ41,IF($AG41="","н.д.",$AG41))),IF(AJ41="","н.д.",AJ41)),IF(ISNUMBER(AJ41),IF(AJ41&lt;=0,"н.п.",IF(ISNUMBER($AF41),$AF41/AJ41,IF($AF41="","н.д.",$AF41))),IF(AJ41="","н.д.",AJ41)))</x:f>
        <x:v>н.д.</x:v>
      </x:c>
      <x:c r="G41" s="35" t="n">
        <x:f t="shared" si="3">IF(COLUMN()=8,IF(ISNUMBER(AK41),IF(AK41&lt;=0,"н.п.",IF(ISNUMBER($AG41),$AG41/AK41,IF($AG41="","н.д.",$AG41))),IF(AK41="","н.д.",AK41)),IF(ISNUMBER(AK41),IF(AK41&lt;=0,"н.п.",IF(ISNUMBER($AF41),$AF41/AK41,IF($AF41="","н.д.",$AF41))),IF(AK41="","н.д.",AK41)))</x:f>
        <x:v>3.518538919562245</x:v>
      </x:c>
      <x:c r="H41" s="35" t="str">
        <x:f t="shared" si="3">IF(COLUMN()=8,IF(ISNUMBER(AL41),IF(AL41&lt;=0,"н.п.",IF(ISNUMBER($AG41),$AG41/AL41,IF($AG41="","н.д.",$AG41))),IF(AL41="","н.д.",AL41)),IF(ISNUMBER(AL41),IF(AL41&lt;=0,"н.п.",IF(ISNUMBER($AF41),$AF41/AL41,IF($AF41="","н.д.",$AF41))),IF(AL41="","н.д.",AL41)))</x:f>
        <x:v>н.п.</x:v>
      </x:c>
      <x:c r="I41" s="35" t="str">
        <x:f t="shared" si="3">IF(COLUMN()=8,IF(ISNUMBER(AM41),IF(AM41&lt;=0,"н.п.",IF(ISNUMBER($AG41),$AG41/AM41,IF($AG41="","н.д.",$AG41))),IF(AM41="","н.д.",AM41)),IF(ISNUMBER(AM41),IF(AM41&lt;=0,"н.п.",IF(ISNUMBER($AF41),$AF41/AM41,IF($AF41="","н.д.",$AF41))),IF(AM41="","н.д.",AM41)))</x:f>
        <x:v>н.п.</x:v>
      </x:c>
      <x:c r="J41" s="35" t="str">
        <x:f t="shared" si="3">IF(COLUMN()=8,IF(ISNUMBER(AN41),IF(AN41&lt;=0,"н.п.",IF(ISNUMBER($AG41),$AG41/AN41,IF($AG41="","н.д.",$AG41))),IF(AN41="","н.д.",AN41)),IF(ISNUMBER(AN41),IF(AN41&lt;=0,"н.п.",IF(ISNUMBER($AF41),$AF41/AN41,IF($AF41="","н.д.",$AF41))),IF(AN41="","н.д.",AN41)))</x:f>
        <x:v>н.д.</x:v>
      </x:c>
      <x:c r="K41" s="35" t="n">
        <x:f t="shared" si="0">IF(ISNUMBER(AI41),IF(AI41=0,"н.п.",IF(ISNUMBER(AF41),AF41/AI41,IF(AF41="","н.д.",AF41))),IF(AI41="","н.д.",AI41))</x:f>
        <x:v>1.5451218990041513</x:v>
      </x:c>
      <x:c r="L41" s="35" t="n">
        <x:f t="shared" si="4">IF(ISNUMBER(AO41),IF(AO41&lt;=0,"н.п.",IF(ISNUMBER(X41),X41/AO41,IF(X41="","н.д.",X41))),IF(AO41="","н.д.",AO41))</x:f>
        <x:v>6.897473582437122</x:v>
      </x:c>
      <x:c r="M41" s="35" t="n">
        <x:f t="shared" si="1">IF(ISNUMBER(AP41),IF(AP41=0,"н.п.",IF(ISNUMBER(X41),X41/AP41,IF(X41="","н.д.",X41))),IF(AP41="","н.д.",AP41))</x:f>
        <x:v>2.1289368528636086</x:v>
      </x:c>
      <x:c r="N41" s="35" t="n">
        <x:f t="shared" si="2">IF(ISNUMBER(AI41),IF(AI41=0,"н.п.",IF(ISNUMBER(X41),X41/AI41,IF(X41="","н.д.",X41))),IF(AI41="","н.д.",AI41))</x:f>
        <x:v>1.0788590337174009</x:v>
      </x:c>
      <x:c r="O41" s="35" t="str">
        <x:f t="shared" si="5">IF(COLUMN()=17,IF(ISNUMBER(AJ41),IF(AJ41&lt;=0,"н.п.",IF(ISNUMBER($AB41),$AB41/AJ41,IF($AB41="","н.д.",$AB41))),IF(AJ41="","н.д.",AJ41)),IF($C$6="Да",IF(ISNUMBER(AJ41),IF(AJ41&lt;=0,"н.п.",IF(ISNUMBER($AA41),$AA41/AJ41,IF($AA41="","н.д.",$AA41))),IF(AJ41="","н.д.",AJ41)),IF(ISNUMBER(AJ41),IF(AJ41&lt;=0,"н.п.",IF(ISNUMBER($Z41),$Z41/AJ41,IF($Z41="","н.д.",$Z41))),IF(AJ41="","н.д.",AJ41))))</x:f>
        <x:v>н.д.</x:v>
      </x:c>
      <x:c r="P41" s="35" t="n">
        <x:f t="shared" si="5">IF(COLUMN()=17,IF(ISNUMBER(AK41),IF(AK41&lt;=0,"н.п.",IF(ISNUMBER($AB41),$AB41/AK41,IF($AB41="","н.д.",$AB41))),IF(AK41="","н.д.",AK41)),IF($C$6="Да",IF(ISNUMBER(AK41),IF(AK41&lt;=0,"н.п.",IF(ISNUMBER($AA41),$AA41/AK41,IF($AA41="","н.д.",$AA41))),IF(AK41="","н.д.",AK41)),IF(ISNUMBER(AK41),IF(AK41&lt;=0,"н.п.",IF(ISNUMBER($Z41),$Z41/AK41,IF($Z41="","н.д.",$Z41))),IF(AK41="","н.д.",AK41))))</x:f>
        <x:v>1.0598410973164123</x:v>
      </x:c>
      <x:c r="Q41" s="35" t="str">
        <x:f t="shared" si="5">IF(COLUMN()=17,IF(ISNUMBER(AL41),IF(AL41&lt;=0,"н.п.",IF(ISNUMBER($AB41),$AB41/AL41,IF($AB41="","н.д.",$AB41))),IF(AL41="","н.д.",AL41)),IF($C$6="Да",IF(ISNUMBER(AL41),IF(AL41&lt;=0,"н.п.",IF(ISNUMBER($AA41),$AA41/AL41,IF($AA41="","н.д.",$AA41))),IF(AL41="","н.д.",AL41)),IF(ISNUMBER(AL41),IF(AL41&lt;=0,"н.п.",IF(ISNUMBER($Z41),$Z41/AL41,IF($Z41="","н.д.",$Z41))),IF(AL41="","н.д.",AL41))))</x:f>
        <x:v>н.п.</x:v>
      </x:c>
      <x:c r="R41" s="35" t="str">
        <x:f t="shared" si="5">IF(COLUMN()=17,IF(ISNUMBER(AM41),IF(AM41&lt;=0,"н.п.",IF(ISNUMBER($AB41),$AB41/AM41,IF($AB41="","н.д.",$AB41))),IF(AM41="","н.д.",AM41)),IF($C$6="Да",IF(ISNUMBER(AM41),IF(AM41&lt;=0,"н.п.",IF(ISNUMBER($AA41),$AA41/AM41,IF($AA41="","н.д.",$AA41))),IF(AM41="","н.д.",AM41)),IF(ISNUMBER(AM41),IF(AM41&lt;=0,"н.п.",IF(ISNUMBER($Z41),$Z41/AM41,IF($Z41="","н.д.",$Z41))),IF(AM41="","н.д.",AM41))))</x:f>
        <x:v>н.п.</x:v>
      </x:c>
      <x:c r="S41" s="35" t="str">
        <x:f t="shared" si="5">IF(COLUMN()=17,IF(ISNUMBER(AN41),IF(AN41&lt;=0,"н.п.",IF(ISNUMBER($AB41),$AB41/AN41,IF($AB41="","н.д.",$AB41))),IF(AN41="","н.д.",AN41)),IF($C$6="Да",IF(ISNUMBER(AN41),IF(AN41&lt;=0,"н.п.",IF(ISNUMBER($AA41),$AA41/AN41,IF($AA41="","н.д.",$AA41))),IF(AN41="","н.д.",AN41)),IF(ISNUMBER(AN41),IF(AN41&lt;=0,"н.п.",IF(ISNUMBER($Z41),$Z41/AN41,IF($Z41="","н.д.",$Z41))),IF(AN41="","н.д.",AN41))))</x:f>
        <x:v>н.д.</x:v>
      </x:c>
      <x:c r="T41" s="3"/>
      <x:c r="U41" s="52" t="n">
        <x:f>Котировки!C33</x:f>
        <x:v>0.720371429</x:v>
      </x:c>
      <x:c r="V41" s="51" t="n">
        <x:f>Котировки!E33</x:f>
        <x:v>222778849052</x:v>
      </x:c>
      <x:c r="W41" s="53"/>
      <x:c r="X41" s="31" t="n">
        <x:f t="shared" si="6">IF($C$5="Да",IF(ISNUMBER(W41),IF(ISNUMBER(U41),U41*W41/10^6,IF(U41="","н.д.",U41)),IF(W41="","н.д.",W41)),IF(ISNUMBER(V41),IF(ISNUMBER(U41),U41*V41/10^6,IF(U41="","н.д.",U41)),IF(V41="","н.д.",V41)))</x:f>
        <x:v>160483.51784256453</x:v>
      </x:c>
      <x:c r="Y41" s="3"/>
      <x:c r="Z41" s="31" t="n">
        <x:f>IF(ISNUMBER('Фин.показатели TTM'!E37),'Фин.показатели TTM'!E37,IF('Фин.показатели TTM'!E37="",IF(ISNUMBER('Фин.показатели TTM'!R37),'Фин.показатели TTM'!R37,IF('Фин.показатели TTM'!R37="","н.д.",'Фин.показатели TTM'!R37)),'Фин.показатели TTM'!E37))</x:f>
        <x:v>69232</x:v>
      </x:c>
      <x:c r="AA41" s="31" t="str">
        <x:f>IF(ISNUMBER('Фин.показатели TTM'!F37),'Фин.показатели TTM'!F37,IF('Фин.показатели TTM'!F37="","н.д.",'Фин.показатели TTM'!F37))</x:f>
        <x:v>н.д.</x:v>
      </x:c>
      <x:c r="AB41" s="31" t="str">
        <x:f>IF(ISNUMBER('Фин.показатели TTM'!G37),'Фин.показатели TTM'!G37,IF('Фин.показатели TTM'!G37="",IF(ISNUMBER('Фин.показатели TTM'!Y37),'Фин.показатели TTM'!Y37,IF('Фин.показатели TTM'!Y37="","н.д.",'Фин.показатели TTM'!Y37)),'Фин.показатели TTM'!G37))</x:f>
        <x:v>н.п.</x:v>
      </x:c>
      <x:c r="AC41" s="34">
        <x:v>126</x:v>
      </x:c>
      <x:c r="AD41" s="34" t="n">
        <x:f>Котировки!D33*Котировки!F33/10^6</x:f>
        <x:v>0</x:v>
      </x:c>
      <x:c r="AE41" s="34"/>
      <x:c r="AF41" s="31" t="n">
        <x:f t="shared" si="7">IF($C$6="Да",IF(ISNUMBER(AA41),IF(ISNUMBER(X41),IF(COUNTIF(AC41:AE41,"н.д.")&gt;0,"н.д.",X41+AA41+SUM(AC41:AE41)),IF(X41="","н.д.",X41)),IF(AA41="","н.д.",AA41)),IF(ISNUMBER(Z41),IF(ISNUMBER(X41),IF(COUNTIF(AC41:AE41,"н.д.")&gt;0,"н.д.",X41+Z41+SUM(AC41:AE41)),IF(X41="","н.д.",X41)),IF(Z41="","н.д.",Z41)))</x:f>
        <x:v>229841.51784256453</x:v>
      </x:c>
      <x:c r="AG41" s="31" t="str">
        <x:f t="shared" si="8">IF(ISNUMBER(AB41),IF(ISNUMBER(X41),IF(COUNTIF(AC41:AE41,"н.д.")&gt;0,"н.д.",X41+AB41+SUM(AC41:AE41)),IF(X41="","н.д.",X41)),IF(AB41="","н.д.",AB41))</x:f>
        <x:v>н.п.</x:v>
      </x:c>
      <x:c r="AH41" s="3"/>
      <x:c r="AI41" s="31" t="n">
        <x:f>IF(ISNUMBER('Фин.показатели TTM'!H37),'Фин.показатели TTM'!H37,IF('Фин.показатели TTM'!H37="","н.д.",'Фин.показатели TTM'!H37))</x:f>
        <x:v>148753</x:v>
      </x:c>
      <x:c r="AJ41" s="31" t="str">
        <x:f>IF(ISNUMBER('Фин.показатели TTM'!I37),'Фин.показатели TTM'!I37,IF('Фин.показатели TTM'!I37="",IF(ISNUMBER('Фин.показатели TTM'!Z37),'Фин.показатели TTM'!Z37,IF('Фин.показатели TTM'!Z37="","н.д.",'Фин.показатели TTM'!Z37)),'Фин.показатели TTM'!I37))</x:f>
        <x:v>н.д.</x:v>
      </x:c>
      <x:c r="AK41" s="31" t="n">
        <x:f>IF(ISNUMBER('Фин.показатели TTM'!J37),'Фин.показатели TTM'!J37,IF('Фин.показатели TTM'!J37="","н.д.",'Фин.показатели TTM'!J37))</x:f>
        <x:v>65323</x:v>
      </x:c>
      <x:c r="AL41" s="31" t="str">
        <x:f>IF(ISNUMBER('Фин.показатели TTM'!K37),'Фин.показатели TTM'!K37,IF('Фин.показатели TTM'!K37="",IF(ISNUMBER('Фин.показатели TTM'!AI37),'Фин.показатели TTM'!AI37,IF('Фин.показатели TTM'!AI37="","н.д.",'Фин.показатели TTM'!AI37)),'Фин.показатели TTM'!K37))</x:f>
        <x:v>н.п.</x:v>
      </x:c>
      <x:c r="AM41" s="31" t="str">
        <x:f>IF(ISNUMBER('Фин.показатели TTM'!L37),'Фин.показатели TTM'!L37,IF('Фин.показатели TTM'!L37="",IF(ISNUMBER('Фин.показатели TTM'!AK37),'Фин.показатели TTM'!AK37,IF('Фин.показатели TTM'!AK37="","н.д.",'Фин.показатели TTM'!AK37)),'Фин.показатели TTM'!L37))</x:f>
        <x:v>н.п.</x:v>
      </x:c>
      <x:c r="AN41" s="31" t="str">
        <x:f>IF(ISNUMBER('Фин.показатели TTM'!M37),'Фин.показатели TTM'!M37,IF('Фин.показатели TTM'!M37="","н.д.",'Фин.показатели TTM'!M37))</x:f>
        <x:v>н.д.</x:v>
      </x:c>
      <x:c r="AO41" s="31" t="n">
        <x:f>IF(ISNUMBER('Фин.показатели TTM'!N37),'Фин.показатели TTM'!N37,IF('Фин.показатели TTM'!N37="","н.д.",'Фин.показатели TTM'!N37))</x:f>
        <x:v>23267</x:v>
      </x:c>
      <x:c r="AP41" s="31" t="n">
        <x:f>IF(ISNUMBER('Фин.показатели TTM'!O37),'Фин.показатели TTM'!O37,IF('Фин.показатели TTM'!O37="","н.д.",'Фин.показатели TTM'!O37))</x:f>
        <x:v>75382</x:v>
      </x:c>
      <x:c r="AQ41" s="3"/>
      <x:c r="AR41" s="3"/>
    </x:row>
    <x:row r="42">
      <x:c r="B42" s="3">
        <x:v>32</x:v>
      </x:c>
      <x:c r="C42" s="3" t="s">
        <x:v>114</x:v>
      </x:c>
      <x:c r="D42" s="50" t="s">
        <x:v>74</x:v>
      </x:c>
      <x:c r="E42" s="3"/>
      <x:c r="F42" s="35" t="str">
        <x:f t="shared" si="3">IF(COLUMN()=8,IF(ISNUMBER(AJ42),IF(AJ42&lt;=0,"н.п.",IF(ISNUMBER($AG42),$AG42/AJ42,IF($AG42="","н.д.",$AG42))),IF(AJ42="","н.д.",AJ42)),IF(ISNUMBER(AJ42),IF(AJ42&lt;=0,"н.п.",IF(ISNUMBER($AF42),$AF42/AJ42,IF($AF42="","н.д.",$AF42))),IF(AJ42="","н.д.",AJ42)))</x:f>
        <x:v>н.д.</x:v>
      </x:c>
      <x:c r="G42" s="35" t="n">
        <x:f t="shared" si="3">IF(COLUMN()=8,IF(ISNUMBER(AK42),IF(AK42&lt;=0,"н.п.",IF(ISNUMBER($AG42),$AG42/AK42,IF($AG42="","н.д.",$AG42))),IF(AK42="","н.д.",AK42)),IF(ISNUMBER(AK42),IF(AK42&lt;=0,"н.п.",IF(ISNUMBER($AF42),$AF42/AK42,IF($AF42="","н.д.",$AF42))),IF(AK42="","н.д.",AK42)))</x:f>
        <x:v>5.387367596528166</x:v>
      </x:c>
      <x:c r="H42" s="35" t="str">
        <x:f t="shared" si="3">IF(COLUMN()=8,IF(ISNUMBER(AL42),IF(AL42&lt;=0,"н.п.",IF(ISNUMBER($AG42),$AG42/AL42,IF($AG42="","н.д.",$AG42))),IF(AL42="","н.д.",AL42)),IF(ISNUMBER(AL42),IF(AL42&lt;=0,"н.п.",IF(ISNUMBER($AF42),$AF42/AL42,IF($AF42="","н.д.",$AF42))),IF(AL42="","н.д.",AL42)))</x:f>
        <x:v>н.п.</x:v>
      </x:c>
      <x:c r="I42" s="35" t="n">
        <x:f t="shared" si="3">IF(COLUMN()=8,IF(ISNUMBER(AM42),IF(AM42&lt;=0,"н.п.",IF(ISNUMBER($AG42),$AG42/AM42,IF($AG42="","н.д.",$AG42))),IF(AM42="","н.д.",AM42)),IF(ISNUMBER(AM42),IF(AM42&lt;=0,"н.п.",IF(ISNUMBER($AF42),$AF42/AM42,IF($AF42="","н.д.",$AF42))),IF(AM42="","н.д.",AM42)))</x:f>
        <x:v>7.60417787847518</x:v>
      </x:c>
      <x:c r="J42" s="35" t="str">
        <x:f t="shared" si="3">IF(COLUMN()=8,IF(ISNUMBER(AN42),IF(AN42&lt;=0,"н.п.",IF(ISNUMBER($AG42),$AG42/AN42,IF($AG42="","н.д.",$AG42))),IF(AN42="","н.д.",AN42)),IF(ISNUMBER(AN42),IF(AN42&lt;=0,"н.п.",IF(ISNUMBER($AF42),$AF42/AN42,IF($AF42="","н.д.",$AF42))),IF(AN42="","н.д.",AN42)))</x:f>
        <x:v>н.д.</x:v>
      </x:c>
      <x:c r="K42" s="35" t="n">
        <x:f t="shared" si="0">IF(ISNUMBER(AI42),IF(AI42=0,"н.п.",IF(ISNUMBER(AF42),AF42/AI42,IF(AF42="","н.д.",AF42))),IF(AI42="","н.д.",AI42))</x:f>
        <x:v>2.5039265023192065</x:v>
      </x:c>
      <x:c r="L42" s="35" t="n">
        <x:f t="shared" si="4">IF(ISNUMBER(AO42),IF(AO42&lt;=0,"н.п.",IF(ISNUMBER(X42),X42/AO42,IF(X42="","н.д.",X42))),IF(AO42="","н.д.",AO42))</x:f>
        <x:v>6.566023666197593</x:v>
      </x:c>
      <x:c r="M42" s="35" t="n">
        <x:f t="shared" si="1">IF(ISNUMBER(AP42),IF(AP42=0,"н.п.",IF(ISNUMBER(X42),X42/AP42,IF(X42="","н.д.",X42))),IF(AP42="","н.д.",AP42))</x:f>
        <x:v>3.421597759413871</x:v>
      </x:c>
      <x:c r="N42" s="35" t="n">
        <x:f t="shared" si="2">IF(ISNUMBER(AI42),IF(AI42=0,"н.п.",IF(ISNUMBER(X42),X42/AI42,IF(X42="","н.д.",X42))),IF(AI42="","н.д.",AI42))</x:f>
        <x:v>2.133061469734928</x:v>
      </x:c>
      <x:c r="O42" s="35" t="str">
        <x:f t="shared" si="5">IF(COLUMN()=17,IF(ISNUMBER(AJ42),IF(AJ42&lt;=0,"н.п.",IF(ISNUMBER($AB42),$AB42/AJ42,IF($AB42="","н.д.",$AB42))),IF(AJ42="","н.д.",AJ42)),IF($C$6="Да",IF(ISNUMBER(AJ42),IF(AJ42&lt;=0,"н.п.",IF(ISNUMBER($AA42),$AA42/AJ42,IF($AA42="","н.д.",$AA42))),IF(AJ42="","н.д.",AJ42)),IF(ISNUMBER(AJ42),IF(AJ42&lt;=0,"н.п.",IF(ISNUMBER($Z42),$Z42/AJ42,IF($Z42="","н.д.",$Z42))),IF(AJ42="","н.д.",AJ42))))</x:f>
        <x:v>н.д.</x:v>
      </x:c>
      <x:c r="P42" s="35" t="n">
        <x:f t="shared" si="5">IF(COLUMN()=17,IF(ISNUMBER(AK42),IF(AK42&lt;=0,"н.п.",IF(ISNUMBER($AB42),$AB42/AK42,IF($AB42="","н.д.",$AB42))),IF(AK42="","н.д.",AK42)),IF($C$6="Да",IF(ISNUMBER(AK42),IF(AK42&lt;=0,"н.п.",IF(ISNUMBER($AA42),$AA42/AK42,IF($AA42="","н.д.",$AA42))),IF(AK42="","н.д.",AK42)),IF(ISNUMBER(AK42),IF(AK42&lt;=0,"н.п.",IF(ISNUMBER($Z42),$Z42/AK42,IF($Z42="","н.д.",$Z42))),IF(AK42="","н.д.",AK42))))</x:f>
        <x:v>0.7985815061642094</x:v>
      </x:c>
      <x:c r="Q42" s="35" t="str">
        <x:f t="shared" si="5">IF(COLUMN()=17,IF(ISNUMBER(AL42),IF(AL42&lt;=0,"н.п.",IF(ISNUMBER($AB42),$AB42/AL42,IF($AB42="","н.д.",$AB42))),IF(AL42="","н.д.",AL42)),IF($C$6="Да",IF(ISNUMBER(AL42),IF(AL42&lt;=0,"н.п.",IF(ISNUMBER($AA42),$AA42/AL42,IF($AA42="","н.д.",$AA42))),IF(AL42="","н.д.",AL42)),IF(ISNUMBER(AL42),IF(AL42&lt;=0,"н.п.",IF(ISNUMBER($Z42),$Z42/AL42,IF($Z42="","н.д.",$Z42))),IF(AL42="","н.д.",AL42))))</x:f>
        <x:v>н.п.</x:v>
      </x:c>
      <x:c r="R42" s="35" t="n">
        <x:f t="shared" si="5">IF(COLUMN()=17,IF(ISNUMBER(AM42),IF(AM42&lt;=0,"н.п.",IF(ISNUMBER($AB42),$AB42/AM42,IF($AB42="","н.д.",$AB42))),IF(AM42="","н.д.",AM42)),IF($C$6="Да",IF(ISNUMBER(AM42),IF(AM42&lt;=0,"н.п.",IF(ISNUMBER($AA42),$AA42/AM42,IF($AA42="","н.д.",$AA42))),IF(AM42="","н.д.",AM42)),IF(ISNUMBER(AM42),IF(AM42&lt;=0,"н.п.",IF(ISNUMBER($Z42),$Z42/AM42,IF($Z42="","н.д.",$Z42))),IF(AM42="","н.д.",AM42))))</x:f>
        <x:v>1.1271842350699566</x:v>
      </x:c>
      <x:c r="S42" s="35" t="str">
        <x:f t="shared" si="5">IF(COLUMN()=17,IF(ISNUMBER(AN42),IF(AN42&lt;=0,"н.п.",IF(ISNUMBER($AB42),$AB42/AN42,IF($AB42="","н.д.",$AB42))),IF(AN42="","н.д.",AN42)),IF($C$6="Да",IF(ISNUMBER(AN42),IF(AN42&lt;=0,"н.п.",IF(ISNUMBER($AA42),$AA42/AN42,IF($AA42="","н.д.",$AA42))),IF(AN42="","н.д.",AN42)),IF(ISNUMBER(AN42),IF(AN42&lt;=0,"н.п.",IF(ISNUMBER($Z42),$Z42/AN42,IF($Z42="","н.д.",$Z42))),IF(AN42="","н.д.",AN42))))</x:f>
        <x:v>н.д.</x:v>
      </x:c>
      <x:c r="T42" s="3"/>
      <x:c r="U42" s="51" t="n">
        <x:f>Котировки!C34</x:f>
        <x:v>1008.380952381</x:v>
      </x:c>
      <x:c r="V42" s="51" t="n">
        <x:f>Котировки!E34</x:f>
        <x:v>71214000</x:v>
      </x:c>
      <x:c r="W42" s="53"/>
      <x:c r="X42" s="31" t="n">
        <x:f t="shared" si="6">IF($C$5="Да",IF(ISNUMBER(W42),IF(ISNUMBER(U42),U42*W42/10^6,IF(U42="","н.д.",U42)),IF(W42="","н.д.",W42)),IF(ISNUMBER(V42),IF(ISNUMBER(U42),U42*V42/10^6,IF(U42="","н.д.",U42)),IF(V42="","н.д.",V42)))</x:f>
        <x:v>71810.84114286053</x:v>
      </x:c>
      <x:c r="Y42" s="3"/>
      <x:c r="Z42" s="31" t="n">
        <x:f>IF(ISNUMBER('Фин.показатели TTM'!E38),'Фин.показатели TTM'!E38,IF('Фин.показатели TTM'!E38="",IF(ISNUMBER('Фин.показатели TTM'!R38),'Фин.показатели TTM'!R38,IF('Фин.показатели TTM'!R38="","н.д.",'Фин.показатели TTM'!R38)),'Фин.показатели TTM'!E38))</x:f>
        <x:v>12495.42</x:v>
      </x:c>
      <x:c r="AA42" s="31" t="str">
        <x:f>IF(ISNUMBER('Фин.показатели TTM'!F38),'Фин.показатели TTM'!F38,IF('Фин.показатели TTM'!F38="","н.д.",'Фин.показатели TTM'!F38))</x:f>
        <x:v>н.д.</x:v>
      </x:c>
      <x:c r="AB42" s="31" t="str">
        <x:f>IF(ISNUMBER('Фин.показатели TTM'!G38),'Фин.показатели TTM'!G38,IF('Фин.показатели TTM'!G38="",IF(ISNUMBER('Фин.показатели TTM'!Y38),'Фин.показатели TTM'!Y38,IF('Фин.показатели TTM'!Y38="","н.д.",'Фин.показатели TTM'!Y38)),'Фин.показатели TTM'!G38))</x:f>
        <x:v>н.п.</x:v>
      </x:c>
      <x:c r="AC42" s="34">
        <x:v>-10.018000000000001</x:v>
      </x:c>
      <x:c r="AD42" s="34" t="n">
        <x:f>Котировки!D34*Котировки!F34/10^6</x:f>
        <x:v>0</x:v>
      </x:c>
      <x:c r="AE42" s="34"/>
      <x:c r="AF42" s="31" t="n">
        <x:f t="shared" si="7">IF($C$6="Да",IF(ISNUMBER(AA42),IF(ISNUMBER(X42),IF(COUNTIF(AC42:AE42,"н.д.")&gt;0,"н.д.",X42+AA42+SUM(AC42:AE42)),IF(X42="","н.д.",X42)),IF(AA42="","н.д.",AA42)),IF(ISNUMBER(Z42),IF(ISNUMBER(X42),IF(COUNTIF(AC42:AE42,"н.д.")&gt;0,"н.д.",X42+Z42+SUM(AC42:AE42)),IF(X42="","н.д.",X42)),IF(Z42="","н.д.",Z42)))</x:f>
        <x:v>84296.24314286053</x:v>
      </x:c>
      <x:c r="AG42" s="31" t="str">
        <x:f t="shared" si="8">IF(ISNUMBER(AB42),IF(ISNUMBER(X42),IF(COUNTIF(AC42:AE42,"н.д.")&gt;0,"н.д.",X42+AB42+SUM(AC42:AE42)),IF(X42="","н.д.",X42)),IF(AB42="","н.д.",AB42))</x:f>
        <x:v>н.п.</x:v>
      </x:c>
      <x:c r="AH42" s="3"/>
      <x:c r="AI42" s="31" t="n">
        <x:f>IF(ISNUMBER('Фин.показатели TTM'!H38),'Фин.показатели TTM'!H38,IF('Фин.показатели TTM'!H38="","н.д.",'Фин.показатели TTM'!H38))</x:f>
        <x:v>33665.622</x:v>
      </x:c>
      <x:c r="AJ42" s="31" t="str">
        <x:f>IF(ISNUMBER('Фин.показатели TTM'!I38),'Фин.показатели TTM'!I38,IF('Фин.показатели TTM'!I38="",IF(ISNUMBER('Фин.показатели TTM'!Z38),'Фин.показатели TTM'!Z38,IF('Фин.показатели TTM'!Z38="","н.д.",'Фин.показатели TTM'!Z38)),'Фин.показатели TTM'!I38))</x:f>
        <x:v>н.д.</x:v>
      </x:c>
      <x:c r="AK42" s="31" t="n">
        <x:f>IF(ISNUMBER('Фин.показатели TTM'!J38),'Фин.показатели TTM'!J38,IF('Фин.показатели TTM'!J38="","н.д.",'Фин.показатели TTM'!J38))</x:f>
        <x:v>15647.018999999998</x:v>
      </x:c>
      <x:c r="AL42" s="31" t="str">
        <x:f>IF(ISNUMBER('Фин.показатели TTM'!K38),'Фин.показатели TTM'!K38,IF('Фин.показатели TTM'!K38="",IF(ISNUMBER('Фин.показатели TTM'!AI38),'Фин.показатели TTM'!AI38,IF('Фин.показатели TTM'!AI38="","н.д.",'Фин.показатели TTM'!AI38)),'Фин.показатели TTM'!K38))</x:f>
        <x:v>н.п.</x:v>
      </x:c>
      <x:c r="AM42" s="31" t="n">
        <x:f>IF(ISNUMBER('Фин.показатели TTM'!L38),'Фин.показатели TTM'!L38,IF('Фин.показатели TTM'!L38="",IF(ISNUMBER('Фин.показатели TTM'!AK38),'Фин.показатели TTM'!AK38,IF('Фин.показатели TTM'!AK38="","н.д.",'Фин.показатели TTM'!AK38)),'Фин.показатели TTM'!L38))</x:f>
        <x:v>11085.517</x:v>
      </x:c>
      <x:c r="AN42" s="31" t="str">
        <x:f>IF(ISNUMBER('Фин.показатели TTM'!M38),'Фин.показатели TTM'!M38,IF('Фин.показатели TTM'!M38="","н.д.",'Фин.показатели TTM'!M38))</x:f>
        <x:v>н.д.</x:v>
      </x:c>
      <x:c r="AO42" s="31" t="n">
        <x:f>IF(ISNUMBER('Фин.показатели TTM'!N38),'Фин.показатели TTM'!N38,IF('Фин.показатели TTM'!N38="","н.д.",'Фин.показатели TTM'!N38))</x:f>
        <x:v>10936.732</x:v>
      </x:c>
      <x:c r="AP42" s="31" t="n">
        <x:f>IF(ISNUMBER('Фин.показатели TTM'!O38),'Фин.показатели TTM'!O38,IF('Фин.показатели TTM'!O38="","н.д.",'Фин.показатели TTM'!O38))</x:f>
        <x:v>20987.517</x:v>
      </x:c>
      <x:c r="AQ42" s="3"/>
      <x:c r="AR42" s="3"/>
    </x:row>
    <x:row r="43">
      <x:c r="B43" s="3">
        <x:v>33</x:v>
      </x:c>
      <x:c r="C43" s="3" t="s">
        <x:v>115</x:v>
      </x:c>
      <x:c r="D43" s="50" t="s">
        <x:v>74</x:v>
      </x:c>
      <x:c r="E43" s="3"/>
      <x:c r="F43" s="35" t="str">
        <x:f t="shared" si="3">IF(COLUMN()=8,IF(ISNUMBER(AJ43),IF(AJ43&lt;=0,"н.п.",IF(ISNUMBER($AG43),$AG43/AJ43,IF($AG43="","н.д.",$AG43))),IF(AJ43="","н.д.",AJ43)),IF(ISNUMBER(AJ43),IF(AJ43&lt;=0,"н.п.",IF(ISNUMBER($AF43),$AF43/AJ43,IF($AF43="","н.д.",$AF43))),IF(AJ43="","н.д.",AJ43)))</x:f>
        <x:v>н.д.</x:v>
      </x:c>
      <x:c r="G43" s="35" t="str">
        <x:f t="shared" si="3">IF(COLUMN()=8,IF(ISNUMBER(AK43),IF(AK43&lt;=0,"н.п.",IF(ISNUMBER($AG43),$AG43/AK43,IF($AG43="","н.д.",$AG43))),IF(AK43="","н.д.",AK43)),IF(ISNUMBER(AK43),IF(AK43&lt;=0,"н.п.",IF(ISNUMBER($AF43),$AF43/AK43,IF($AF43="","н.д.",$AF43))),IF(AK43="","н.д.",AK43)))</x:f>
        <x:v>н.д.</x:v>
      </x:c>
      <x:c r="H43" s="35" t="str">
        <x:f t="shared" si="3">IF(COLUMN()=8,IF(ISNUMBER(AL43),IF(AL43&lt;=0,"н.п.",IF(ISNUMBER($AG43),$AG43/AL43,IF($AG43="","н.д.",$AG43))),IF(AL43="","н.д.",AL43)),IF(ISNUMBER(AL43),IF(AL43&lt;=0,"н.п.",IF(ISNUMBER($AF43),$AF43/AL43,IF($AF43="","н.д.",$AF43))),IF(AL43="","н.д.",AL43)))</x:f>
        <x:v>н.п.</x:v>
      </x:c>
      <x:c r="I43" s="35" t="str">
        <x:f t="shared" si="3">IF(COLUMN()=8,IF(ISNUMBER(AM43),IF(AM43&lt;=0,"н.п.",IF(ISNUMBER($AG43),$AG43/AM43,IF($AG43="","н.д.",$AG43))),IF(AM43="","н.д.",AM43)),IF(ISNUMBER(AM43),IF(AM43&lt;=0,"н.п.",IF(ISNUMBER($AF43),$AF43/AM43,IF($AF43="","н.д.",$AF43))),IF(AM43="","н.д.",AM43)))</x:f>
        <x:v>н.д.</x:v>
      </x:c>
      <x:c r="J43" s="35" t="str">
        <x:f t="shared" si="3">IF(COLUMN()=8,IF(ISNUMBER(AN43),IF(AN43&lt;=0,"н.п.",IF(ISNUMBER($AG43),$AG43/AN43,IF($AG43="","н.д.",$AG43))),IF(AN43="","н.д.",AN43)),IF(ISNUMBER(AN43),IF(AN43&lt;=0,"н.п.",IF(ISNUMBER($AF43),$AF43/AN43,IF($AF43="","н.д.",$AF43))),IF(AN43="","н.д.",AN43)))</x:f>
        <x:v>н.д.</x:v>
      </x:c>
      <x:c r="K43" s="35" t="str">
        <x:f t="shared" si="0">IF(ISNUMBER(AI43),IF(AI43=0,"н.п.",IF(ISNUMBER(AF43),AF43/AI43,IF(AF43="","н.д.",AF43))),IF(AI43="","н.д.",AI43))</x:f>
        <x:v>н.д.</x:v>
      </x:c>
      <x:c r="L43" s="35" t="str">
        <x:f t="shared" si="4">IF(ISNUMBER(AO43),IF(AO43&lt;=0,"н.п.",IF(ISNUMBER(X43),X43/AO43,IF(X43="","н.д.",X43))),IF(AO43="","н.д.",AO43))</x:f>
        <x:v>н.п.</x:v>
      </x:c>
      <x:c r="M43" s="35" t="n">
        <x:f t="shared" si="1">IF(ISNUMBER(AP43),IF(AP43=0,"н.п.",IF(ISNUMBER(X43),X43/AP43,IF(X43="","н.д.",X43))),IF(AP43="","н.д.",AP43))</x:f>
        <x:v>0.5170907576141286</x:v>
      </x:c>
      <x:c r="N43" s="35" t="n">
        <x:f t="shared" si="2">IF(ISNUMBER(AI43),IF(AI43=0,"н.п.",IF(ISNUMBER(X43),X43/AI43,IF(X43="","н.д.",X43))),IF(AI43="","н.д.",AI43))</x:f>
        <x:v>0.3972980858998815</x:v>
      </x:c>
      <x:c r="O43" s="35" t="str">
        <x:f t="shared" si="5">IF(COLUMN()=17,IF(ISNUMBER(AJ43),IF(AJ43&lt;=0,"н.п.",IF(ISNUMBER($AB43),$AB43/AJ43,IF($AB43="","н.д.",$AB43))),IF(AJ43="","н.д.",AJ43)),IF($C$6="Да",IF(ISNUMBER(AJ43),IF(AJ43&lt;=0,"н.п.",IF(ISNUMBER($AA43),$AA43/AJ43,IF($AA43="","н.д.",$AA43))),IF(AJ43="","н.д.",AJ43)),IF(ISNUMBER(AJ43),IF(AJ43&lt;=0,"н.п.",IF(ISNUMBER($Z43),$Z43/AJ43,IF($Z43="","н.д.",$Z43))),IF(AJ43="","н.д.",AJ43))))</x:f>
        <x:v>н.д.</x:v>
      </x:c>
      <x:c r="P43" s="35" t="str">
        <x:f t="shared" si="5">IF(COLUMN()=17,IF(ISNUMBER(AK43),IF(AK43&lt;=0,"н.п.",IF(ISNUMBER($AB43),$AB43/AK43,IF($AB43="","н.д.",$AB43))),IF(AK43="","н.д.",AK43)),IF($C$6="Да",IF(ISNUMBER(AK43),IF(AK43&lt;=0,"н.п.",IF(ISNUMBER($AA43),$AA43/AK43,IF($AA43="","н.д.",$AA43))),IF(AK43="","н.д.",AK43)),IF(ISNUMBER(AK43),IF(AK43&lt;=0,"н.п.",IF(ISNUMBER($Z43),$Z43/AK43,IF($Z43="","н.д.",$Z43))),IF(AK43="","н.д.",AK43))))</x:f>
        <x:v>н.д.</x:v>
      </x:c>
      <x:c r="Q43" s="35" t="str">
        <x:f t="shared" si="5">IF(COLUMN()=17,IF(ISNUMBER(AL43),IF(AL43&lt;=0,"н.п.",IF(ISNUMBER($AB43),$AB43/AL43,IF($AB43="","н.д.",$AB43))),IF(AL43="","н.д.",AL43)),IF($C$6="Да",IF(ISNUMBER(AL43),IF(AL43&lt;=0,"н.п.",IF(ISNUMBER($AA43),$AA43/AL43,IF($AA43="","н.д.",$AA43))),IF(AL43="","н.д.",AL43)),IF(ISNUMBER(AL43),IF(AL43&lt;=0,"н.п.",IF(ISNUMBER($Z43),$Z43/AL43,IF($Z43="","н.д.",$Z43))),IF(AL43="","н.д.",AL43))))</x:f>
        <x:v>н.п.</x:v>
      </x:c>
      <x:c r="R43" s="35" t="str">
        <x:f t="shared" si="5">IF(COLUMN()=17,IF(ISNUMBER(AM43),IF(AM43&lt;=0,"н.п.",IF(ISNUMBER($AB43),$AB43/AM43,IF($AB43="","н.д.",$AB43))),IF(AM43="","н.д.",AM43)),IF($C$6="Да",IF(ISNUMBER(AM43),IF(AM43&lt;=0,"н.п.",IF(ISNUMBER($AA43),$AA43/AM43,IF($AA43="","н.д.",$AA43))),IF(AM43="","н.д.",AM43)),IF(ISNUMBER(AM43),IF(AM43&lt;=0,"н.п.",IF(ISNUMBER($Z43),$Z43/AM43,IF($Z43="","н.д.",$Z43))),IF(AM43="","н.д.",AM43))))</x:f>
        <x:v>н.д.</x:v>
      </x:c>
      <x:c r="S43" s="35" t="str">
        <x:f t="shared" si="5">IF(COLUMN()=17,IF(ISNUMBER(AN43),IF(AN43&lt;=0,"н.п.",IF(ISNUMBER($AB43),$AB43/AN43,IF($AB43="","н.д.",$AB43))),IF(AN43="","н.д.",AN43)),IF($C$6="Да",IF(ISNUMBER(AN43),IF(AN43&lt;=0,"н.п.",IF(ISNUMBER($AA43),$AA43/AN43,IF($AA43="","н.д.",$AA43))),IF(AN43="","н.д.",AN43)),IF(ISNUMBER(AN43),IF(AN43&lt;=0,"н.п.",IF(ISNUMBER($Z43),$Z43/AN43,IF($Z43="","н.д.",$Z43))),IF(AN43="","н.д.",AN43))))</x:f>
        <x:v>н.д.</x:v>
      </x:c>
      <x:c r="T43" s="3"/>
      <x:c r="U43" s="51" t="n">
        <x:f>Котировки!C35</x:f>
        <x:v>116.807142857</x:v>
      </x:c>
      <x:c r="V43" s="51" t="n">
        <x:f>Котировки!E35</x:f>
        <x:v>572904180</x:v>
      </x:c>
      <x:c r="W43" s="53"/>
      <x:c r="X43" s="31" t="n">
        <x:f t="shared" si="6">IF($C$5="Да",IF(ISNUMBER(W43),IF(ISNUMBER(U43),U43*W43/10^6,IF(U43="","н.д.",U43)),IF(W43="","н.д.",W43)),IF(ISNUMBER(V43),IF(ISNUMBER(U43),U43*V43/10^6,IF(U43="","н.д.",U43)),IF(V43="","н.д.",V43)))</x:f>
        <x:v>66919.30039663245</x:v>
      </x:c>
      <x:c r="Y43" s="3"/>
      <x:c r="Z43" s="31" t="str">
        <x:f>IF(ISNUMBER('Фин.показатели TTM'!E39),'Фин.показатели TTM'!E39,IF('Фин.показатели TTM'!E39="",IF(ISNUMBER('Фин.показатели TTM'!R39),'Фин.показатели TTM'!R39,IF('Фин.показатели TTM'!R39="","н.д.",'Фин.показатели TTM'!R39)),'Фин.показатели TTM'!E39))</x:f>
        <x:v>н.д.</x:v>
      </x:c>
      <x:c r="AA43" s="31" t="str">
        <x:f>IF(ISNUMBER('Фин.показатели TTM'!F39),'Фин.показатели TTM'!F39,IF('Фин.показатели TTM'!F39="","н.д.",'Фин.показатели TTM'!F39))</x:f>
        <x:v>н.д.</x:v>
      </x:c>
      <x:c r="AB43" s="31" t="str">
        <x:f>IF(ISNUMBER('Фин.показатели TTM'!G39),'Фин.показатели TTM'!G39,IF('Фин.показатели TTM'!G39="",IF(ISNUMBER('Фин.показатели TTM'!Y39),'Фин.показатели TTM'!Y39,IF('Фин.показатели TTM'!Y39="","н.д.",'Фин.показатели TTM'!Y39)),'Фин.показатели TTM'!G39))</x:f>
        <x:v>н.п.</x:v>
      </x:c>
      <x:c r="AC43" s="34">
        <x:v>236</x:v>
      </x:c>
      <x:c r="AD43" s="34" t="n">
        <x:f>Котировки!D35*Котировки!F35/10^6</x:f>
        <x:v>0</x:v>
      </x:c>
      <x:c r="AE43" s="34"/>
      <x:c r="AF43" s="31" t="str">
        <x:f t="shared" si="7">IF($C$6="Да",IF(ISNUMBER(AA43),IF(ISNUMBER(X43),IF(COUNTIF(AC43:AE43,"н.д.")&gt;0,"н.д.",X43+AA43+SUM(AC43:AE43)),IF(X43="","н.д.",X43)),IF(AA43="","н.д.",AA43)),IF(ISNUMBER(Z43),IF(ISNUMBER(X43),IF(COUNTIF(AC43:AE43,"н.д.")&gt;0,"н.д.",X43+Z43+SUM(AC43:AE43)),IF(X43="","н.д.",X43)),IF(Z43="","н.д.",Z43)))</x:f>
        <x:v>н.д.</x:v>
      </x:c>
      <x:c r="AG43" s="31" t="str">
        <x:f t="shared" si="8">IF(ISNUMBER(AB43),IF(ISNUMBER(X43),IF(COUNTIF(AC43:AE43,"н.д.")&gt;0,"н.д.",X43+AB43+SUM(AC43:AE43)),IF(X43="","н.д.",X43)),IF(AB43="","н.д.",AB43))</x:f>
        <x:v>н.п.</x:v>
      </x:c>
      <x:c r="AH43" s="3"/>
      <x:c r="AI43" s="31" t="n">
        <x:f>IF(ISNUMBER('Фин.показатели TTM'!H39),'Фин.показатели TTM'!H39,IF('Фин.показатели TTM'!H39="","н.д.",'Фин.показатели TTM'!H39))</x:f>
        <x:v>168436</x:v>
      </x:c>
      <x:c r="AJ43" s="31" t="str">
        <x:f>IF(ISNUMBER('Фин.показатели TTM'!I39),'Фин.показатели TTM'!I39,IF('Фин.показатели TTM'!I39="",IF(ISNUMBER('Фин.показатели TTM'!Z39),'Фин.показатели TTM'!Z39,IF('Фин.показатели TTM'!Z39="","н.д.",'Фин.показатели TTM'!Z39)),'Фин.показатели TTM'!I39))</x:f>
        <x:v>н.д.</x:v>
      </x:c>
      <x:c r="AK43" s="31" t="n">
        <x:f>IF(ISNUMBER('Фин.показатели TTM'!J39),'Фин.показатели TTM'!J39,IF('Фин.показатели TTM'!J39="","н.д.",'Фин.показатели TTM'!J39))</x:f>
        <x:v>26161</x:v>
      </x:c>
      <x:c r="AL43" s="31" t="str">
        <x:f>IF(ISNUMBER('Фин.показатели TTM'!K39),'Фин.показатели TTM'!K39,IF('Фин.показатели TTM'!K39="",IF(ISNUMBER('Фин.показатели TTM'!AI39),'Фин.показатели TTM'!AI39,IF('Фин.показатели TTM'!AI39="","н.д.",'Фин.показатели TTM'!AI39)),'Фин.показатели TTM'!K39))</x:f>
        <x:v>н.п.</x:v>
      </x:c>
      <x:c r="AM43" s="31" t="str">
        <x:f>IF(ISNUMBER('Фин.показатели TTM'!L39),'Фин.показатели TTM'!L39,IF('Фин.показатели TTM'!L39="",IF(ISNUMBER('Фин.показатели TTM'!AK39),'Фин.показатели TTM'!AK39,IF('Фин.показатели TTM'!AK39="","н.д.",'Фин.показатели TTM'!AK39)),'Фин.показатели TTM'!L39))</x:f>
        <x:v>н.д.</x:v>
      </x:c>
      <x:c r="AN43" s="31" t="str">
        <x:f>IF(ISNUMBER('Фин.показатели TTM'!M39),'Фин.показатели TTM'!M39,IF('Фин.показатели TTM'!M39="","н.д.",'Фин.показатели TTM'!M39))</x:f>
        <x:v>н.д.</x:v>
      </x:c>
      <x:c r="AO43" s="31" t="n">
        <x:f>IF(ISNUMBER('Фин.показатели TTM'!N39),'Фин.показатели TTM'!N39,IF('Фин.показатели TTM'!N39="","н.д.",'Фин.показатели TTM'!N39))</x:f>
        <x:v>-16165</x:v>
      </x:c>
      <x:c r="AP43" s="31" t="n">
        <x:f>IF(ISNUMBER('Фин.показатели TTM'!O39),'Фин.показатели TTM'!O39,IF('Фин.показатели TTM'!O39="","н.д.",'Фин.показатели TTM'!O39))</x:f>
        <x:v>129415</x:v>
      </x:c>
      <x:c r="AQ43" s="3"/>
      <x:c r="AR43" s="3"/>
    </x:row>
    <x:row r="44">
      <x:c r="B44" s="3">
        <x:v>34</x:v>
      </x:c>
      <x:c r="C44" s="3" t="s">
        <x:v>116</x:v>
      </x:c>
      <x:c r="D44" s="50" t="s">
        <x:v>117</x:v>
      </x:c>
      <x:c r="E44" s="3"/>
      <x:c r="F44" s="35" t="str">
        <x:f t="shared" si="3">IF(COLUMN()=8,IF(ISNUMBER(AJ44),IF(AJ44&lt;=0,"н.п.",IF(ISNUMBER($AG44),$AG44/AJ44,IF($AG44="","н.д.",$AG44))),IF(AJ44="","н.д.",AJ44)),IF(ISNUMBER(AJ44),IF(AJ44&lt;=0,"н.п.",IF(ISNUMBER($AF44),$AF44/AJ44,IF($AF44="","н.д.",$AF44))),IF(AJ44="","н.д.",AJ44)))</x:f>
        <x:v>н.д.</x:v>
      </x:c>
      <x:c r="G44" s="35" t="str">
        <x:f t="shared" si="3">IF(COLUMN()=8,IF(ISNUMBER(AK44),IF(AK44&lt;=0,"н.п.",IF(ISNUMBER($AG44),$AG44/AK44,IF($AG44="","н.д.",$AG44))),IF(AK44="","н.д.",AK44)),IF(ISNUMBER(AK44),IF(AK44&lt;=0,"н.п.",IF(ISNUMBER($AF44),$AF44/AK44,IF($AF44="","н.д.",$AF44))),IF(AK44="","н.д.",AK44)))</x:f>
        <x:v>н.д.</x:v>
      </x:c>
      <x:c r="H44" s="35" t="str">
        <x:f t="shared" si="3">IF(COLUMN()=8,IF(ISNUMBER(AL44),IF(AL44&lt;=0,"н.п.",IF(ISNUMBER($AG44),$AG44/AL44,IF($AG44="","н.д.",$AG44))),IF(AL44="","н.д.",AL44)),IF(ISNUMBER(AL44),IF(AL44&lt;=0,"н.п.",IF(ISNUMBER($AF44),$AF44/AL44,IF($AF44="","н.д.",$AF44))),IF(AL44="","н.д.",AL44)))</x:f>
        <x:v>н.п.</x:v>
      </x:c>
      <x:c r="I44" s="35" t="str">
        <x:f t="shared" si="3">IF(COLUMN()=8,IF(ISNUMBER(AM44),IF(AM44&lt;=0,"н.п.",IF(ISNUMBER($AG44),$AG44/AM44,IF($AG44="","н.д.",$AG44))),IF(AM44="","н.д.",AM44)),IF(ISNUMBER(AM44),IF(AM44&lt;=0,"н.п.",IF(ISNUMBER($AF44),$AF44/AM44,IF($AF44="","н.д.",$AF44))),IF(AM44="","н.д.",AM44)))</x:f>
        <x:v>н.п.</x:v>
      </x:c>
      <x:c r="J44" s="35" t="str">
        <x:f t="shared" si="3">IF(COLUMN()=8,IF(ISNUMBER(AN44),IF(AN44&lt;=0,"н.п.",IF(ISNUMBER($AG44),$AG44/AN44,IF($AG44="","н.д.",$AG44))),IF(AN44="","н.д.",AN44)),IF(ISNUMBER(AN44),IF(AN44&lt;=0,"н.п.",IF(ISNUMBER($AF44),$AF44/AN44,IF($AF44="","н.д.",$AF44))),IF(AN44="","н.д.",AN44)))</x:f>
        <x:v>н.д.</x:v>
      </x:c>
      <x:c r="K44" s="35" t="str">
        <x:f t="shared" si="0">IF(ISNUMBER(AI44),IF(AI44=0,"н.п.",IF(ISNUMBER(AF44),AF44/AI44,IF(AF44="","н.д.",AF44))),IF(AI44="","н.д.",AI44))</x:f>
        <x:v>н.д.</x:v>
      </x:c>
      <x:c r="L44" s="35" t="n">
        <x:f t="shared" si="4">IF(ISNUMBER(AO44),IF(AO44&lt;=0,"н.п.",IF(ISNUMBER(X44),X44/AO44,IF(X44="","н.д.",X44))),IF(AO44="","н.д.",AO44))</x:f>
        <x:v>5.864052238540749</x:v>
      </x:c>
      <x:c r="M44" s="35" t="n">
        <x:f t="shared" si="1">IF(ISNUMBER(AP44),IF(AP44=0,"н.п.",IF(ISNUMBER(X44),X44/AP44,IF(X44="","н.д.",X44))),IF(AP44="","н.д.",AP44))</x:f>
        <x:v>0.2827250787841099</x:v>
      </x:c>
      <x:c r="N44" s="35" t="n">
        <x:f t="shared" si="2">IF(ISNUMBER(AI44),IF(AI44=0,"н.п.",IF(ISNUMBER(X44),X44/AI44,IF(X44="","н.д.",X44))),IF(AI44="","н.д.",AI44))</x:f>
        <x:v>0.1635214842032445</x:v>
      </x:c>
      <x:c r="O44" s="35" t="str">
        <x:f t="shared" si="5">IF(COLUMN()=17,IF(ISNUMBER(AJ44),IF(AJ44&lt;=0,"н.п.",IF(ISNUMBER($AB44),$AB44/AJ44,IF($AB44="","н.д.",$AB44))),IF(AJ44="","н.д.",AJ44)),IF($C$6="Да",IF(ISNUMBER(AJ44),IF(AJ44&lt;=0,"н.п.",IF(ISNUMBER($AA44),$AA44/AJ44,IF($AA44="","н.д.",$AA44))),IF(AJ44="","н.д.",AJ44)),IF(ISNUMBER(AJ44),IF(AJ44&lt;=0,"н.п.",IF(ISNUMBER($Z44),$Z44/AJ44,IF($Z44="","н.д.",$Z44))),IF(AJ44="","н.д.",AJ44))))</x:f>
        <x:v>н.д.</x:v>
      </x:c>
      <x:c r="P44" s="35" t="str">
        <x:f t="shared" si="5">IF(COLUMN()=17,IF(ISNUMBER(AK44),IF(AK44&lt;=0,"н.п.",IF(ISNUMBER($AB44),$AB44/AK44,IF($AB44="","н.д.",$AB44))),IF(AK44="","н.д.",AK44)),IF($C$6="Да",IF(ISNUMBER(AK44),IF(AK44&lt;=0,"н.п.",IF(ISNUMBER($AA44),$AA44/AK44,IF($AA44="","н.д.",$AA44))),IF(AK44="","н.д.",AK44)),IF(ISNUMBER(AK44),IF(AK44&lt;=0,"н.п.",IF(ISNUMBER($Z44),$Z44/AK44,IF($Z44="","н.д.",$Z44))),IF(AK44="","н.д.",AK44))))</x:f>
        <x:v>н.д.</x:v>
      </x:c>
      <x:c r="Q44" s="35" t="str">
        <x:f t="shared" si="5">IF(COLUMN()=17,IF(ISNUMBER(AL44),IF(AL44&lt;=0,"н.п.",IF(ISNUMBER($AB44),$AB44/AL44,IF($AB44="","н.д.",$AB44))),IF(AL44="","н.д.",AL44)),IF($C$6="Да",IF(ISNUMBER(AL44),IF(AL44&lt;=0,"н.п.",IF(ISNUMBER($AA44),$AA44/AL44,IF($AA44="","н.д.",$AA44))),IF(AL44="","н.д.",AL44)),IF(ISNUMBER(AL44),IF(AL44&lt;=0,"н.п.",IF(ISNUMBER($Z44),$Z44/AL44,IF($Z44="","н.д.",$Z44))),IF(AL44="","н.д.",AL44))))</x:f>
        <x:v>н.п.</x:v>
      </x:c>
      <x:c r="R44" s="35" t="str">
        <x:f t="shared" si="5">IF(COLUMN()=17,IF(ISNUMBER(AM44),IF(AM44&lt;=0,"н.п.",IF(ISNUMBER($AB44),$AB44/AM44,IF($AB44="","н.д.",$AB44))),IF(AM44="","н.д.",AM44)),IF($C$6="Да",IF(ISNUMBER(AM44),IF(AM44&lt;=0,"н.п.",IF(ISNUMBER($AA44),$AA44/AM44,IF($AA44="","н.д.",$AA44))),IF(AM44="","н.д.",AM44)),IF(ISNUMBER(AM44),IF(AM44&lt;=0,"н.п.",IF(ISNUMBER($Z44),$Z44/AM44,IF($Z44="","н.д.",$Z44))),IF(AM44="","н.д.",AM44))))</x:f>
        <x:v>н.п.</x:v>
      </x:c>
      <x:c r="S44" s="35" t="str">
        <x:f t="shared" si="5">IF(COLUMN()=17,IF(ISNUMBER(AN44),IF(AN44&lt;=0,"н.п.",IF(ISNUMBER($AB44),$AB44/AN44,IF($AB44="","н.д.",$AB44))),IF(AN44="","н.д.",AN44)),IF($C$6="Да",IF(ISNUMBER(AN44),IF(AN44&lt;=0,"н.п.",IF(ISNUMBER($AA44),$AA44/AN44,IF($AA44="","н.д.",$AA44))),IF(AN44="","н.д.",AN44)),IF(ISNUMBER(AN44),IF(AN44&lt;=0,"н.п.",IF(ISNUMBER($Z44),$Z44/AN44,IF($Z44="","н.д.",$Z44))),IF(AN44="","н.д.",AN44))))</x:f>
        <x:v>н.д.</x:v>
      </x:c>
      <x:c r="T44" s="3"/>
      <x:c r="U44" s="51" t="n">
        <x:f>Котировки!C36</x:f>
        <x:v>70.220952381</x:v>
      </x:c>
      <x:c r="V44" s="51" t="n">
        <x:f>Котировки!E36</x:f>
        <x:v>958749600</x:v>
      </x:c>
      <x:c r="W44" s="53"/>
      <x:c r="X44" s="31" t="n">
        <x:f t="shared" si="6">IF($C$5="Да",IF(ISNUMBER(W44),IF(ISNUMBER(U44),U44*W44/10^6,IF(U44="","н.д.",U44)),IF(W44="","н.д.",W44)),IF(ISNUMBER(V44),IF(ISNUMBER(U44),U44*V44/10^6,IF(U44="","н.д.",U44)),IF(V44="","н.д.",V44)))</x:f>
        <x:v>67324.3100069028</x:v>
      </x:c>
      <x:c r="Y44" s="3"/>
      <x:c r="Z44" s="31" t="str">
        <x:f>IF(ISNUMBER('Фин.показатели TTM'!E40),'Фин.показатели TTM'!E40,IF('Фин.показатели TTM'!E40="",IF(ISNUMBER('Фин.показатели TTM'!R40),'Фин.показатели TTM'!R40,IF('Фин.показатели TTM'!R40="","н.д.",'Фин.показатели TTM'!R40)),'Фин.показатели TTM'!E40))</x:f>
        <x:v>н.д.</x:v>
      </x:c>
      <x:c r="AA44" s="31" t="str">
        <x:f>IF(ISNUMBER('Фин.показатели TTM'!F40),'Фин.показатели TTM'!F40,IF('Фин.показатели TTM'!F40="","н.д.",'Фин.показатели TTM'!F40))</x:f>
        <x:v>н.д.</x:v>
      </x:c>
      <x:c r="AB44" s="31" t="str">
        <x:f>IF(ISNUMBER('Фин.показатели TTM'!G40),'Фин.показатели TTM'!G40,IF('Фин.показатели TTM'!G40="",IF(ISNUMBER('Фин.показатели TTM'!Y40),'Фин.показатели TTM'!Y40,IF('Фин.показатели TTM'!Y40="","н.д.",'Фин.показатели TTM'!Y40)),'Фин.показатели TTM'!G40))</x:f>
        <x:v>н.п.</x:v>
      </x:c>
      <x:c r="AC44" s="34">
        <x:v>22308.132000000001</x:v>
      </x:c>
      <x:c r="AD44" s="34" t="n">
        <x:f>Котировки!D36*Котировки!F36/10^6</x:f>
        <x:v>0</x:v>
      </x:c>
      <x:c r="AE44" s="34"/>
      <x:c r="AF44" s="31" t="str">
        <x:f t="shared" si="7">IF($C$6="Да",IF(ISNUMBER(AA44),IF(ISNUMBER(X44),IF(COUNTIF(AC44:AE44,"н.д.")&gt;0,"н.д.",X44+AA44+SUM(AC44:AE44)),IF(X44="","н.д.",X44)),IF(AA44="","н.д.",AA44)),IF(ISNUMBER(Z44),IF(ISNUMBER(X44),IF(COUNTIF(AC44:AE44,"н.д.")&gt;0,"н.д.",X44+Z44+SUM(AC44:AE44)),IF(X44="","н.д.",X44)),IF(Z44="","н.д.",Z44)))</x:f>
        <x:v>н.д.</x:v>
      </x:c>
      <x:c r="AG44" s="31" t="str">
        <x:f t="shared" si="8">IF(ISNUMBER(AB44),IF(ISNUMBER(X44),IF(COUNTIF(AC44:AE44,"н.д.")&gt;0,"н.д.",X44+AB44+SUM(AC44:AE44)),IF(X44="","н.д.",X44)),IF(AB44="","н.д.",AB44))</x:f>
        <x:v>н.п.</x:v>
      </x:c>
      <x:c r="AH44" s="3"/>
      <x:c r="AI44" s="31" t="n">
        <x:f>IF(ISNUMBER('Фин.показатели TTM'!H40),'Фин.показатели TTM'!H40,IF('Фин.показатели TTM'!H40="","н.д.",'Фин.показатели TTM'!H40))</x:f>
        <x:v>411715.37999999995</x:v>
      </x:c>
      <x:c r="AJ44" s="31" t="str">
        <x:f>IF(ISNUMBER('Фин.показатели TTM'!I40),'Фин.показатели TTM'!I40,IF('Фин.показатели TTM'!I40="",IF(ISNUMBER('Фин.показатели TTM'!Z40),'Фин.показатели TTM'!Z40,IF('Фин.показатели TTM'!Z40="","н.д.",'Фин.показатели TTM'!Z40)),'Фин.показатели TTM'!I40))</x:f>
        <x:v>н.д.</x:v>
      </x:c>
      <x:c r="AK44" s="31" t="n">
        <x:f>IF(ISNUMBER('Фин.показатели TTM'!J40),'Фин.показатели TTM'!J40,IF('Фин.показатели TTM'!J40="","н.д.",'Фин.показатели TTM'!J40))</x:f>
        <x:v>48044.81800000001</x:v>
      </x:c>
      <x:c r="AL44" s="31" t="str">
        <x:f>IF(ISNUMBER('Фин.показатели TTM'!K40),'Фин.показатели TTM'!K40,IF('Фин.показатели TTM'!K40="",IF(ISNUMBER('Фин.показатели TTM'!AI40),'Фин.показатели TTM'!AI40,IF('Фин.показатели TTM'!AI40="","н.д.",'Фин.показатели TTM'!AI40)),'Фин.показатели TTM'!K40))</x:f>
        <x:v>н.п.</x:v>
      </x:c>
      <x:c r="AM44" s="31" t="str">
        <x:f>IF(ISNUMBER('Фин.показатели TTM'!L40),'Фин.показатели TTM'!L40,IF('Фин.показатели TTM'!L40="",IF(ISNUMBER('Фин.показатели TTM'!AK40),'Фин.показатели TTM'!AK40,IF('Фин.показатели TTM'!AK40="","н.д.",'Фин.показатели TTM'!AK40)),'Фин.показатели TTM'!L40))</x:f>
        <x:v>н.п.</x:v>
      </x:c>
      <x:c r="AN44" s="31" t="str">
        <x:f>IF(ISNUMBER('Фин.показатели TTM'!M40),'Фин.показатели TTM'!M40,IF('Фин.показатели TTM'!M40="","н.д.",'Фин.показатели TTM'!M40))</x:f>
        <x:v>н.д.</x:v>
      </x:c>
      <x:c r="AO44" s="31" t="n">
        <x:f>IF(ISNUMBER('Фин.показатели TTM'!N40),'Фин.показатели TTM'!N40,IF('Фин.показатели TTM'!N40="","н.д.",'Фин.показатели TTM'!N40))</x:f>
        <x:v>11480.851</x:v>
      </x:c>
      <x:c r="AP44" s="31" t="n">
        <x:f>IF(ISNUMBER('Фин.показатели TTM'!O40),'Фин.показатели TTM'!O40,IF('Фин.показатели TTM'!O40="","н.д.",'Фин.показатели TTM'!O40))</x:f>
        <x:v>238126.417</x:v>
      </x:c>
      <x:c r="AQ44" s="3"/>
      <x:c r="AR44" s="3"/>
    </x:row>
    <x:row r="45"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  <x:c r="AA45" s="3"/>
      <x:c r="AB45" s="3"/>
      <x:c r="AC45" s="3"/>
      <x:c r="AD45" s="3"/>
      <x:c r="AE45" s="3"/>
      <x:c r="AF45" s="3"/>
      <x:c r="AG45" s="3"/>
      <x:c r="AH45" s="3"/>
      <x:c r="AI45" s="3"/>
      <x:c r="AJ45" s="3"/>
      <x:c r="AK45" s="3"/>
      <x:c r="AL45" s="3"/>
      <x:c r="AM45" s="3"/>
      <x:c r="AN45" s="3"/>
      <x:c r="AO45" s="3"/>
      <x:c r="AP45" s="3"/>
      <x:c r="AQ45" s="3"/>
      <x:c r="AR45" s="3"/>
    </x:row>
    <x:row r="46"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  <x:c r="AA46" s="3"/>
      <x:c r="AB46" s="3"/>
      <x:c r="AC46" s="3"/>
      <x:c r="AD46" s="3"/>
      <x:c r="AE46" s="3"/>
      <x:c r="AF46" s="3"/>
      <x:c r="AG46" s="3"/>
      <x:c r="AH46" s="3"/>
      <x:c r="AI46" s="3"/>
      <x:c r="AJ46" s="3"/>
      <x:c r="AK46" s="3"/>
      <x:c r="AL46" s="3"/>
      <x:c r="AM46" s="3"/>
      <x:c r="AN46" s="3"/>
      <x:c r="AO46" s="3"/>
      <x:c r="AP46" s="3"/>
      <x:c r="AQ46" s="3"/>
      <x:c r="AR46" s="3"/>
    </x:row>
    <x:row r="47" ht="17.25">
      <x:c r="B47" s="5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  <x:c r="AA47" s="3"/>
      <x:c r="AB47" s="3"/>
      <x:c r="AC47" s="3"/>
      <x:c r="AD47" s="3"/>
      <x:c r="AE47" s="3"/>
      <x:c r="AF47" s="3"/>
      <x:c r="AG47" s="3"/>
      <x:c r="AH47" s="3"/>
      <x:c r="AI47" s="3"/>
      <x:c r="AK47" s="3"/>
      <x:c r="AL47" s="3"/>
      <x:c r="AM47" s="3"/>
      <x:c r="AN47" s="3"/>
      <x:c r="AO47" s="3"/>
      <x:c r="AP47" s="3"/>
      <x:c r="AQ47" s="3"/>
      <x:c r="AR47" s="3"/>
    </x:row>
    <x:row r="48"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  <x:c r="AA48" s="3"/>
      <x:c r="AB48" s="3"/>
      <x:c r="AC48" s="3"/>
      <x:c r="AD48" s="3"/>
      <x:c r="AE48" s="3"/>
      <x:c r="AF48" s="3"/>
      <x:c r="AG48" s="3"/>
      <x:c r="AH48" s="3"/>
      <x:c r="AI48" s="3"/>
      <x:c r="AJ48" s="3"/>
      <x:c r="AK48" s="3"/>
      <x:c r="AL48" s="3"/>
      <x:c r="AM48" s="3"/>
      <x:c r="AN48" s="3"/>
      <x:c r="AO48" s="3"/>
      <x:c r="AP48" s="3"/>
      <x:c r="AQ48" s="3"/>
      <x:c r="AR48" s="3"/>
    </x:row>
    <x:row r="49" ht="21.75" customHeight="1">
      <x:c r="B49" s="40"/>
      <x:c r="C49" s="40"/>
      <x:c r="D49" s="40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  <x:c r="Y49" s="3"/>
      <x:c r="Z49" s="3"/>
      <x:c r="AA49" s="3"/>
      <x:c r="AB49" s="3"/>
      <x:c r="AC49" s="3"/>
      <x:c r="AD49" s="3"/>
      <x:c r="AE49" s="3"/>
      <x:c r="AF49" s="3"/>
      <x:c r="AG49" s="3"/>
      <x:c r="AH49" s="3"/>
      <x:c r="AI49" s="3"/>
      <x:c r="AJ49" s="3"/>
      <x:c r="AK49" s="3"/>
      <x:c r="AL49" s="3"/>
      <x:c r="AM49" s="3"/>
      <x:c r="AN49" s="3"/>
      <x:c r="AO49" s="3"/>
      <x:c r="AP49" s="3"/>
      <x:c r="AQ49" s="3"/>
      <x:c r="AR49" s="3"/>
    </x:row>
    <x:row r="50">
      <x:c r="B50" s="4"/>
      <x:c r="C50" s="2"/>
      <x:c r="D50" s="2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  <x:c r="Y50" s="3"/>
      <x:c r="Z50" s="3"/>
      <x:c r="AA50" s="3"/>
      <x:c r="AB50" s="3"/>
      <x:c r="AC50" s="3"/>
      <x:c r="AD50" s="3"/>
      <x:c r="AE50" s="3"/>
      <x:c r="AF50" s="3"/>
      <x:c r="AG50" s="3"/>
      <x:c r="AH50" s="3"/>
      <x:c r="AI50" s="3"/>
      <x:c r="AJ50" s="3"/>
      <x:c r="AK50" s="3"/>
      <x:c r="AL50" s="3"/>
      <x:c r="AM50" s="3"/>
      <x:c r="AN50" s="3"/>
      <x:c r="AO50" s="3"/>
      <x:c r="AP50" s="3"/>
      <x:c r="AQ50" s="3"/>
      <x:c r="AR50" s="3"/>
    </x:row>
    <x:row r="51"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  <x:c r="Y51" s="3"/>
      <x:c r="Z51" s="3"/>
      <x:c r="AA51" s="3"/>
      <x:c r="AB51" s="3"/>
      <x:c r="AC51" s="3"/>
      <x:c r="AD51" s="3"/>
      <x:c r="AE51" s="3"/>
      <x:c r="AF51" s="3"/>
      <x:c r="AG51" s="3"/>
      <x:c r="AH51" s="3"/>
      <x:c r="AI51" s="3"/>
      <x:c r="AJ51" s="3"/>
      <x:c r="AK51" s="3"/>
      <x:c r="AL51" s="3"/>
      <x:c r="AM51" s="3"/>
      <x:c r="AN51" s="3"/>
      <x:c r="AO51" s="3"/>
      <x:c r="AP51" s="3"/>
      <x:c r="AQ51" s="3"/>
      <x:c r="AR51" s="3"/>
    </x:row>
    <x:row r="52"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  <x:c r="AA52" s="3"/>
      <x:c r="AB52" s="3"/>
      <x:c r="AC52" s="3"/>
      <x:c r="AD52" s="3"/>
      <x:c r="AE52" s="3"/>
      <x:c r="AF52" s="3"/>
      <x:c r="AG52" s="3"/>
      <x:c r="AH52" s="3"/>
      <x:c r="AI52" s="3"/>
      <x:c r="AJ52" s="3"/>
      <x:c r="AK52" s="3"/>
      <x:c r="AL52" s="3"/>
      <x:c r="AM52" s="3"/>
      <x:c r="AN52" s="3"/>
      <x:c r="AO52" s="3"/>
      <x:c r="AP52" s="3"/>
      <x:c r="AQ52" s="3"/>
      <x:c r="AR52" s="3"/>
    </x:row>
    <x:row r="53"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  <x:c r="AA53" s="3"/>
      <x:c r="AB53" s="3"/>
      <x:c r="AC53" s="3"/>
      <x:c r="AD53" s="3"/>
      <x:c r="AE53" s="3"/>
      <x:c r="AF53" s="3"/>
      <x:c r="AG53" s="3"/>
      <x:c r="AH53" s="3"/>
      <x:c r="AI53" s="3"/>
      <x:c r="AJ53" s="3"/>
      <x:c r="AK53" s="3"/>
      <x:c r="AL53" s="3"/>
      <x:c r="AM53" s="3"/>
      <x:c r="AN53" s="3"/>
      <x:c r="AO53" s="3"/>
      <x:c r="AP53" s="3"/>
      <x:c r="AQ53" s="3"/>
      <x:c r="AR53" s="3"/>
    </x:row>
    <x:row r="54"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  <x:c r="AA54" s="3"/>
      <x:c r="AB54" s="3"/>
      <x:c r="AC54" s="3"/>
      <x:c r="AD54" s="3"/>
      <x:c r="AE54" s="3"/>
      <x:c r="AF54" s="3"/>
      <x:c r="AG54" s="3"/>
      <x:c r="AH54" s="3"/>
      <x:c r="AI54" s="3"/>
      <x:c r="AJ54" s="3"/>
      <x:c r="AK54" s="3"/>
      <x:c r="AL54" s="3"/>
      <x:c r="AM54" s="3"/>
      <x:c r="AN54" s="3"/>
      <x:c r="AO54" s="3"/>
      <x:c r="AP54" s="3"/>
      <x:c r="AQ54" s="3"/>
      <x:c r="AR54" s="3"/>
    </x:row>
    <x:row r="55"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  <x:c r="AA55" s="3"/>
      <x:c r="AB55" s="3"/>
      <x:c r="AC55" s="3"/>
      <x:c r="AD55" s="3"/>
      <x:c r="AE55" s="3"/>
      <x:c r="AF55" s="3"/>
      <x:c r="AG55" s="3"/>
      <x:c r="AH55" s="3"/>
      <x:c r="AI55" s="3"/>
      <x:c r="AJ55" s="3"/>
      <x:c r="AK55" s="3"/>
      <x:c r="AL55" s="3"/>
      <x:c r="AM55" s="3"/>
      <x:c r="AN55" s="3"/>
      <x:c r="AO55" s="3"/>
      <x:c r="AP55" s="3"/>
      <x:c r="AQ55" s="3"/>
      <x:c r="AR55" s="3"/>
    </x:row>
    <x:row r="56"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  <x:c r="X56" s="3"/>
      <x:c r="Y56" s="3"/>
      <x:c r="Z56" s="3"/>
      <x:c r="AA56" s="3"/>
      <x:c r="AB56" s="3"/>
      <x:c r="AC56" s="3"/>
      <x:c r="AD56" s="3"/>
      <x:c r="AE56" s="3"/>
      <x:c r="AF56" s="3"/>
      <x:c r="AG56" s="3"/>
      <x:c r="AH56" s="3"/>
      <x:c r="AI56" s="3"/>
      <x:c r="AJ56" s="3"/>
      <x:c r="AK56" s="3"/>
      <x:c r="AL56" s="3"/>
      <x:c r="AM56" s="3"/>
      <x:c r="AN56" s="3"/>
      <x:c r="AO56" s="3"/>
      <x:c r="AP56" s="3"/>
      <x:c r="AQ56" s="3"/>
      <x:c r="AR56" s="3"/>
    </x:row>
    <x:row r="57"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  <x:c r="X57" s="3"/>
      <x:c r="Y57" s="3"/>
      <x:c r="Z57" s="3"/>
      <x:c r="AA57" s="3"/>
      <x:c r="AB57" s="3"/>
      <x:c r="AC57" s="3"/>
      <x:c r="AD57" s="3"/>
      <x:c r="AE57" s="3"/>
      <x:c r="AF57" s="3"/>
      <x:c r="AG57" s="3"/>
      <x:c r="AH57" s="3"/>
      <x:c r="AI57" s="3"/>
      <x:c r="AJ57" s="3"/>
      <x:c r="AK57" s="3"/>
      <x:c r="AL57" s="3"/>
      <x:c r="AM57" s="3"/>
      <x:c r="AN57" s="3"/>
      <x:c r="AO57" s="3"/>
      <x:c r="AP57" s="3"/>
      <x:c r="AQ57" s="3"/>
      <x:c r="AR57" s="3"/>
    </x:row>
    <x:row r="58"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  <x:c r="X58" s="3"/>
      <x:c r="Y58" s="3"/>
      <x:c r="Z58" s="3"/>
      <x:c r="AA58" s="3"/>
      <x:c r="AB58" s="3"/>
      <x:c r="AC58" s="3"/>
      <x:c r="AD58" s="3"/>
      <x:c r="AE58" s="3"/>
      <x:c r="AF58" s="3"/>
      <x:c r="AG58" s="3"/>
      <x:c r="AH58" s="3"/>
      <x:c r="AI58" s="3"/>
      <x:c r="AJ58" s="3"/>
      <x:c r="AK58" s="3"/>
      <x:c r="AL58" s="3"/>
      <x:c r="AM58" s="3"/>
      <x:c r="AN58" s="3"/>
      <x:c r="AO58" s="3"/>
      <x:c r="AP58" s="3"/>
      <x:c r="AQ58" s="3"/>
      <x:c r="AR58" s="3"/>
    </x:row>
    <x:row r="59"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  <x:c r="V59" s="3"/>
      <x:c r="W59" s="3"/>
      <x:c r="X59" s="3"/>
      <x:c r="Y59" s="3"/>
      <x:c r="Z59" s="3"/>
      <x:c r="AA59" s="3"/>
      <x:c r="AB59" s="3"/>
      <x:c r="AC59" s="3"/>
      <x:c r="AD59" s="3"/>
      <x:c r="AE59" s="3"/>
      <x:c r="AF59" s="3"/>
      <x:c r="AG59" s="3"/>
      <x:c r="AH59" s="3"/>
      <x:c r="AI59" s="3"/>
      <x:c r="AJ59" s="3"/>
      <x:c r="AK59" s="3"/>
      <x:c r="AL59" s="3"/>
      <x:c r="AM59" s="3"/>
      <x:c r="AN59" s="3"/>
      <x:c r="AO59" s="3"/>
      <x:c r="AP59" s="3"/>
      <x:c r="AQ59" s="3"/>
      <x:c r="AR59" s="3"/>
    </x:row>
    <x:row r="71">
      <x:c r="B71" s="1" t="s">
        <x:v>118</x:v>
      </x:c>
    </x:row>
    <x:row r="72">
      <x:c r="B72" s="1" t="s">
        <x:v>119</x:v>
      </x:c>
    </x:row>
  </x:sheetData>
  <x:mergeCells>
    <x:mergeCell ref="AI9:AP9"/>
    <x:mergeCell ref="U9:X9"/>
    <x:mergeCell ref="F9:S9"/>
    <x:mergeCell ref="Z9:AG9"/>
    <x:mergeCell ref="B49:D49"/>
    <x:mergeCell ref="B9:D9"/>
  </x:mergeCells>
  <x:dataValidations count="1">
    <x:dataValidation type="list" allowBlank="1" showInputMessage="1" showErrorMessage="1" sqref="C5:C6">
      <x:formula1>$B$71:$B$72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xSplit="3" ySplit="6" topLeftCell="D7" activePane="bottomRight" state="frozen"/>
    </x:sheetView>
  </x:sheetViews>
  <x:sheetFormatPr defaultRowHeight="15"/>
  <x:cols>
    <x:col min="3" max="3" width="17.85546875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4" max="14" width="20" hidden="0" customWidth="1"/>
    <x:col min="15" max="15" width="20" hidden="0" customWidth="1"/>
    <x:col min="16" max="16" width="8.42578125" customWidth="1"/>
    <x:col min="17" max="17" width="6.7109375" customWidth="1"/>
    <x:col min="18" max="18" width="22.85546875" customWidth="1"/>
    <x:col min="19" max="22" width="22.85546875" customWidth="1"/>
    <x:col min="23" max="23" width="20.85546875" customWidth="1"/>
    <x:col min="24" max="32" width="20.85546875" customWidth="1"/>
    <x:col min="33" max="33" width="20.42578125" customWidth="1"/>
    <x:col min="34" max="34" width="20.42578125" customWidth="1"/>
    <x:col min="35" max="35" width="34.42578125" customWidth="1"/>
    <x:col min="36" max="36" width="34.42578125" customWidth="1"/>
    <x:col min="37" max="37" width="12.140625" customWidth="1"/>
    <x:col min="38" max="38" width="17.85546875" customWidth="1"/>
    <x:col min="39" max="39" width="12.140625" customWidth="1"/>
    <x:col min="40" max="40" width="23" customWidth="1"/>
    <x:col min="41" max="41" width="20" customWidth="1"/>
    <x:col min="43" max="44" width="21.5703125" customWidth="1"/>
    <x:col min="64" max="64" width="38" hidden="0" customWidth="1"/>
    <x:col min="65" max="65" width="38" hidden="0" customWidth="1"/>
    <x:col min="66" max="66" width="25" hidden="0" customWidth="1"/>
    <x:col min="67" max="67" width="25" hidden="0" customWidth="1"/>
    <x:col min="68" max="68" width="25" hidden="0" customWidth="1"/>
    <x:col min="69" max="69" width="25" hidden="0" customWidth="1"/>
    <x:col min="70" max="70" width="70" hidden="0" customWidth="1"/>
    <x:col min="71" max="71" width="25" hidden="0" customWidth="1"/>
    <x:col min="72" max="72" width="25" hidden="0" customWidth="1"/>
    <x:col min="73" max="73" width="25" hidden="0" customWidth="1"/>
    <x:col min="74" max="74" width="25" hidden="0" customWidth="1"/>
    <x:col min="75" max="75" width="25" hidden="0" customWidth="1"/>
    <x:col min="76" max="76" width="25" hidden="0" customWidth="1"/>
    <x:col min="77" max="77" width="25" hidden="0" customWidth="1"/>
    <x:col min="78" max="78" width="25" hidden="0" customWidth="1"/>
    <x:col min="79" max="79" width="25" hidden="0" customWidth="1"/>
    <x:col min="80" max="80" width="25" hidden="0" customWidth="1"/>
    <x:col min="81" max="81" width="25" hidden="0" customWidth="1"/>
    <x:col min="82" max="82" width="25" hidden="0" customWidth="1"/>
    <x:col min="83" max="83" width="25" hidden="0" customWidth="1"/>
    <x:col min="84" max="84" width="25" hidden="0" customWidth="1"/>
    <x:col min="85" max="85" width="25" hidden="0" customWidth="1"/>
    <x:col min="86" max="86" width="25" hidden="0" customWidth="1"/>
    <x:col min="87" max="87" width="25" hidden="0" customWidth="1"/>
    <x:col min="88" max="88" width="25" hidden="0" customWidth="1"/>
    <x:col min="89" max="89" width="25" hidden="0" customWidth="1"/>
    <x:col min="90" max="90" width="25" hidden="0" customWidth="1"/>
    <x:col min="91" max="91" width="25" hidden="0" customWidth="1"/>
    <x:col min="92" max="92" width="25" hidden="0" customWidth="1"/>
    <x:col min="55" max="55" width="38" hidden="0" customWidth="1"/>
    <x:col min="56" max="56" width="38" hidden="0" customWidth="1"/>
    <x:col min="57" max="57" width="38" hidden="0" customWidth="1"/>
    <x:col min="58" max="58" width="38" hidden="0" customWidth="1"/>
    <x:col min="59" max="59" width="38" hidden="0" customWidth="1"/>
    <x:col min="60" max="60" width="38" hidden="0" customWidth="1"/>
    <x:col min="61" max="61" width="38" hidden="0" customWidth="1"/>
    <x:col min="62" max="62" width="38" hidden="0" customWidth="1"/>
    <x:col min="63" max="63" width="38" hidden="0" customWidth="1"/>
    <x:col min="5" max="5" width="20" hidden="0" customWidth="1"/>
    <x:col min="6" max="6" width="20" hidden="0" customWidth="1"/>
    <x:col min="7" max="7" width="20" hidden="0" customWidth="1"/>
    <x:col min="12" max="12" width="20" hidden="0" customWidth="1"/>
    <x:col min="13" max="13" width="20" hidden="0" customWidth="1"/>
  </x:cols>
  <x:sheetData>
    <x:row r="2">
      <x:c r="B2" t="str">
        <x:v>TTM на 30.06.2026</x:v>
      </x:c>
    </x:row>
    <x:row r="3">
      <x:c r="E3" t="str">
        <x:v>Потоки = 2025 + 1П2026 − 1П2025. Остатки = 30.06.2026. н.д. — расчет не подтвержден.</x:v>
      </x:c>
    </x:row>
    <x:row r="5">
      <x:c r="B5" s="42" t="s">
        <x:v>120</x:v>
      </x:c>
      <x:c r="C5" s="42"/>
      <x:c r="E5" s="42" t="str">
        <x:v>Финансовые показатели: раскрытые и расчетные</x:v>
      </x:c>
      <x:c r="F5" s="42"/>
      <x:c r="G5" s="42"/>
      <x:c r="H5" s="42"/>
      <x:c r="I5" s="42"/>
      <x:c r="J5" s="42"/>
      <x:c r="K5" s="42"/>
      <x:c r="L5" s="42"/>
      <x:c r="M5" s="42"/>
      <x:c r="N5" s="42"/>
      <x:c r="O5" s="42"/>
      <x:c r="R5" s="29" t="s">
        <x:v>121</x:v>
      </x:c>
      <x:c r="S5" s="29"/>
      <x:c r="T5" s="29"/>
      <x:c r="U5" s="29"/>
      <x:c r="V5" s="29"/>
      <x:c r="W5" s="29"/>
      <x:c r="X5" s="29"/>
      <x:c r="Y5" s="29"/>
      <x:c r="Z5" s="29"/>
      <x:c r="AA5" s="29"/>
      <x:c r="AB5" s="29"/>
      <x:c r="AC5" s="29"/>
      <x:c r="AD5" s="29"/>
      <x:c r="AE5" s="29"/>
      <x:c r="AF5" s="29"/>
      <x:c r="AG5" s="29"/>
      <x:c r="AH5" s="29"/>
      <x:c r="AI5" s="29"/>
      <x:c r="AJ5" s="29"/>
      <x:c r="AK5" s="29"/>
      <x:c r="AL5" s="29"/>
      <x:c r="AM5" s="29"/>
      <x:c r="AN5" s="29"/>
      <x:c r="AO5" s="29"/>
      <x:c r="AP5" s="29"/>
      <x:c r="AQ5" s="54"/>
      <x:c r="AR5" s="54"/>
      <x:c r="AT5" s="41" t="s">
        <x:v>122</x:v>
      </x:c>
      <x:c r="AU5" s="41"/>
      <x:c r="AV5" s="41"/>
      <x:c r="AW5" s="41"/>
      <x:c r="AX5" s="41"/>
      <x:c r="AY5" s="41"/>
      <x:c r="AZ5" s="41"/>
      <x:c r="BA5" s="41"/>
      <x:c r="BC5" s="42" t="s">
        <x:v>123</x:v>
      </x:c>
      <x:c r="BD5" s="42"/>
      <x:c r="BE5" s="42"/>
      <x:c r="BF5" s="42"/>
      <x:c r="BG5" s="42"/>
      <x:c r="BH5" s="42"/>
      <x:c r="BI5" s="42"/>
      <x:c r="BJ5" s="42"/>
      <x:c r="BK5" s="42"/>
      <x:c r="BL5" s="42"/>
      <x:c r="BM5" s="42"/>
    </x:row>
    <x:row r="6" ht="57">
      <x:c r="B6" s="20" t="s">
        <x:v>33</x:v>
      </x:c>
      <x:c r="C6" s="20" t="s">
        <x:v>34</x:v>
      </x:c>
      <x:c r="E6" s="21" t="s">
        <x:v>54</x:v>
      </x:c>
      <x:c r="F6" s="21" t="s">
        <x:v>55</x:v>
      </x:c>
      <x:c r="G6" s="21" t="s">
        <x:v>56</x:v>
      </x:c>
      <x:c r="H6" s="21" t="s">
        <x:v>62</x:v>
      </x:c>
      <x:c r="I6" s="20" t="s">
        <x:v>63</x:v>
      </x:c>
      <x:c r="J6" s="21" t="s">
        <x:v>64</x:v>
      </x:c>
      <x:c r="K6" s="20" t="s">
        <x:v>65</x:v>
      </x:c>
      <x:c r="L6" s="20" t="s">
        <x:v>66</x:v>
      </x:c>
      <x:c r="M6" s="20" t="s">
        <x:v>67</x:v>
      </x:c>
      <x:c r="N6" s="21" t="s">
        <x:v>68</x:v>
      </x:c>
      <x:c r="O6" s="20" t="s">
        <x:v>69</x:v>
      </x:c>
      <x:c r="R6" s="21" t="s">
        <x:v>54</x:v>
      </x:c>
      <x:c r="S6" s="21" t="s">
        <x:v>124</x:v>
      </x:c>
      <x:c r="T6" s="21" t="s">
        <x:v>125</x:v>
      </x:c>
      <x:c r="U6" s="21" t="s">
        <x:v>126</x:v>
      </x:c>
      <x:c r="V6" s="21" t="s">
        <x:v>127</x:v>
      </x:c>
      <x:c r="W6" s="21" t="s">
        <x:v>55</x:v>
      </x:c>
      <x:c r="X6" s="21" t="s">
        <x:v>128</x:v>
      </x:c>
      <x:c r="Y6" s="21" t="s">
        <x:v>56</x:v>
      </x:c>
      <x:c r="Z6" s="20" t="s">
        <x:v>63</x:v>
      </x:c>
      <x:c r="AA6" s="20" t="s">
        <x:v>68</x:v>
      </x:c>
      <x:c r="AB6" s="20" t="s">
        <x:v>129</x:v>
      </x:c>
      <x:c r="AC6" s="21" t="s">
        <x:v>130</x:v>
      </x:c>
      <x:c r="AD6" s="21" t="s">
        <x:v>131</x:v>
      </x:c>
      <x:c r="AE6" s="20" t="s">
        <x:v>132</x:v>
      </x:c>
      <x:c r="AF6" s="21" t="s">
        <x:v>133</x:v>
      </x:c>
      <x:c r="AG6" s="21" t="s">
        <x:v>64</x:v>
      </x:c>
      <x:c r="AH6" s="21" t="s">
        <x:v>128</x:v>
      </x:c>
      <x:c r="AI6" s="20" t="s">
        <x:v>65</x:v>
      </x:c>
      <x:c r="AJ6" s="20" t="s">
        <x:v>134</x:v>
      </x:c>
      <x:c r="AK6" s="20" t="s">
        <x:v>66</x:v>
      </x:c>
      <x:c r="AL6" s="21" t="s">
        <x:v>135</x:v>
      </x:c>
      <x:c r="AM6" s="21" t="s">
        <x:v>136</x:v>
      </x:c>
      <x:c r="AN6" s="21" t="s">
        <x:v>137</x:v>
      </x:c>
      <x:c r="AO6" s="21" t="s">
        <x:v>132</x:v>
      </x:c>
      <x:c r="AP6" s="20" t="s">
        <x:v>67</x:v>
      </x:c>
      <x:c r="AQ6" s="21" t="s">
        <x:v>138</x:v>
      </x:c>
      <x:c r="AR6" s="21" t="s">
        <x:v>139</x:v>
      </x:c>
      <x:c r="AT6" s="21" t="s">
        <x:v>54</x:v>
      </x:c>
      <x:c r="AU6" s="21" t="s">
        <x:v>55</x:v>
      </x:c>
      <x:c r="AV6" s="21" t="s">
        <x:v>56</x:v>
      </x:c>
      <x:c r="AW6" s="21" t="s">
        <x:v>64</x:v>
      </x:c>
      <x:c r="AX6" s="21" t="s">
        <x:v>65</x:v>
      </x:c>
      <x:c r="AY6" s="20" t="s">
        <x:v>63</x:v>
      </x:c>
      <x:c r="AZ6" s="20" t="s">
        <x:v>66</x:v>
      </x:c>
      <x:c r="BA6" s="20" t="s">
        <x:v>67</x:v>
      </x:c>
      <x:c r="BC6" s="21" t="s">
        <x:v>54</x:v>
      </x:c>
      <x:c r="BD6" s="21" t="s">
        <x:v>55</x:v>
      </x:c>
      <x:c r="BE6" s="21" t="s">
        <x:v>56</x:v>
      </x:c>
      <x:c r="BF6" s="21" t="s">
        <x:v>62</x:v>
      </x:c>
      <x:c r="BG6" s="21" t="s">
        <x:v>64</x:v>
      </x:c>
      <x:c r="BH6" s="20" t="s">
        <x:v>65</x:v>
      </x:c>
      <x:c r="BI6" s="20" t="s">
        <x:v>63</x:v>
      </x:c>
      <x:c r="BJ6" s="20" t="s">
        <x:v>66</x:v>
      </x:c>
      <x:c r="BK6" s="20" t="s">
        <x:v>67</x:v>
      </x:c>
      <x:c r="BL6" s="21" t="s">
        <x:v>68</x:v>
      </x:c>
      <x:c r="BM6" s="20" t="s">
        <x:v>69</x:v>
      </x:c>
      <x:c r="BN6" s="63" t="str">
        <x:v>Обязательства по аренде вне кредитов</x:v>
      </x:c>
      <x:c r="BO6" s="63" t="str">
        <x:v>Неконтролирующие доли</x:v>
      </x:c>
      <x:c r="BP6" s="63" t="str">
        <x:v>Скорр. EBITDA IAS 17</x:v>
      </x:c>
      <x:c r="BQ6" s="63" t="str">
        <x:v>Капитал группы, включая НКД</x:v>
      </x:c>
      <x:c r="BR6" s="63" t="str">
        <x:v>Метод / ограничения</x:v>
      </x:c>
      <x:c r="BS6" s="63" t="str">
        <x:v>Вознаграждения акциями</x:v>
      </x:c>
      <x:c r="BT6" s="63" t="str">
        <x:v>Прочие внеоперационные расходы</x:v>
      </x:c>
      <x:c r="BU6" s="63" t="str">
        <x:v>Минус доход от продажи Авто.ру</x:v>
      </x:c>
      <x:c r="BV6" s="63" t="str">
        <x:v>Курсовые разницы</x:v>
      </x:c>
      <x:c r="BW6" s="63" t="str">
        <x:v>Разовые операционные корректировки</x:v>
      </x:c>
      <x:c r="BX6" s="63" t="str">
        <x:v>Переоценка биологических активов</x:v>
      </x:c>
      <x:c r="BY6" s="63" t="str">
        <x:v>Результат прочих инвестиций</x:v>
      </x:c>
      <x:c r="BZ6" s="63" t="str">
        <x:v>Доля в прибыли инвестиций</x:v>
      </x:c>
      <x:c r="CA6" s="63" t="str">
        <x:v>Прибыль от продажи инвестиций</x:v>
      </x:c>
      <x:c r="CB6" s="63" t="str">
        <x:v>Резервы</x:v>
      </x:c>
      <x:c r="CC6" s="63" t="str">
        <x:v>Обесценение нефинансовых активов</x:v>
      </x:c>
      <x:c r="CD6" s="63" t="str">
        <x:v>Курсовые убытки</x:v>
      </x:c>
      <x:c r="CE6" s="63" t="str">
        <x:v>Фиксированные расходы по аренде</x:v>
      </x:c>
      <x:c r="CF6" s="63" t="str">
        <x:v>Капитализированные расходы и прочее</x:v>
      </x:c>
      <x:c r="CG6" s="63" t="str">
        <x:v>Корректировка отгрузок</x:v>
      </x:c>
      <x:c r="CH6" s="63" t="str">
        <x:v>Краткосрочная аренда</x:v>
      </x:c>
      <x:c r="CI6" s="63" t="str">
        <x:v>Долгосрочная аренда</x:v>
      </x:c>
      <x:c r="CJ6" s="63" t="str">
        <x:v>Облигации</x:v>
      </x:c>
      <x:c r="CK6" s="63" t="str">
        <x:v>Переоценка инвестиций в Яндекс</x:v>
      </x:c>
      <x:c r="CL6" s="63" t="str">
        <x:v>Минус банковские депозиты</x:v>
      </x:c>
      <x:c r="CM6" s="63" t="str">
        <x:v>Расходы на реструктуризацию</x:v>
      </x:c>
      <x:c r="CN6" s="63" t="str">
        <x:v>Операционные курсовые убытки</x:v>
      </x:c>
    </x:row>
    <x:row r="7" ht="16.5">
      <x:c r="B7" s="3">
        <x:v>1</x:v>
      </x:c>
      <x:c r="C7" s="3" t="s">
        <x:v>70</x:v>
      </x:c>
      <x:c r="E7" s="64" t="n">
        <x:f>'1 пол. 2026'!E7</x:f>
        <x:v>-342691</x:v>
      </x:c>
      <x:c r="F7" s="64"/>
      <x:c r="G7" s="64"/>
      <x:c r="H7" s="64" t="n">
        <x:f>IF(COUNT('Фин.показатели 2025'!H7,'1 пол. 2026'!H7,'1 пол. 2025'!H7)=3,'Фин.показатели 2025'!H7+'1 пол. 2026'!H7-'1 пол. 2025'!H7,"н.д.")</x:f>
        <x:v>3919444</x:v>
      </x:c>
      <x:c r="I7" s="64" t="n">
        <x:f>IF(COUNT('Фин.показатели 2025'!I7,'1 пол. 2026'!I7,'1 пол. 2025'!I7)=3,'Фин.показатели 2025'!I7+'1 пол. 2026'!I7-'1 пол. 2025'!I7,"н.д.")</x:f>
        <x:v>1285556</x:v>
      </x:c>
      <x:c r="J7" s="64"/>
      <x:c r="K7" s="64"/>
      <x:c r="L7" s="64"/>
      <x:c r="M7" s="64"/>
      <x:c r="N7" s="64" t="n">
        <x:f>IF(COUNT('Фин.показатели 2025'!N7,'1 пол. 2026'!N7,'1 пол. 2025'!N7)=3,'Фин.показатели 2025'!N7+'1 пол. 2026'!N7-'1 пол. 2025'!N7,"н.д.")</x:f>
        <x:v>-920385</x:v>
      </x:c>
      <x:c r="O7" s="64" t="n">
        <x:f>'1 пол. 2026'!O7</x:f>
        <x:v>3630123</x:v>
      </x:c>
      <x:c r="P7" s="65"/>
      <x:c r="Q7" s="65"/>
      <x:c r="R7" s="80" t="n">
        <x:f>IF(ISNUMBER('1 пол. 2026'!R7),'1 пол. 2026'!R7,"н.д.")</x:f>
        <x:v>-342691</x:v>
      </x:c>
      <x:c r="S7" s="66" t="n">
        <x:f>'1 пол. 2026'!S7</x:f>
        <x:v>81987</x:v>
      </x:c>
      <x:c r="T7" s="66" t="n">
        <x:f>'1 пол. 2026'!T7</x:f>
        <x:v>236713</x:v>
      </x:c>
      <x:c r="U7" s="66" t="n">
        <x:f>'1 пол. 2026'!U7</x:f>
        <x:v>661391</x:v>
      </x:c>
      <x:c r="V7" s="66"/>
      <x:c r="W7" s="80" t="str">
        <x:f>IF(ISNUMBER('1 пол. 2026'!W7),'1 пол. 2026'!W7,"н.д.")</x:f>
        <x:v>н.д.</x:v>
      </x:c>
      <x:c r="X7" s="64"/>
      <x:c r="Y7" s="66" t="str">
        <x:f>'1 пол. 2026'!Y7</x:f>
        <x:v>н.п.</x:v>
      </x:c>
      <x:c r="Z7" s="80" t="n">
        <x:f>IF(COUNT('Фин.показатели 2025'!Z7,'1 пол. 2026'!Z7,'1 пол. 2025'!Z7)=3,'Фин.показатели 2025'!Z7+'1 пол. 2026'!Z7-'1 пол. 2025'!Z7,"н.д.")</x:f>
        <x:v>1285556</x:v>
      </x:c>
      <x:c r="AA7" s="80" t="str">
        <x:f>IF(COUNT('Фин.показатели 2025'!AA7,'1 пол. 2026'!AA7,'1 пол. 2025'!AA7)=3,'Фин.показатели 2025'!AA7+'1 пол. 2026'!AA7-'1 пол. 2025'!AA7,"н.д.")</x:f>
        <x:v>н.д.</x:v>
      </x:c>
      <x:c r="AB7" s="66"/>
      <x:c r="AC7" s="66"/>
      <x:c r="AD7" s="66"/>
      <x:c r="AE7" s="66"/>
      <x:c r="AF7" s="66"/>
      <x:c r="AG7" s="80" t="str">
        <x:f>IF(COUNT('Фин.показатели 2025'!AG7,'1 пол. 2026'!AG7,'1 пол. 2025'!AG7)=3,'Фин.показатели 2025'!AG7+'1 пол. 2026'!AG7-'1 пол. 2025'!AG7,"н.д.")</x:f>
        <x:v>н.д.</x:v>
      </x:c>
      <x:c r="AH7" s="64"/>
      <x:c r="AI7" s="80" t="str">
        <x:f>IF('1 пол. 2026'!AI7="н.п.","н.п.",IF(COUNT('Фин.показатели 2025'!AI7,'1 пол. 2026'!AI7,'1 пол. 2025'!AI7)=3,'Фин.показатели 2025'!AI7+'1 пол. 2026'!AI7-'1 пол. 2025'!AI7,"н.д."))</x:f>
        <x:v>н.п.</x:v>
      </x:c>
      <x:c r="AJ7" s="64"/>
      <x:c r="AK7" s="80" t="str">
        <x:f>IF('1 пол. 2026'!AK7="н.п.","н.п.",IF(COUNT('Фин.показатели 2025'!AK7,'1 пол. 2026'!AK7,'1 пол. 2025'!AK7)=3,'Фин.показатели 2025'!AK7+'1 пол. 2026'!AK7-'1 пол. 2025'!AK7,"н.д."))</x:f>
        <x:v>н.п.</x:v>
      </x:c>
      <x:c r="AL7" s="64"/>
      <x:c r="AM7" s="80" t="str">
        <x:f>IF(COUNT('Фин.показатели 2025'!AM7,'1 пол. 2026'!AM7,'1 пол. 2025'!AM7)=3,'Фин.показатели 2025'!AM7+'1 пол. 2026'!AM7-'1 пол. 2025'!AM7,"н.д.")</x:f>
        <x:v>н.д.</x:v>
      </x:c>
      <x:c r="AN7" s="64" t="n">
        <x:f>IF(COUNT('Фин.показатели 2025'!AN7,'1 пол. 2026'!AN7,'1 пол. 2025'!AN7)=3,'Фин.показатели 2025'!AN7+'1 пол. 2026'!AN7-'1 пол. 2025'!AN7,"н.д.")</x:f>
        <x:v>893558</x:v>
      </x:c>
      <x:c r="AO7" s="64" t="n">
        <x:f>IF(COUNT('Фин.показатели 2025'!AO7,'1 пол. 2026'!AO7,'1 пол. 2025'!AO7)=3,'Фин.показатели 2025'!AO7+'1 пол. 2026'!AO7-'1 пол. 2025'!AO7,"н.д.")</x:f>
        <x:v>391998</x:v>
      </x:c>
      <x:c r="AP7" s="80" t="str">
        <x:f>IF(COUNT('Фин.показатели 2025'!AP7,'1 пол. 2026'!AP7,'1 пол. 2025'!AP7)=3,'Фин.показатели 2025'!AP7+'1 пол. 2026'!AP7-'1 пол. 2025'!AP7,"н.д.")</x:f>
        <x:v>н.д.</x:v>
      </x:c>
      <x:c r="AQ7" s="64"/>
      <x:c r="AR7" s="80" t="str">
        <x:f>IF(COUNT('Фин.показатели 2025'!AR7,'1 пол. 2026'!AR7,'1 пол. 2025'!AR7)=3,'Фин.показатели 2025'!AR7+'1 пол. 2026'!AR7-'1 пол. 2025'!AR7,"н.д.")</x:f>
        <x:v>н.д.</x:v>
      </x:c>
      <x:c r="AS7" s="65"/>
      <x:c r="AT7" s="65"/>
      <x:c r="AU7" s="65"/>
      <x:c r="AV7" s="65"/>
      <x:c r="AW7" s="65"/>
      <x:c r="AX7" s="65"/>
      <x:c r="AY7" s="65"/>
      <x:c r="AZ7" s="65"/>
      <x:c r="BA7" s="65"/>
      <x:c r="BB7" s="65"/>
      <x:c r="BC7" s="67" t="str">
        <x:v>1 пол. 2026!BC7</x:v>
      </x:c>
      <x:c r="BD7" s="67" t="str">
        <x:v>1 пол. 2026!BD7</x:v>
      </x:c>
      <x:c r="BE7" s="67" t="str">
        <x:v>1 пол. 2026!BE7</x:v>
      </x:c>
      <x:c r="BF7" s="67" t="str">
        <x:v>Фин.показатели 2025!BF7; 1 пол. 2025!BF7; 1 пол. 2026!BF7</x:v>
      </x:c>
      <x:c r="BG7" s="67" t="str">
        <x:v>Фин.показатели 2025!BG7; 1 пол. 2025!BG7; 1 пол. 2026!BG7</x:v>
      </x:c>
      <x:c r="BH7" s="67" t="str">
        <x:v>Фин.показатели 2025!BH7; 1 пол. 2025!BH7; 1 пол. 2026!BH7</x:v>
      </x:c>
      <x:c r="BI7" s="67" t="str">
        <x:v>Фин.показатели 2025!BI7; 1 пол. 2025!BI7; 1 пол. 2026!BI7</x:v>
      </x:c>
      <x:c r="BJ7" s="67" t="str">
        <x:v>Фин.показатели 2025!BJ7; 1 пол. 2025!BJ7; 1 пол. 2026!BJ7</x:v>
      </x:c>
      <x:c r="BK7" s="67" t="str">
        <x:v>Фин.показатели 2025!BK7; 1 пол. 2025!BK7; 1 пол. 2026!BK7</x:v>
      </x:c>
      <x:c r="BL7" s="67" t="str">
        <x:v>Фин.показатели 2025!BL7; 1 пол. 2025!BL7; 1 пол. 2026!BL7</x:v>
      </x:c>
      <x:c r="BM7" s="67" t="str">
        <x:v>1 пол. 2026!BM7</x:v>
      </x:c>
      <x:c r="BN7" s="65" t="n">
        <x:f>'1 пол. 2026'!BN7</x:f>
        <x:v>0</x:v>
      </x:c>
      <x:c r="BO7" s="65" t="n">
        <x:f>'1 пол. 2026'!BO7</x:f>
        <x:v>247853</x:v>
      </x:c>
      <x:c r="BP7" s="65"/>
      <x:c r="BQ7" s="65"/>
      <x:c r="BR7" s="67" t="str">
        <x:v>Аренда уже включена в S/T; BK=0 исключает двойной учет. ЧП включает прекращенную деятельность.</x:v>
      </x:c>
      <x:c r="BS7" s="65"/>
      <x:c r="BT7" s="65"/>
      <x:c r="BU7" s="65"/>
      <x:c r="BV7" s="65"/>
      <x:c r="BW7" s="65"/>
      <x:c r="BX7" s="65"/>
      <x:c r="BY7" s="65"/>
      <x:c r="BZ7" s="65"/>
      <x:c r="CA7" s="65"/>
      <x:c r="CB7" s="65"/>
      <x:c r="CC7" s="65"/>
      <x:c r="CD7" s="65"/>
      <x:c r="CE7" s="65"/>
      <x:c r="CF7" s="65"/>
      <x:c r="CG7" s="65"/>
      <x:c r="CH7" s="65"/>
      <x:c r="CI7" s="65"/>
      <x:c r="CJ7" s="65"/>
      <x:c r="CK7" s="65"/>
      <x:c r="CL7" s="65"/>
      <x:c r="CM7" s="65"/>
      <x:c r="CN7" s="65"/>
    </x:row>
    <x:row r="8" ht="16.5">
      <x:c r="B8" s="3">
        <x:v>2</x:v>
      </x:c>
      <x:c r="C8" s="3" t="s">
        <x:v>72</x:v>
      </x:c>
      <x:c r="E8" s="64"/>
      <x:c r="F8" s="64"/>
      <x:c r="G8" s="64"/>
      <x:c r="H8" s="64" t="n">
        <x:f>IF(COUNT('Фин.показатели 2025'!H8,'1 пол. 2026'!H8,'1 пол. 2025'!H8)=3,'Фин.показатели 2025'!H8+'1 пол. 2026'!H8-'1 пол. 2025'!H8,"н.д.")</x:f>
        <x:v>10082964</x:v>
      </x:c>
      <x:c r="I8" s="68" t="str">
        <x:f>IF(COUNT('Фин.показатели 2025'!I8,'1 пол. 2026'!I8,'1 пол. 2025'!I8)=3,'Фин.показатели 2025'!I8+'1 пол. 2026'!I8-'1 пол. 2025'!I8,"н.д.")</x:f>
        <x:v>н.д.</x:v>
      </x:c>
      <x:c r="J8" s="68" t="n">
        <x:f>IF(COUNT('Фин.показатели 2025'!J8,'1 пол. 2026'!J8,'1 пол. 2025'!J8)=3,'Фин.показатели 2025'!J8+'1 пол. 2026'!J8-'1 пол. 2025'!J8,"н.д.")</x:f>
        <x:v>3347491</x:v>
      </x:c>
      <x:c r="K8" s="64"/>
      <x:c r="L8" s="64"/>
      <x:c r="M8" s="64"/>
      <x:c r="N8" s="64" t="n">
        <x:f>IF(COUNT('Фин.показатели 2025'!N8,'1 пол. 2026'!N8,'1 пол. 2025'!N8)=3,'Фин.показатели 2025'!N8+'1 пол. 2026'!N8-'1 пол. 2025'!N8,"н.д.")</x:f>
        <x:v>1187504</x:v>
      </x:c>
      <x:c r="O8" s="64" t="n">
        <x:f>'1 пол. 2026'!O8</x:f>
        <x:v>18180194</x:v>
      </x:c>
      <x:c r="P8" s="65"/>
      <x:c r="Q8" s="65"/>
      <x:c r="R8" s="80" t="n">
        <x:f>IF(ISNUMBER('1 пол. 2026'!R8),'1 пол. 2026'!R8,"н.д.")</x:f>
        <x:v>6108148</x:v>
      </x:c>
      <x:c r="S8" s="66"/>
      <x:c r="T8" s="66"/>
      <x:c r="U8" s="66"/>
      <x:c r="V8" s="66"/>
      <x:c r="W8" s="80" t="str">
        <x:f>IF(ISNUMBER('1 пол. 2026'!W8),'1 пол. 2026'!W8,"н.д.")</x:f>
        <x:v>н.д.</x:v>
      </x:c>
      <x:c r="X8" s="64"/>
      <x:c r="Y8" s="66" t="str">
        <x:f>'1 пол. 2026'!Y8</x:f>
        <x:v>н.п.</x:v>
      </x:c>
      <x:c r="Z8" s="80" t="n">
        <x:f>IF(COUNT('Фин.показатели 2025'!Z8,'1 пол. 2026'!Z8,'1 пол. 2025'!Z8)=3,'Фин.показатели 2025'!Z8+'1 пол. 2026'!Z8-'1 пол. 2025'!Z8,"н.д.")</x:f>
        <x:v>3166834</x:v>
      </x:c>
      <x:c r="AA8" s="80" t="str">
        <x:f>IF(COUNT('Фин.показатели 2025'!AA8,'1 пол. 2026'!AA8,'1 пол. 2025'!AA8)=3,'Фин.показатели 2025'!AA8+'1 пол. 2026'!AA8-'1 пол. 2025'!AA8,"н.д.")</x:f>
        <x:v>н.д.</x:v>
      </x:c>
      <x:c r="AB8" s="66" t="str">
        <x:f>IF(COUNT('Фин.показатели 2025'!AB8,'1 пол. 2026'!AB8,'1 пол. 2025'!AB8)=3,'Фин.показатели 2025'!AB8+'1 пол. 2026'!AB8-'1 пол. 2025'!AB8,"н.д.")</x:f>
        <x:v>н.д.</x:v>
      </x:c>
      <x:c r="AC8" s="66" t="str">
        <x:f>IF(COUNT('Фин.показатели 2025'!AC8,'1 пол. 2026'!AC8,'1 пол. 2025'!AC8)=3,'Фин.показатели 2025'!AC8+'1 пол. 2026'!AC8-'1 пол. 2025'!AC8,"н.д.")</x:f>
        <x:v>н.д.</x:v>
      </x:c>
      <x:c r="AD8" s="66" t="str">
        <x:f>IF(COUNT('Фин.показатели 2025'!AD8,'1 пол. 2026'!AD8,'1 пол. 2025'!AD8)=3,'Фин.показатели 2025'!AD8+'1 пол. 2026'!AD8-'1 пол. 2025'!AD8,"н.д.")</x:f>
        <x:v>н.д.</x:v>
      </x:c>
      <x:c r="AE8" s="66" t="str">
        <x:f>IF(COUNT('Фин.показатели 2025'!AE8,'1 пол. 2026'!AE8,'1 пол. 2025'!AE8)=3,'Фин.показатели 2025'!AE8+'1 пол. 2026'!AE8-'1 пол. 2025'!AE8,"н.д.")</x:f>
        <x:v>н.д.</x:v>
      </x:c>
      <x:c r="AF8" s="66"/>
      <x:c r="AG8" s="80" t="n">
        <x:f>IF(COUNT('Фин.показатели 2025'!AG8,'1 пол. 2026'!AG8,'1 пол. 2025'!AG8)=3,'Фин.показатели 2025'!AG8+'1 пол. 2026'!AG8-'1 пол. 2025'!AG8,"н.д.")</x:f>
        <x:v>3347491</x:v>
      </x:c>
      <x:c r="AH8" s="64"/>
      <x:c r="AI8" s="80" t="str">
        <x:f>IF('1 пол. 2026'!AI8="н.п.","н.п.",IF(COUNT('Фин.показатели 2025'!AI8,'1 пол. 2026'!AI8,'1 пол. 2025'!AI8)=3,'Фин.показатели 2025'!AI8+'1 пол. 2026'!AI8-'1 пол. 2025'!AI8,"н.д."))</x:f>
        <x:v>н.п.</x:v>
      </x:c>
      <x:c r="AJ8" s="64"/>
      <x:c r="AK8" s="80" t="str">
        <x:f>IF('1 пол. 2026'!AK8="н.п.","н.п.",IF(COUNT('Фин.показатели 2025'!AK8,'1 пол. 2026'!AK8,'1 пол. 2025'!AK8)=3,'Фин.показатели 2025'!AK8+'1 пол. 2026'!AK8-'1 пол. 2025'!AK8,"н.д."))</x:f>
        <x:v>н.п.</x:v>
      </x:c>
      <x:c r="AL8" s="64"/>
      <x:c r="AM8" s="80" t="str">
        <x:f>IF(COUNT('Фин.показатели 2025'!AM8,'1 пол. 2026'!AM8,'1 пол. 2025'!AM8)=3,'Фин.показатели 2025'!AM8+'1 пол. 2026'!AM8-'1 пол. 2025'!AM8,"н.д.")</x:f>
        <x:v>н.д.</x:v>
      </x:c>
      <x:c r="AN8" s="64"/>
      <x:c r="AO8" s="64"/>
      <x:c r="AP8" s="80" t="str">
        <x:f>IF(COUNT('Фин.показатели 2025'!AP8,'1 пол. 2026'!AP8,'1 пол. 2025'!AP8)=3,'Фин.показатели 2025'!AP8+'1 пол. 2026'!AP8-'1 пол. 2025'!AP8,"н.д.")</x:f>
        <x:v>н.д.</x:v>
      </x:c>
      <x:c r="AQ8" s="64"/>
      <x:c r="AR8" s="80" t="str">
        <x:f>IF(COUNT('Фин.показатели 2025'!AR8,'1 пол. 2026'!AR8,'1 пол. 2025'!AR8)=3,'Фин.показатели 2025'!AR8+'1 пол. 2026'!AR8-'1 пол. 2025'!AR8,"н.д.")</x:f>
        <x:v>н.д.</x:v>
      </x:c>
      <x:c r="AS8" s="65"/>
      <x:c r="AT8" s="65"/>
      <x:c r="AU8" s="65"/>
      <x:c r="AV8" s="65"/>
      <x:c r="AW8" s="65"/>
      <x:c r="AX8" s="65"/>
      <x:c r="AY8" s="65"/>
      <x:c r="AZ8" s="65"/>
      <x:c r="BA8" s="65"/>
      <x:c r="BB8" s="65"/>
      <x:c r="BC8" s="67" t="str">
        <x:v>1 пол. 2026!BC8</x:v>
      </x:c>
      <x:c r="BD8" s="67" t="str">
        <x:v>1 пол. 2026!BD8</x:v>
      </x:c>
      <x:c r="BE8" s="67" t="str">
        <x:v>1 пол. 2026!BE8</x:v>
      </x:c>
      <x:c r="BF8" s="67" t="str">
        <x:v>Фин.показатели 2025!BF8; 1 пол. 2025!BF8; 1 пол. 2026!BF8</x:v>
      </x:c>
      <x:c r="BG8" s="67" t="str">
        <x:v>Фин.показатели 2025!BG8; 1 пол. 2025!BG8; 1 пол. 2026!BG8</x:v>
      </x:c>
      <x:c r="BH8" s="67" t="str">
        <x:v>Фин.показатели 2025!BH8; 1 пол. 2025!BH8; 1 пол. 2026!BH8</x:v>
      </x:c>
      <x:c r="BI8" s="67" t="str">
        <x:v>Фин.показатели 2025!BI8; 1 пол. 2025!BI8; 1 пол. 2026!BI8</x:v>
      </x:c>
      <x:c r="BJ8" s="67" t="str">
        <x:v>Фин.показатели 2025!BJ8; 1 пол. 2025!BJ8; 1 пол. 2026!BJ8</x:v>
      </x:c>
      <x:c r="BK8" s="67" t="str">
        <x:v>Фин.показатели 2025!BK8; 1 пол. 2025!BK8; 1 пол. 2026!BK8</x:v>
      </x:c>
      <x:c r="BL8" s="67" t="str">
        <x:v>Фин.показатели 2025!BL8; 1 пол. 2025!BL8; 1 пол. 2026!BL8</x:v>
      </x:c>
      <x:c r="BM8" s="67" t="str">
        <x:v>1 пол. 2026!BM8</x:v>
      </x:c>
      <x:c r="BN8" s="65"/>
      <x:c r="BO8" s="65" t="n">
        <x:f>'1 пол. 2026'!BO8</x:f>
        <x:v>850031</x:v>
      </x:c>
      <x:c r="BP8" s="65"/>
      <x:c r="BQ8" s="65"/>
      <x:c r="BR8" s="67" t="str">
        <x:v> Book Value исключает бессрочные облигации.</x:v>
      </x:c>
      <x:c r="BS8" s="65"/>
      <x:c r="BT8" s="65"/>
      <x:c r="BU8" s="65"/>
      <x:c r="BV8" s="65"/>
      <x:c r="BW8" s="65"/>
      <x:c r="BX8" s="65"/>
      <x:c r="BY8" s="65"/>
      <x:c r="BZ8" s="65"/>
      <x:c r="CA8" s="65"/>
      <x:c r="CB8" s="65"/>
      <x:c r="CC8" s="65"/>
      <x:c r="CD8" s="65"/>
      <x:c r="CE8" s="65"/>
      <x:c r="CF8" s="65"/>
      <x:c r="CG8" s="65"/>
      <x:c r="CH8" s="65"/>
      <x:c r="CI8" s="65"/>
      <x:c r="CJ8" s="65"/>
      <x:c r="CK8" s="65"/>
      <x:c r="CL8" s="65"/>
      <x:c r="CM8" s="65"/>
      <x:c r="CN8" s="65"/>
    </x:row>
    <x:row r="9" ht="16.5">
      <x:c r="B9" s="3">
        <x:v>3</x:v>
      </x:c>
      <x:c r="C9" s="3" t="s">
        <x:v>73</x:v>
      </x:c>
      <x:c r="E9" s="64" t="n">
        <x:f>'1 пол. 2026'!E9</x:f>
        <x:v>73975</x:v>
      </x:c>
      <x:c r="F9" s="64" t="n">
        <x:f>'1 пол. 2026'!F9</x:f>
        <x:v>7000</x:v>
      </x:c>
      <x:c r="G9" s="64"/>
      <x:c r="H9" s="64" t="n">
        <x:f>IF(COUNT('Фин.показатели 2025'!H9,'1 пол. 2026'!H9,'1 пол. 2025'!H9)=3,'Фин.показатели 2025'!H9+'1 пол. 2026'!H9-'1 пол. 2025'!H9,"н.д.")</x:f>
        <x:v>1561086</x:v>
      </x:c>
      <x:c r="I9" s="64"/>
      <x:c r="J9" s="64" t="n">
        <x:f>IF(COUNT('Фин.показатели 2025'!J9,'1 пол. 2026'!J9,'1 пол. 2025'!J9)=3,'Фин.показатели 2025'!J9+'1 пол. 2026'!J9-'1 пол. 2025'!J9,"н.д.")</x:f>
        <x:v>328098</x:v>
      </x:c>
      <x:c r="K9" s="64"/>
      <x:c r="L9" s="64" t="str">
        <x:f>IF(COUNT('Фин.показатели 2025'!L9,'1 пол. 2026'!L9,'1 пол. 2025'!L9)=3,'Фин.показатели 2025'!L9+'1 пол. 2026'!L9-'1 пол. 2025'!L9,"н.д.")</x:f>
        <x:v>н.д.</x:v>
      </x:c>
      <x:c r="M9" s="64"/>
      <x:c r="N9" s="64" t="n">
        <x:f>IF(COUNT('Фин.показатели 2025'!N9,'1 пол. 2026'!N9,'1 пол. 2025'!N9)=3,'Фин.показатели 2025'!N9+'1 пол. 2026'!N9-'1 пол. 2025'!N9,"н.д.")</x:f>
        <x:v>167561</x:v>
      </x:c>
      <x:c r="O9" s="64" t="n">
        <x:f>'1 пол. 2026'!O9</x:f>
        <x:v>406268</x:v>
      </x:c>
      <x:c r="P9" s="65"/>
      <x:c r="Q9" s="65"/>
      <x:c r="R9" s="80" t="n">
        <x:f>IF(ISNUMBER('1 пол. 2026'!R9),'1 пол. 2026'!R9,"н.д.")</x:f>
        <x:v>73975</x:v>
      </x:c>
      <x:c r="S9" s="66" t="n">
        <x:f>'1 пол. 2026'!S9</x:f>
        <x:v>71828</x:v>
      </x:c>
      <x:c r="T9" s="66" t="n">
        <x:f>'1 пол. 2026'!T9</x:f>
        <x:v>205474</x:v>
      </x:c>
      <x:c r="U9" s="66" t="n">
        <x:f>'1 пол. 2026'!U9</x:f>
        <x:v>296024</x:v>
      </x:c>
      <x:c r="V9" s="66"/>
      <x:c r="W9" s="80" t="str">
        <x:f>IF(ISNUMBER('1 пол. 2026'!W9),'1 пол. 2026'!W9,"н.д.")</x:f>
        <x:v>н.д.</x:v>
      </x:c>
      <x:c r="X9" s="64"/>
      <x:c r="Y9" s="66" t="str">
        <x:f>'1 пол. 2026'!Y9</x:f>
        <x:v>н.п.</x:v>
      </x:c>
      <x:c r="Z9" s="80" t="str">
        <x:f>IF(COUNT('Фин.показатели 2025'!Z9,'1 пол. 2026'!Z9,'1 пол. 2025'!Z9)=3,'Фин.показатели 2025'!Z9+'1 пол. 2026'!Z9-'1 пол. 2025'!Z9,"н.д.")</x:f>
        <x:v>н.д.</x:v>
      </x:c>
      <x:c r="AA9" s="80" t="str">
        <x:f>IF(COUNT('Фин.показатели 2025'!AA9,'1 пол. 2026'!AA9,'1 пол. 2025'!AA9)=3,'Фин.показатели 2025'!AA9+'1 пол. 2026'!AA9-'1 пол. 2025'!AA9,"н.д.")</x:f>
        <x:v>н.д.</x:v>
      </x:c>
      <x:c r="AB9" s="66"/>
      <x:c r="AC9" s="66"/>
      <x:c r="AD9" s="66"/>
      <x:c r="AE9" s="66"/>
      <x:c r="AF9" s="66" t="n">
        <x:f>IF(COUNT('Фин.показатели 2025'!AF9,'1 пол. 2026'!AF9,'1 пол. 2025'!AF9)=3,'Фин.показатели 2025'!AF9+'1 пол. 2026'!AF9-'1 пол. 2025'!AF9,"н.д.")</x:f>
        <x:v>-8719</x:v>
      </x:c>
      <x:c r="AG9" s="80" t="n">
        <x:f>IF(COUNT('Фин.показатели 2025'!AG9,'1 пол. 2026'!AG9,'1 пол. 2025'!AG9)=3,'Фин.показатели 2025'!AG9+'1 пол. 2026'!AG9-'1 пол. 2025'!AG9,"н.д.")</x:f>
        <x:v>328098</x:v>
      </x:c>
      <x:c r="AH9" s="64"/>
      <x:c r="AI9" s="80" t="str">
        <x:f>IF('1 пол. 2026'!AI9="н.п.","н.п.",IF(COUNT('Фин.показатели 2025'!AI9,'1 пол. 2026'!AI9,'1 пол. 2025'!AI9)=3,'Фин.показатели 2025'!AI9+'1 пол. 2026'!AI9-'1 пол. 2025'!AI9,"н.д."))</x:f>
        <x:v>н.п.</x:v>
      </x:c>
      <x:c r="AJ9" s="64"/>
      <x:c r="AK9" s="80" t="str">
        <x:f>IF('1 пол. 2026'!AK9="н.п.","н.п.",IF(COUNT('Фин.показатели 2025'!AK9,'1 пол. 2026'!AK9,'1 пол. 2025'!AK9)=3,'Фин.показатели 2025'!AK9+'1 пол. 2026'!AK9-'1 пол. 2025'!AK9,"н.д."))</x:f>
        <x:v>н.д.</x:v>
      </x:c>
      <x:c r="AL9" s="64"/>
      <x:c r="AM9" s="80" t="str">
        <x:f>IF(COUNT('Фин.показатели 2025'!AM9,'1 пол. 2026'!AM9,'1 пол. 2025'!AM9)=3,'Фин.показатели 2025'!AM9+'1 пол. 2026'!AM9-'1 пол. 2025'!AM9,"н.д.")</x:f>
        <x:v>н.д.</x:v>
      </x:c>
      <x:c r="AN9" s="64"/>
      <x:c r="AO9" s="64"/>
      <x:c r="AP9" s="80" t="str">
        <x:f>IF(COUNT('Фин.показатели 2025'!AP9,'1 пол. 2026'!AP9,'1 пол. 2025'!AP9)=3,'Фин.показатели 2025'!AP9+'1 пол. 2026'!AP9-'1 пол. 2025'!AP9,"н.д.")</x:f>
        <x:v>н.д.</x:v>
      </x:c>
      <x:c r="AQ9" s="64"/>
      <x:c r="AR9" s="80" t="str">
        <x:f>IF(COUNT('Фин.показатели 2025'!AR9,'1 пол. 2026'!AR9,'1 пол. 2025'!AR9)=3,'Фин.показатели 2025'!AR9+'1 пол. 2026'!AR9-'1 пол. 2025'!AR9,"н.д.")</x:f>
        <x:v>н.д.</x:v>
      </x:c>
      <x:c r="AS9" s="65"/>
      <x:c r="AT9" s="65"/>
      <x:c r="AU9" s="65"/>
      <x:c r="AV9" s="65"/>
      <x:c r="AW9" s="65"/>
      <x:c r="AX9" s="65"/>
      <x:c r="AY9" s="65"/>
      <x:c r="AZ9" s="65"/>
      <x:c r="BA9" s="65"/>
      <x:c r="BB9" s="65"/>
      <x:c r="BC9" s="67" t="str">
        <x:v>1 пол. 2026!BC9</x:v>
      </x:c>
      <x:c r="BD9" s="67" t="str">
        <x:v>1 пол. 2026!BD9</x:v>
      </x:c>
      <x:c r="BE9" s="67" t="str">
        <x:v>1 пол. 2026!BE9</x:v>
      </x:c>
      <x:c r="BF9" s="67" t="str">
        <x:v>Фин.показатели 2025!BF9; 1 пол. 2025!BF9; 1 пол. 2026!BF9</x:v>
      </x:c>
      <x:c r="BG9" s="67" t="str">
        <x:v>Фин.показатели 2025!BG9; 1 пол. 2025!BG9; 1 пол. 2026!BG9</x:v>
      </x:c>
      <x:c r="BH9" s="67" t="str">
        <x:v>Фин.показатели 2025!BH9; 1 пол. 2025!BH9; 1 пол. 2026!BH9</x:v>
      </x:c>
      <x:c r="BI9" s="67" t="str">
        <x:v>Фин.показатели 2025!BI9; 1 пол. 2025!BI9; 1 пол. 2026!BI9</x:v>
      </x:c>
      <x:c r="BJ9" s="67" t="str">
        <x:v>Фин.показатели 2025!BJ9; 1 пол. 2025!BJ9; 1 пол. 2026!BJ9</x:v>
      </x:c>
      <x:c r="BK9" s="67" t="str">
        <x:v>Фин.показатели 2025!BK9; 1 пол. 2025!BK9; 1 пол. 2026!BK9</x:v>
      </x:c>
      <x:c r="BL9" s="67" t="str">
        <x:v>Фин.показатели 2025!BL9; 1 пол. 2025!BL9; 1 пол. 2026!BL9</x:v>
      </x:c>
      <x:c r="BM9" s="67" t="str">
        <x:v>1 пол. 2026!BM9</x:v>
      </x:c>
      <x:c r="BN9" s="65" t="n">
        <x:f>'1 пол. 2026'!BN9</x:f>
        <x:v>92697</x:v>
      </x:c>
      <x:c r="BO9" s="65" t="n">
        <x:f>'1 пол. 2026'!BO9</x:f>
        <x:v>0</x:v>
      </x:c>
      <x:c r="BP9" s="65"/>
      <x:c r="BQ9" s="65"/>
      <x:c r="BR9" s="67" t="str"/>
      <x:c r="BS9" s="65" t="n">
        <x:f>IF(COUNT('Фин.показатели 2025'!BS9,'1 пол. 2026'!BS9,'1 пол. 2025'!BS9)=3,'Фин.показатели 2025'!BS9+'1 пол. 2026'!BS9-'1 пол. 2025'!BS9,"н.д.")</x:f>
        <x:v>38517</x:v>
      </x:c>
      <x:c r="BT9" s="65" t="n">
        <x:f>IF(COUNT('Фин.показатели 2025'!BT9,'1 пол. 2026'!BT9,'1 пол. 2025'!BT9)=3,'Фин.показатели 2025'!BT9+'1 пол. 2026'!BT9-'1 пол. 2025'!BT9,"н.д.")</x:f>
        <x:v>3781</x:v>
      </x:c>
      <x:c r="BU9" s="65" t="n">
        <x:f>IF(COUNT('Фин.показатели 2025'!BU9,'1 пол. 2026'!BU9,'1 пол. 2025'!BU9)=3,'Фин.показатели 2025'!BU9+'1 пол. 2026'!BU9-'1 пол. 2025'!BU9,"н.д.")</x:f>
        <x:v>-25719</x:v>
      </x:c>
      <x:c r="BV9" s="65"/>
      <x:c r="BW9" s="65"/>
      <x:c r="BX9" s="65"/>
      <x:c r="BY9" s="65"/>
      <x:c r="BZ9" s="65"/>
      <x:c r="CA9" s="65"/>
      <x:c r="CB9" s="65"/>
      <x:c r="CC9" s="65"/>
      <x:c r="CD9" s="65"/>
      <x:c r="CE9" s="65"/>
      <x:c r="CF9" s="65"/>
      <x:c r="CG9" s="65"/>
      <x:c r="CH9" s="65" t="n">
        <x:f>'1 пол. 2026'!CH9</x:f>
        <x:v>23002</x:v>
      </x:c>
      <x:c r="CI9" s="65" t="n">
        <x:f>'1 пол. 2026'!CI9</x:f>
        <x:v>69695</x:v>
      </x:c>
      <x:c r="CJ9" s="65"/>
      <x:c r="CK9" s="65"/>
      <x:c r="CL9" s="65"/>
      <x:c r="CM9" s="65"/>
      <x:c r="CN9" s="65"/>
    </x:row>
    <x:row r="10" ht="16.5">
      <x:c r="B10" s="3">
        <x:v>4</x:v>
      </x:c>
      <x:c r="C10" s="3" t="s">
        <x:v>75</x:v>
      </x:c>
      <x:c r="E10" s="66" t="str">
        <x:v>н.п.</x:v>
      </x:c>
      <x:c r="F10" s="64"/>
      <x:c r="G10" s="64"/>
      <x:c r="H10" s="64" t="n">
        <x:f>IF(COUNT('Фин.показатели 2025'!H10,'1 пол. 2026'!H10,'1 пол. 2025'!H10)=3,'Фин.показатели 2025'!H10+'1 пол. 2026'!H10-'1 пол. 2025'!H10,"н.д.")</x:f>
        <x:v>1507194</x:v>
      </x:c>
      <x:c r="I10" s="64" t="n">
        <x:f>IF(COUNT('Фин.показатели 2025'!I10,'1 пол. 2026'!I10,'1 пол. 2025'!I10)=3,'Фин.показатели 2025'!I10+'1 пол. 2026'!I10-'1 пол. 2025'!I10,"н.д.")</x:f>
        <x:v>320143</x:v>
      </x:c>
      <x:c r="J10" s="64" t="n">
        <x:f>IF(COUNT('Фин.показатели 2025'!J10,'1 пол. 2026'!J10,'1 пол. 2025'!J10)=3,'Фин.показатели 2025'!J10+'1 пол. 2026'!J10-'1 пол. 2025'!J10,"н.д.")</x:f>
        <x:v>358205</x:v>
      </x:c>
      <x:c r="K10" s="64"/>
      <x:c r="L10" s="64"/>
      <x:c r="M10" s="64" t="str">
        <x:f>IF(COUNT('Фин.показатели 2025'!M10,'1 пол. 2026'!M10,'1 пол. 2025'!M10)=3,'Фин.показатели 2025'!M10+'1 пол. 2026'!M10-'1 пол. 2025'!M10,"н.д.")</x:f>
        <x:v>н.д.</x:v>
      </x:c>
      <x:c r="N10" s="64" t="n">
        <x:f>IF(COUNT('Фин.показатели 2025'!N10,'1 пол. 2026'!N10,'1 пол. 2025'!N10)=3,'Фин.показатели 2025'!N10+'1 пол. 2026'!N10-'1 пол. 2025'!N10,"н.д.")</x:f>
        <x:v>184418</x:v>
      </x:c>
      <x:c r="O10" s="64" t="n">
        <x:f>'1 пол. 2026'!O10</x:f>
        <x:v>756800</x:v>
      </x:c>
      <x:c r="P10" s="65"/>
      <x:c r="Q10" s="65"/>
      <x:c r="R10" s="80" t="str">
        <x:f>IF(ISNUMBER('1 пол. 2026'!R10),'1 пол. 2026'!R10,"н.д.")</x:f>
        <x:v>н.д.</x:v>
      </x:c>
      <x:c r="S10" s="66"/>
      <x:c r="T10" s="66"/>
      <x:c r="U10" s="66"/>
      <x:c r="V10" s="66"/>
      <x:c r="W10" s="80" t="str">
        <x:f>IF(ISNUMBER('1 пол. 2026'!W10),'1 пол. 2026'!W10,"н.д.")</x:f>
        <x:v>н.д.</x:v>
      </x:c>
      <x:c r="X10" s="64"/>
      <x:c r="Y10" s="66" t="str">
        <x:f>'1 пол. 2026'!Y10</x:f>
        <x:v>н.п.</x:v>
      </x:c>
      <x:c r="Z10" s="80" t="n">
        <x:f>IF(COUNT('Фин.показатели 2025'!Z10,'1 пол. 2026'!Z10,'1 пол. 2025'!Z10)=3,'Фин.показатели 2025'!Z10+'1 пол. 2026'!Z10-'1 пол. 2025'!Z10,"н.д.")</x:f>
        <x:v>320143</x:v>
      </x:c>
      <x:c r="AA10" s="80" t="str">
        <x:f>IF(COUNT('Фин.показатели 2025'!AA10,'1 пол. 2026'!AA10,'1 пол. 2025'!AA10)=3,'Фин.показатели 2025'!AA10+'1 пол. 2026'!AA10-'1 пол. 2025'!AA10,"н.д.")</x:f>
        <x:v>н.д.</x:v>
      </x:c>
      <x:c r="AB10" s="66"/>
      <x:c r="AC10" s="66"/>
      <x:c r="AD10" s="66"/>
      <x:c r="AE10" s="66"/>
      <x:c r="AF10" s="66" t="n">
        <x:f>IF(COUNT('Фин.показатели 2025'!AF10,'1 пол. 2026'!AF10,'1 пол. 2025'!AF10)=3,'Фин.показатели 2025'!AF10+'1 пол. 2026'!AF10-'1 пол. 2025'!AF10,"н.д.")</x:f>
        <x:v>38062</x:v>
      </x:c>
      <x:c r="AG10" s="80" t="n">
        <x:f>IF(COUNT('Фин.показатели 2025'!AG10,'1 пол. 2026'!AG10,'1 пол. 2025'!AG10)=3,'Фин.показатели 2025'!AG10+'1 пол. 2026'!AG10-'1 пол. 2025'!AG10,"н.д.")</x:f>
        <x:v>358205</x:v>
      </x:c>
      <x:c r="AH10" s="64"/>
      <x:c r="AI10" s="80" t="str">
        <x:f>IF('1 пол. 2026'!AI10="н.п.","н.п.",IF(COUNT('Фин.показатели 2025'!AI10,'1 пол. 2026'!AI10,'1 пол. 2025'!AI10)=3,'Фин.показатели 2025'!AI10+'1 пол. 2026'!AI10-'1 пол. 2025'!AI10,"н.д."))</x:f>
        <x:v>н.п.</x:v>
      </x:c>
      <x:c r="AJ10" s="64"/>
      <x:c r="AK10" s="80" t="str">
        <x:f>IF('1 пол. 2026'!AK10="н.п.","н.п.",IF(COUNT('Фин.показатели 2025'!AK10,'1 пол. 2026'!AK10,'1 пол. 2025'!AK10)=3,'Фин.показатели 2025'!AK10+'1 пол. 2026'!AK10-'1 пол. 2025'!AK10,"н.д."))</x:f>
        <x:v>н.п.</x:v>
      </x:c>
      <x:c r="AL10" s="64"/>
      <x:c r="AM10" s="80" t="str">
        <x:f>IF(COUNT('Фин.показатели 2025'!AM10,'1 пол. 2026'!AM10,'1 пол. 2025'!AM10)=3,'Фин.показатели 2025'!AM10+'1 пол. 2026'!AM10-'1 пол. 2025'!AM10,"н.д.")</x:f>
        <x:v>н.д.</x:v>
      </x:c>
      <x:c r="AN10" s="64"/>
      <x:c r="AO10" s="64"/>
      <x:c r="AP10" s="80" t="str">
        <x:f>IF(COUNT('Фин.показатели 2025'!AP10,'1 пол. 2026'!AP10,'1 пол. 2025'!AP10)=3,'Фин.показатели 2025'!AP10+'1 пол. 2026'!AP10-'1 пол. 2025'!AP10,"н.д.")</x:f>
        <x:v>н.д.</x:v>
      </x:c>
      <x:c r="AQ10" s="64"/>
      <x:c r="AR10" s="80" t="str">
        <x:f>IF(COUNT('Фин.показатели 2025'!AR10,'1 пол. 2026'!AR10,'1 пол. 2025'!AR10)=3,'Фин.показатели 2025'!AR10+'1 пол. 2026'!AR10-'1 пол. 2025'!AR10,"н.д.")</x:f>
        <x:v>н.д.</x:v>
      </x:c>
      <x:c r="AS10" s="65"/>
      <x:c r="AT10" s="65"/>
      <x:c r="AU10" s="65"/>
      <x:c r="AV10" s="65"/>
      <x:c r="AW10" s="65"/>
      <x:c r="AX10" s="65"/>
      <x:c r="AY10" s="65"/>
      <x:c r="AZ10" s="65"/>
      <x:c r="BA10" s="65"/>
      <x:c r="BB10" s="65"/>
      <x:c r="BC10" s="67" t="str">
        <x:v>1 пол. 2026!BC10</x:v>
      </x:c>
      <x:c r="BD10" s="67" t="str">
        <x:v>1 пол. 2026!BD10</x:v>
      </x:c>
      <x:c r="BE10" s="67" t="str">
        <x:v>1 пол. 2026!BE10</x:v>
      </x:c>
      <x:c r="BF10" s="67" t="str">
        <x:v>Фин.показатели 2025!BF10; 1 пол. 2025!BF10; 1 пол. 2026!BF10</x:v>
      </x:c>
      <x:c r="BG10" s="67" t="str">
        <x:v>Фин.показатели 2025!BG10; 1 пол. 2025!BG10; 1 пол. 2026!BG10</x:v>
      </x:c>
      <x:c r="BH10" s="67" t="str">
        <x:v>Фин.показатели 2025!BH10; 1 пол. 2025!BH10; 1 пол. 2026!BH10</x:v>
      </x:c>
      <x:c r="BI10" s="67" t="str">
        <x:v>Фин.показатели 2025!BI10; 1 пол. 2025!BI10; 1 пол. 2026!BI10</x:v>
      </x:c>
      <x:c r="BJ10" s="67" t="str">
        <x:v>Фин.показатели 2025!BJ10; 1 пол. 2025!BJ10; 1 пол. 2026!BJ10</x:v>
      </x:c>
      <x:c r="BK10" s="67" t="str">
        <x:v>Фин.показатели 2025!BK10; 1 пол. 2025!BK10; 1 пол. 2026!BK10</x:v>
      </x:c>
      <x:c r="BL10" s="67" t="str">
        <x:v>Фин.показатели 2025!BL10; 1 пол. 2025!BL10; 1 пол. 2026!BL10</x:v>
      </x:c>
      <x:c r="BM10" s="67" t="str">
        <x:v>1 пол. 2026!BM10</x:v>
      </x:c>
      <x:c r="BN10" s="65"/>
      <x:c r="BO10" s="65" t="n">
        <x:f>'1 пол. 2026'!BO10</x:f>
        <x:v>112600</x:v>
      </x:c>
      <x:c r="BP10" s="65"/>
      <x:c r="BQ10" s="65"/>
      <x:c r="BR10" s="67" t="str"/>
      <x:c r="BS10" s="65" t="str">
        <x:f>IF(COUNT('Фин.показатели 2025'!BS10,'1 пол. 2026'!BS10,'1 пол. 2025'!BS10)=3,'Фин.показатели 2025'!BS10+'1 пол. 2026'!BS10-'1 пол. 2025'!BS10,"н.д.")</x:f>
        <x:v>н.д.</x:v>
      </x:c>
      <x:c r="BT10" s="65"/>
      <x:c r="BU10" s="65"/>
      <x:c r="BV10" s="65"/>
      <x:c r="BW10" s="65"/>
      <x:c r="BX10" s="65"/>
      <x:c r="BY10" s="65"/>
      <x:c r="BZ10" s="65"/>
      <x:c r="CA10" s="65"/>
      <x:c r="CB10" s="65"/>
      <x:c r="CC10" s="65"/>
      <x:c r="CD10" s="65"/>
      <x:c r="CE10" s="65"/>
      <x:c r="CF10" s="65"/>
      <x:c r="CG10" s="65"/>
      <x:c r="CH10" s="65"/>
      <x:c r="CI10" s="65"/>
      <x:c r="CJ10" s="65"/>
      <x:c r="CK10" s="65" t="str">
        <x:f>IF(COUNT('Фин.показатели 2025'!CK10,'1 пол. 2026'!CK10,'1 пол. 2025'!CK10)=3,'Фин.показатели 2025'!CK10+'1 пол. 2026'!CK10-'1 пол. 2025'!CK10,"н.д.")</x:f>
        <x:v>н.д.</x:v>
      </x:c>
      <x:c r="CL10" s="65"/>
      <x:c r="CM10" s="65"/>
      <x:c r="CN10" s="65"/>
    </x:row>
    <x:row r="11" ht="16.5">
      <x:c r="B11" s="3">
        <x:v>5</x:v>
      </x:c>
      <x:c r="C11" s="3" t="s">
        <x:v>77</x:v>
      </x:c>
      <x:c r="E11" s="78" t="n">
        <x:f>'1 пол. 2026'!E11</x:f>
        <x:v>-133401</x:v>
      </x:c>
      <x:c r="F11" s="64"/>
      <x:c r="G11" s="64"/>
      <x:c r="H11" s="64" t="n">
        <x:f>IF(COUNT('Фин.показатели 2025'!H11,'1 пол. 2026'!H11,'1 пол. 2025'!H11)=3,'Фин.показатели 2025'!H11+'1 пол. 2026'!H11-'1 пол. 2025'!H11,"н.д.")</x:f>
        <x:v>1821635</x:v>
      </x:c>
      <x:c r="I11" s="64" t="str">
        <x:f>IF(COUNT('Фин.показатели 2025'!I11,'1 пол. 2026'!I11,'1 пол. 2025'!I11)=3,'Фин.показатели 2025'!I11+'1 пол. 2026'!I11-'1 пол. 2025'!I11,"н.д.")</x:f>
        <x:v>н.д.</x:v>
      </x:c>
      <x:c r="J11" s="64" t="str">
        <x:f>IF(COUNT('Фин.показатели 2025'!J11,'1 пол. 2026'!J11,'1 пол. 2025'!J11)=3,'Фин.показатели 2025'!J11+'1 пол. 2026'!J11-'1 пол. 2025'!J11,"н.д.")</x:f>
        <x:v>н.д.</x:v>
      </x:c>
      <x:c r="K11" s="64"/>
      <x:c r="L11" s="64"/>
      <x:c r="M11" s="64"/>
      <x:c r="N11" s="64" t="n">
        <x:f>IF(COUNT('Фин.показатели 2025'!N11,'1 пол. 2026'!N11,'1 пол. 2025'!N11)=3,'Фин.показатели 2025'!N11+'1 пол. 2026'!N11-'1 пол. 2025'!N11,"н.д.")</x:f>
        <x:v>265839</x:v>
      </x:c>
      <x:c r="O11" s="64" t="n">
        <x:f>'1 пол. 2026'!O11</x:f>
        <x:v>1401689</x:v>
      </x:c>
      <x:c r="P11" s="65"/>
      <x:c r="Q11" s="65"/>
      <x:c r="R11" s="80" t="n">
        <x:f>IF(ISNUMBER('1 пол. 2026'!R11),'1 пол. 2026'!R11,"н.д.")</x:f>
        <x:v>-133401</x:v>
      </x:c>
      <x:c r="S11" s="66"/>
      <x:c r="T11" s="66"/>
      <x:c r="U11" s="66"/>
      <x:c r="V11" s="66"/>
      <x:c r="W11" s="80" t="str">
        <x:f>IF(ISNUMBER('1 пол. 2026'!W11),'1 пол. 2026'!W11,"н.д.")</x:f>
        <x:v>н.д.</x:v>
      </x:c>
      <x:c r="X11" s="64"/>
      <x:c r="Y11" s="66" t="str">
        <x:f>'1 пол. 2026'!Y11</x:f>
        <x:v>н.п.</x:v>
      </x:c>
      <x:c r="Z11" s="80" t="str">
        <x:f>IF(COUNT('Фин.показатели 2025'!Z11,'1 пол. 2026'!Z11,'1 пол. 2025'!Z11)=3,'Фин.показатели 2025'!Z11+'1 пол. 2026'!Z11-'1 пол. 2025'!Z11,"н.д.")</x:f>
        <x:v>н.д.</x:v>
      </x:c>
      <x:c r="AA11" s="80" t="str">
        <x:f>IF(COUNT('Фин.показатели 2025'!AA11,'1 пол. 2026'!AA11,'1 пол. 2025'!AA11)=3,'Фин.показатели 2025'!AA11+'1 пол. 2026'!AA11-'1 пол. 2025'!AA11,"н.д.")</x:f>
        <x:v>н.д.</x:v>
      </x:c>
      <x:c r="AB11" s="66"/>
      <x:c r="AC11" s="66"/>
      <x:c r="AD11" s="66"/>
      <x:c r="AE11" s="66"/>
      <x:c r="AF11" s="66"/>
      <x:c r="AG11" s="80" t="str">
        <x:f>IF(COUNT('Фин.показатели 2025'!AG11,'1 пол. 2026'!AG11,'1 пол. 2025'!AG11)=3,'Фин.показатели 2025'!AG11+'1 пол. 2026'!AG11-'1 пол. 2025'!AG11,"н.д.")</x:f>
        <x:v>н.д.</x:v>
      </x:c>
      <x:c r="AH11" s="64"/>
      <x:c r="AI11" s="80" t="str">
        <x:f>IF('1 пол. 2026'!AI11="н.п.","н.п.",IF(COUNT('Фин.показатели 2025'!AI11,'1 пол. 2026'!AI11,'1 пол. 2025'!AI11)=3,'Фин.показатели 2025'!AI11+'1 пол. 2026'!AI11-'1 пол. 2025'!AI11,"н.д."))</x:f>
        <x:v>н.п.</x:v>
      </x:c>
      <x:c r="AJ11" s="64"/>
      <x:c r="AK11" s="80" t="str">
        <x:f>IF('1 пол. 2026'!AK11="н.п.","н.п.",IF(COUNT('Фин.показатели 2025'!AK11,'1 пол. 2026'!AK11,'1 пол. 2025'!AK11)=3,'Фин.показатели 2025'!AK11+'1 пол. 2026'!AK11-'1 пол. 2025'!AK11,"н.д."))</x:f>
        <x:v>н.п.</x:v>
      </x:c>
      <x:c r="AL11" s="64"/>
      <x:c r="AM11" s="80" t="str">
        <x:f>IF(COUNT('Фин.показатели 2025'!AM11,'1 пол. 2026'!AM11,'1 пол. 2025'!AM11)=3,'Фин.показатели 2025'!AM11+'1 пол. 2026'!AM11-'1 пол. 2025'!AM11,"н.д.")</x:f>
        <x:v>н.д.</x:v>
      </x:c>
      <x:c r="AN11" s="64"/>
      <x:c r="AO11" s="64"/>
      <x:c r="AP11" s="80" t="str">
        <x:f>IF(COUNT('Фин.показатели 2025'!AP11,'1 пол. 2026'!AP11,'1 пол. 2025'!AP11)=3,'Фин.показатели 2025'!AP11+'1 пол. 2026'!AP11-'1 пол. 2025'!AP11,"н.д.")</x:f>
        <x:v>н.д.</x:v>
      </x:c>
      <x:c r="AQ11" s="64"/>
      <x:c r="AR11" s="80" t="str">
        <x:f>IF(COUNT('Фин.показатели 2025'!AR11,'1 пол. 2026'!AR11,'1 пол. 2025'!AR11)=3,'Фин.показатели 2025'!AR11+'1 пол. 2026'!AR11-'1 пол. 2025'!AR11,"н.д.")</x:f>
        <x:v>н.д.</x:v>
      </x:c>
      <x:c r="AS11" s="65"/>
      <x:c r="AT11" s="65"/>
      <x:c r="AU11" s="65"/>
      <x:c r="AV11" s="65"/>
      <x:c r="AW11" s="65"/>
      <x:c r="AX11" s="65"/>
      <x:c r="AY11" s="65"/>
      <x:c r="AZ11" s="65"/>
      <x:c r="BA11" s="65"/>
      <x:c r="BB11" s="65"/>
      <x:c r="BC11" s="67" t="str">
        <x:v>1 пол. 2026!BC11</x:v>
      </x:c>
      <x:c r="BD11" s="67" t="str">
        <x:v>1 пол. 2026!BD11</x:v>
      </x:c>
      <x:c r="BE11" s="67" t="str">
        <x:v>1 пол. 2026!BE11</x:v>
      </x:c>
      <x:c r="BF11" s="67" t="str">
        <x:v>Фин.показатели 2025!BF11; 1 пол. 2025!BF11; 1 пол. 2026!BF11</x:v>
      </x:c>
      <x:c r="BG11" s="67" t="str">
        <x:v>EBITDA/скорр. EBITDA TTM остаются н.д. до первичного подтверждения EBITDA исходного периметра 1П2025; ЧД — остаток 30.06.2026</x:v>
      </x:c>
      <x:c r="BH11" s="67" t="str">
        <x:v>Фин.показатели 2025!BH11; 1 пол. 2025!BH11; 1 пол. 2026!BH11</x:v>
      </x:c>
      <x:c r="BI11" s="67" t="str">
        <x:v>Фин.показатели 2025!BI11; 1 пол. 2025!BI11; 1 пол. 2026!BI11</x:v>
      </x:c>
      <x:c r="BJ11" s="67" t="str">
        <x:v>Фин.показатели 2025!BJ11; 1 пол. 2025!BJ11; 1 пол. 2026!BJ11</x:v>
      </x:c>
      <x:c r="BK11" s="67" t="str">
        <x:v>Фин.показатели 2025!BK11; 1 пол. 2025!BK11; 1 пол. 2026!BK11</x:v>
      </x:c>
      <x:c r="BL11" s="67" t="str">
        <x:v>Фин.показатели 2025!BL11; 1 пол. 2025!BL11; 1 пол. 2026!BL11</x:v>
      </x:c>
      <x:c r="BM11" s="67" t="str">
        <x:v>1 пол. 2026!BM11</x:v>
      </x:c>
      <x:c r="BN11" s="65"/>
      <x:c r="BO11" s="65" t="n">
        <x:f>'1 пол. 2026'!BO11</x:f>
        <x:v>8924</x:v>
      </x:c>
      <x:c r="BP11" s="65"/>
      <x:c r="BQ11" s="65"/>
      <x:c r="BR11" s="67" t="str">
        <x:v>Выручка TTM в историческом периметре: год 2025 + 1П2026 − 1П2025 до пересмотра (878148). В TTM остается выручка выбывших обществ за 2П2025. Не является pro forma продолжающегося бизнеса.</x:v>
      </x:c>
      <x:c r="BS11" s="65"/>
      <x:c r="BT11" s="65"/>
      <x:c r="BU11" s="65"/>
      <x:c r="BV11" s="65"/>
      <x:c r="BW11" s="65"/>
      <x:c r="BX11" s="65"/>
      <x:c r="BY11" s="65"/>
      <x:c r="BZ11" s="65"/>
      <x:c r="CA11" s="65"/>
      <x:c r="CB11" s="65"/>
      <x:c r="CC11" s="65"/>
      <x:c r="CD11" s="65"/>
      <x:c r="CE11" s="65"/>
      <x:c r="CF11" s="65"/>
      <x:c r="CG11" s="65"/>
      <x:c r="CH11" s="65"/>
      <x:c r="CI11" s="65"/>
      <x:c r="CJ11" s="65"/>
      <x:c r="CK11" s="65"/>
      <x:c r="CL11" s="65"/>
      <x:c r="CM11" s="65"/>
      <x:c r="CN11" s="65"/>
    </x:row>
    <x:row r="12" ht="16.5">
      <x:c r="B12" s="3">
        <x:v>6</x:v>
      </x:c>
      <x:c r="C12" s="3" t="s">
        <x:v>78</x:v>
      </x:c>
      <x:c r="D12"/>
      <x:c r="E12" s="80" t="n">
        <x:f>'1 пол. 2026'!E12</x:f>
        <x:v>-43511</x:v>
      </x:c>
      <x:c r="F12" s="64"/>
      <x:c r="G12" s="64"/>
      <x:c r="H12" s="64" t="n">
        <x:f>IF(COUNT('Фин.показатели 2025'!H12,'1 пол. 2026'!H12,'1 пол. 2025'!H12)=3,'Фин.показатели 2025'!H12+'1 пол. 2026'!H12-'1 пол. 2025'!H12,"н.д.")</x:f>
        <x:v>1477609</x:v>
      </x:c>
      <x:c r="I12" s="82" t="str">
        <x:v>н.д.</x:v>
      </x:c>
      <x:c r="J12" s="80" t="n">
        <x:f>IF(COUNT('Фин.показатели 2025'!J12,'1 пол. 2026'!J12,'1 пол. 2025'!J12)=3,'Фин.показатели 2025'!J12+'1 пол. 2026'!J12-'1 пол. 2025'!J12,"н.д.")</x:f>
        <x:v>817902</x:v>
      </x:c>
      <x:c r="K12" s="64"/>
      <x:c r="L12" s="64"/>
      <x:c r="M12" s="64"/>
      <x:c r="N12" s="64" t="n">
        <x:f>IF(COUNT('Фин.показатели 2025'!N12,'1 пол. 2026'!N12,'1 пол. 2025'!N12)=3,'Фин.показатели 2025'!N12+'1 пол. 2026'!N12-'1 пол. 2025'!N12,"н.д.")</x:f>
        <x:v>175994</x:v>
      </x:c>
      <x:c r="O12" s="64" t="n">
        <x:f>'1 пол. 2026'!O12</x:f>
        <x:v>2907269</x:v>
      </x:c>
      <x:c r="P12" s="65"/>
      <x:c r="Q12" s="65"/>
      <x:c r="R12" s="80" t="n">
        <x:f>IF(ISNUMBER('1 пол. 2026'!R12),'1 пол. 2026'!R12,"н.д.")</x:f>
        <x:v>-43511</x:v>
      </x:c>
      <x:c r="S12" s="66"/>
      <x:c r="T12" s="66"/>
      <x:c r="U12" s="66"/>
      <x:c r="V12" s="66"/>
      <x:c r="W12" s="80" t="str">
        <x:f>IF(ISNUMBER('1 пол. 2026'!W12),'1 пол. 2026'!W12,"н.д.")</x:f>
        <x:v>н.д.</x:v>
      </x:c>
      <x:c r="X12" s="64"/>
      <x:c r="Y12" s="66" t="str">
        <x:f>'1 пол. 2026'!Y12</x:f>
        <x:v>н.п.</x:v>
      </x:c>
      <x:c r="Z12" s="80" t="str">
        <x:f>IF(COUNT('Фин.показатели 2025'!Z12,'1 пол. 2026'!Z12,'1 пол. 2025'!Z12)=3,'Фин.показатели 2025'!Z12+'1 пол. 2026'!Z12-'1 пол. 2025'!Z12,"н.д.")</x:f>
        <x:v>н.д.</x:v>
      </x:c>
      <x:c r="AA12" s="80" t="str">
        <x:f>IF(COUNT('Фин.показатели 2025'!AA12,'1 пол. 2026'!AA12,'1 пол. 2025'!AA12)=3,'Фин.показатели 2025'!AA12+'1 пол. 2026'!AA12-'1 пол. 2025'!AA12,"н.д.")</x:f>
        <x:v>н.д.</x:v>
      </x:c>
      <x:c r="AB12" s="66"/>
      <x:c r="AC12" s="66"/>
      <x:c r="AD12" s="66"/>
      <x:c r="AE12" s="66"/>
      <x:c r="AF12" s="66"/>
      <x:c r="AG12" s="80" t="n">
        <x:f>IF(COUNT('Фин.показатели 2025'!AG12,'1 пол. 2026'!AG12,'1 пол. 2025'!AG12)=3,'Фин.показатели 2025'!AG12+'1 пол. 2026'!AG12-'1 пол. 2025'!AG12,"н.д.")</x:f>
        <x:v>817902</x:v>
      </x:c>
      <x:c r="AH12" s="64"/>
      <x:c r="AI12" s="80" t="str">
        <x:f>IF('1 пол. 2026'!AI12="н.п.","н.п.",IF(COUNT('Фин.показатели 2025'!AI12,'1 пол. 2026'!AI12,'1 пол. 2025'!AI12)=3,'Фин.показатели 2025'!AI12+'1 пол. 2026'!AI12-'1 пол. 2025'!AI12,"н.д."))</x:f>
        <x:v>н.п.</x:v>
      </x:c>
      <x:c r="AJ12" s="64"/>
      <x:c r="AK12" s="80" t="str">
        <x:f>IF('1 пол. 2026'!AK12="н.п.","н.п.",IF(COUNT('Фин.показатели 2025'!AK12,'1 пол. 2026'!AK12,'1 пол. 2025'!AK12)=3,'Фин.показатели 2025'!AK12+'1 пол. 2026'!AK12-'1 пол. 2025'!AK12,"н.д."))</x:f>
        <x:v>н.п.</x:v>
      </x:c>
      <x:c r="AL12" s="64"/>
      <x:c r="AM12" s="80" t="str">
        <x:f>IF(COUNT('Фин.показатели 2025'!AM12,'1 пол. 2026'!AM12,'1 пол. 2025'!AM12)=3,'Фин.показатели 2025'!AM12+'1 пол. 2026'!AM12-'1 пол. 2025'!AM12,"н.д.")</x:f>
        <x:v>н.д.</x:v>
      </x:c>
      <x:c r="AN12" s="64"/>
      <x:c r="AO12" s="64"/>
      <x:c r="AP12" s="80" t="str">
        <x:f>IF(COUNT('Фин.показатели 2025'!AP12,'1 пол. 2026'!AP12,'1 пол. 2025'!AP12)=3,'Фин.показатели 2025'!AP12+'1 пол. 2026'!AP12-'1 пол. 2025'!AP12,"н.д.")</x:f>
        <x:v>н.д.</x:v>
      </x:c>
      <x:c r="AQ12" s="64"/>
      <x:c r="AR12" s="80" t="str">
        <x:f>IF(COUNT('Фин.показатели 2025'!AR12,'1 пол. 2026'!AR12,'1 пол. 2025'!AR12)=3,'Фин.показатели 2025'!AR12+'1 пол. 2026'!AR12-'1 пол. 2025'!AR12,"н.д.")</x:f>
        <x:v>н.д.</x:v>
      </x:c>
      <x:c r="AS12" s="65"/>
      <x:c r="AT12" s="65"/>
      <x:c r="AU12" s="65"/>
      <x:c r="AV12" s="65"/>
      <x:c r="AW12" s="65"/>
      <x:c r="AX12" s="65"/>
      <x:c r="AY12" s="65"/>
      <x:c r="AZ12" s="65"/>
      <x:c r="BA12" s="65"/>
      <x:c r="BB12" s="65"/>
      <x:c r="BC12" s="67" t="str">
        <x:v>1 пол. 2026!BC12</x:v>
      </x:c>
      <x:c r="BD12" s="67" t="str">
        <x:v>1 пол. 2026!BD12</x:v>
      </x:c>
      <x:c r="BE12" s="67" t="str">
        <x:v>1 пол. 2026!BE12</x:v>
      </x:c>
      <x:c r="BF12" s="67" t="str">
        <x:v>Фин.показатели 2025!BF12; 1 пол. 2025!BF12; 1 пол. 2026!BF12</x:v>
      </x:c>
      <x:c r="BG12" s="67" t="str">
        <x:v>Нормализованная EBITDA TTM 817 902 = 859 306 + 430 402 − 471 806; классифицирована как скорректированная. ЧД -43 511 — остаток на 30.06.2026; обычная EBITDA отдельно не раскрыта</x:v>
      </x:c>
      <x:c r="BH12" s="67" t="str">
        <x:v>Фин.показатели 2025!BH12; 1 пол. 2025!BH12; 1 пол. 2026!BH12</x:v>
      </x:c>
      <x:c r="BI12" s="67" t="str">
        <x:v>Фин.показатели 2025!BI12; 1 пол. 2025!BI12; 1 пол. 2026!BI12</x:v>
      </x:c>
      <x:c r="BJ12" s="67" t="str">
        <x:v>Фин.показатели 2025!BJ12; 1 пол. 2025!BJ12; 1 пол. 2026!BJ12</x:v>
      </x:c>
      <x:c r="BK12" s="67" t="str">
        <x:v>Фин.показатели 2025!BK12; 1 пол. 2025!BK12; 1 пол. 2026!BK12</x:v>
      </x:c>
      <x:c r="BL12" s="67" t="str">
        <x:v>Фин.показатели 2025!BL12; 1 пол. 2025!BL12; 1 пол. 2026!BL12</x:v>
      </x:c>
      <x:c r="BM12" s="67" t="str">
        <x:v>1 пол. 2026!BM12</x:v>
      </x:c>
      <x:c r="BN12" s="65"/>
      <x:c r="BO12" s="65" t="n">
        <x:f>'1 пол. 2026'!BO12</x:f>
        <x:v>14807</x:v>
      </x:c>
      <x:c r="BP12" s="65"/>
      <x:c r="BQ12" s="65"/>
      <x:c r="BR12" s="67" t="str"/>
      <x:c r="BS12" s="65"/>
      <x:c r="BT12" s="65"/>
      <x:c r="BU12" s="65"/>
      <x:c r="BV12" s="65"/>
      <x:c r="BW12" s="65"/>
      <x:c r="BX12" s="65"/>
      <x:c r="BY12" s="65"/>
      <x:c r="BZ12" s="65"/>
      <x:c r="CA12" s="65"/>
      <x:c r="CB12" s="65"/>
      <x:c r="CC12" s="65"/>
      <x:c r="CD12" s="65"/>
      <x:c r="CE12" s="65"/>
      <x:c r="CF12" s="65"/>
      <x:c r="CG12" s="65"/>
      <x:c r="CH12" s="65"/>
      <x:c r="CI12" s="65"/>
      <x:c r="CJ12" s="65"/>
      <x:c r="CK12" s="65"/>
      <x:c r="CL12" s="65"/>
      <x:c r="CM12" s="65"/>
      <x:c r="CN12" s="65"/>
    </x:row>
    <x:row r="13" ht="16.5">
      <x:c r="B13" s="3">
        <x:v>7</x:v>
      </x:c>
      <x:c r="C13" s="3" t="s">
        <x:v>79</x:v>
      </x:c>
      <x:c r="E13" s="80" t="n">
        <x:f>'1 пол. 2026'!E13</x:f>
        <x:v>704134</x:v>
      </x:c>
      <x:c r="F13" s="64"/>
      <x:c r="G13" s="64"/>
      <x:c r="H13" s="64" t="n">
        <x:f>IF(COUNT('Фин.показатели 2025'!H13,'1 пол. 2026'!H13,'1 пол. 2025'!H13)=3,'Фин.показатели 2025'!H13+'1 пол. 2026'!H13-'1 пол. 2025'!H13,"н.д.")</x:f>
        <x:v>1222420.773356164</x:v>
      </x:c>
      <x:c r="I13" s="82" t="str">
        <x:v>н.д.</x:v>
      </x:c>
      <x:c r="J13" s="80" t="n">
        <x:f>IF(COUNT('Фин.показатели 2025'!J13,'1 пол. 2026'!J13,'1 пол. 2025'!J13)=3,'Фин.показатели 2025'!J13+'1 пол. 2026'!J13-'1 пол. 2025'!J13,"н.д.")</x:f>
        <x:v>544451.10109589</x:v>
      </x:c>
      <x:c r="K13" s="64"/>
      <x:c r="L13" s="64"/>
      <x:c r="M13" s="64"/>
      <x:c r="N13" s="64" t="n">
        <x:f>IF(COUNT('Фин.показатели 2025'!N13,'1 пол. 2026'!N13,'1 пол. 2025'!N13)=3,'Фин.показатели 2025'!N13+'1 пол. 2026'!N13-'1 пол. 2025'!N13,"н.д.")</x:f>
        <x:v>222932.806780822</x:v>
      </x:c>
      <x:c r="O13" s="64" t="n">
        <x:f>'1 пол. 2026'!O13</x:f>
        <x:v>1006531</x:v>
      </x:c>
      <x:c r="P13" s="65"/>
      <x:c r="Q13" s="65"/>
      <x:c r="R13" s="80" t="n">
        <x:f>IF(ISNUMBER('1 пол. 2026'!R13),'1 пол. 2026'!R13,"н.д.")</x:f>
        <x:v>704134</x:v>
      </x:c>
      <x:c r="S13" s="66"/>
      <x:c r="T13" s="66"/>
      <x:c r="U13" s="66"/>
      <x:c r="V13" s="66"/>
      <x:c r="W13" s="80" t="str">
        <x:f>IF(ISNUMBER('1 пол. 2026'!W13),'1 пол. 2026'!W13,"н.д.")</x:f>
        <x:v>н.д.</x:v>
      </x:c>
      <x:c r="X13" s="64"/>
      <x:c r="Y13" s="66" t="str">
        <x:f>'1 пол. 2026'!Y13</x:f>
        <x:v>н.п.</x:v>
      </x:c>
      <x:c r="Z13" s="80" t="str">
        <x:f>IF(COUNT('Фин.показатели 2025'!Z13,'1 пол. 2026'!Z13,'1 пол. 2025'!Z13)=3,'Фин.показатели 2025'!Z13+'1 пол. 2026'!Z13-'1 пол. 2025'!Z13,"н.д.")</x:f>
        <x:v>н.д.</x:v>
      </x:c>
      <x:c r="AA13" s="80" t="str">
        <x:f>IF(COUNT('Фин.показатели 2025'!AA13,'1 пол. 2026'!AA13,'1 пол. 2025'!AA13)=3,'Фин.показатели 2025'!AA13+'1 пол. 2026'!AA13-'1 пол. 2025'!AA13,"н.д.")</x:f>
        <x:v>н.д.</x:v>
      </x:c>
      <x:c r="AB13" s="66"/>
      <x:c r="AC13" s="66"/>
      <x:c r="AD13" s="66"/>
      <x:c r="AE13" s="66"/>
      <x:c r="AF13" s="66" t="n">
        <x:f>IF(COUNT('Фин.показатели 2025'!AF13,'1 пол. 2026'!AF13,'1 пол. 2025'!AF13)=3,'Фин.показатели 2025'!AF13+'1 пол. 2026'!AF13-'1 пол. 2025'!AF13,"н.д.")</x:f>
        <x:v>-5434.047328767123</x:v>
      </x:c>
      <x:c r="AG13" s="80" t="n">
        <x:f>IF(COUNT('Фин.показатели 2025'!AG13,'1 пол. 2026'!AG13,'1 пол. 2025'!AG13)=3,'Фин.показатели 2025'!AG13+'1 пол. 2026'!AG13-'1 пол. 2025'!AG13,"н.д.")</x:f>
        <x:v>544451.10109589</x:v>
      </x:c>
      <x:c r="AH13" s="64"/>
      <x:c r="AI13" s="80" t="str">
        <x:f>IF('1 пол. 2026'!AI13="н.п.","н.п.",IF(COUNT('Фин.показатели 2025'!AI13,'1 пол. 2026'!AI13,'1 пол. 2025'!AI13)=3,'Фин.показатели 2025'!AI13+'1 пол. 2026'!AI13-'1 пол. 2025'!AI13,"н.д."))</x:f>
        <x:v>н.п.</x:v>
      </x:c>
      <x:c r="AJ13" s="64"/>
      <x:c r="AK13" s="80" t="str">
        <x:f>IF('1 пол. 2026'!AK13="н.п.","н.п.",IF(COUNT('Фин.показатели 2025'!AK13,'1 пол. 2026'!AK13,'1 пол. 2025'!AK13)=3,'Фин.показатели 2025'!AK13+'1 пол. 2026'!AK13-'1 пол. 2025'!AK13,"н.д."))</x:f>
        <x:v>н.п.</x:v>
      </x:c>
      <x:c r="AL13" s="64"/>
      <x:c r="AM13" s="80" t="str">
        <x:f>IF(COUNT('Фин.показатели 2025'!AM13,'1 пол. 2026'!AM13,'1 пол. 2025'!AM13)=3,'Фин.показатели 2025'!AM13+'1 пол. 2026'!AM13-'1 пол. 2025'!AM13,"н.д.")</x:f>
        <x:v>н.д.</x:v>
      </x:c>
      <x:c r="AN13" s="64"/>
      <x:c r="AO13" s="64"/>
      <x:c r="AP13" s="80" t="str">
        <x:f>IF(COUNT('Фин.показатели 2025'!AP13,'1 пол. 2026'!AP13,'1 пол. 2025'!AP13)=3,'Фин.показатели 2025'!AP13+'1 пол. 2026'!AP13-'1 пол. 2025'!AP13,"н.д.")</x:f>
        <x:v>н.д.</x:v>
      </x:c>
      <x:c r="AQ13" s="64"/>
      <x:c r="AR13" s="80" t="str">
        <x:f>IF(COUNT('Фин.показатели 2025'!AR13,'1 пол. 2026'!AR13,'1 пол. 2025'!AR13)=3,'Фин.показатели 2025'!AR13+'1 пол. 2026'!AR13-'1 пол. 2025'!AR13,"н.д.")</x:f>
        <x:v>н.д.</x:v>
      </x:c>
      <x:c r="AS13" s="65"/>
      <x:c r="AT13" s="65"/>
      <x:c r="AU13" s="65"/>
      <x:c r="AV13" s="65"/>
      <x:c r="AW13" s="65"/>
      <x:c r="AX13" s="65"/>
      <x:c r="AY13" s="65"/>
      <x:c r="AZ13" s="65"/>
      <x:c r="BA13" s="65"/>
      <x:c r="BB13" s="65"/>
      <x:c r="BC13" s="67" t="str">
        <x:v>1 пол. 2026!BC13</x:v>
      </x:c>
      <x:c r="BD13" s="67" t="str">
        <x:v>1 пол. 2026!BD13</x:v>
      </x:c>
      <x:c r="BE13" s="67" t="str">
        <x:v>1 пол. 2026!BE13</x:v>
      </x:c>
      <x:c r="BF13" s="67" t="str">
        <x:v>Фин.показатели 2025!BF13; 1 пол. 2025!BF13; 1 пол. 2026!BF13</x:v>
      </x:c>
      <x:c r="BG13" s="67" t="str">
        <x:v>Скорректированная EBITDA TTM = 2025 + 1П2026 − 1П2025. ЧД 704 134 и капитал — остатки на 30.06.2026; аренда включена. Обычная EBITDA отдельно не раскрыта.</x:v>
      </x:c>
      <x:c r="BH13" s="67" t="str">
        <x:v>Фин.показатели 2025!BH13; 1 пол. 2025!BH13; 1 пол. 2026!BH13</x:v>
      </x:c>
      <x:c r="BI13" s="67" t="str">
        <x:v>Фин.показатели 2025!BI13; 1 пол. 2025!BI13; 1 пол. 2026!BI13</x:v>
      </x:c>
      <x:c r="BJ13" s="67" t="str">
        <x:v>Фин.показатели 2025!BJ13; 1 пол. 2025!BJ13; 1 пол. 2026!BJ13</x:v>
      </x:c>
      <x:c r="BK13" s="67" t="str">
        <x:v>Фин.показатели 2025!BK13; 1 пол. 2025!BK13; 1 пол. 2026!BK13</x:v>
      </x:c>
      <x:c r="BL13" s="67" t="str">
        <x:v>Фин.показатели 2025!BL13; 1 пол. 2025!BL13; 1 пол. 2026!BL13</x:v>
      </x:c>
      <x:c r="BM13" s="67" t="str">
        <x:v>1 пол. 2026!BM13</x:v>
      </x:c>
      <x:c r="BN13" s="65"/>
      <x:c r="BO13" s="65" t="n">
        <x:f>'1 пол. 2026'!BO13</x:f>
        <x:v>169493</x:v>
      </x:c>
      <x:c r="BP13" s="65"/>
      <x:c r="BQ13" s="65"/>
      <x:c r="BR13" s="67" t="str"/>
      <x:c r="BS13" s="65"/>
      <x:c r="BT13" s="65"/>
      <x:c r="BU13" s="65"/>
      <x:c r="BV13" s="65"/>
      <x:c r="BW13" s="65"/>
      <x:c r="BX13" s="65"/>
      <x:c r="BY13" s="65"/>
      <x:c r="BZ13" s="65"/>
      <x:c r="CA13" s="65"/>
      <x:c r="CB13" s="65"/>
      <x:c r="CC13" s="65" t="n">
        <x:f>IF(COUNT('Фин.показатели 2025'!CC13,'1 пол. 2026'!CC13,'1 пол. 2025'!CC13)=3,'Фин.показатели 2025'!CC13+'1 пол. 2026'!CC13-'1 пол. 2025'!CC13,"н.д.")</x:f>
        <x:v>2440.889246575316</x:v>
      </x:c>
      <x:c r="CD13" s="65"/>
      <x:c r="CE13" s="65"/>
      <x:c r="CF13" s="65"/>
      <x:c r="CG13" s="65"/>
      <x:c r="CH13" s="65"/>
      <x:c r="CI13" s="65"/>
      <x:c r="CJ13" s="65"/>
      <x:c r="CK13" s="65"/>
      <x:c r="CL13" s="65"/>
      <x:c r="CM13" s="65"/>
      <x:c r="CN13" s="65"/>
    </x:row>
    <x:row r="14" ht="16.5">
      <x:c r="B14" s="3">
        <x:v>8</x:v>
      </x:c>
      <x:c r="C14" s="3" t="s">
        <x:v>81</x:v>
      </x:c>
      <x:c r="E14" s="64" t="n">
        <x:f>'1 пол. 2026'!E14</x:f>
        <x:v>-260732</x:v>
      </x:c>
      <x:c r="F14" s="64"/>
      <x:c r="G14" s="64" t="n">
        <x:f>'1 пол. 2026'!G14</x:f>
        <x:v>-632765</x:v>
      </x:c>
      <x:c r="H14" s="64" t="n">
        <x:f>IF(COUNT('Фин.показатели 2025'!H14,'1 пол. 2026'!H14,'1 пол. 2025'!H14)=3,'Фин.показатели 2025'!H14+'1 пол. 2026'!H14-'1 пол. 2025'!H14,"н.д.")</x:f>
        <x:v>1203362</x:v>
      </x:c>
      <x:c r="I14" s="64" t="str">
        <x:v>н.д.</x:v>
      </x:c>
      <x:c r="J14" s="64" t="n">
        <x:f>IF(COUNT('Фин.показатели 2025'!J14,'1 пол. 2026'!J14,'1 пол. 2025'!J14)=3,'Фин.показатели 2025'!J14+'1 пол. 2026'!J14-'1 пол. 2025'!J14,"н.д.")</x:f>
        <x:v>191442</x:v>
      </x:c>
      <x:c r="K14" s="64" t="str">
        <x:f>IF(COUNT('Фин.показатели 2025'!K14,'1 пол. 2026'!K14,'1 пол. 2025'!K14)=3,'Фин.показатели 2025'!K14+'1 пол. 2026'!K14-'1 пол. 2025'!K14,"н.д.")</x:f>
        <x:v>н.д.</x:v>
      </x:c>
      <x:c r="L14" s="64" t="str">
        <x:f>IF(COUNT('Фин.показатели 2025'!L14,'1 пол. 2026'!L14,'1 пол. 2025'!L14)=3,'Фин.показатели 2025'!L14+'1 пол. 2026'!L14-'1 пол. 2025'!L14,"н.д.")</x:f>
        <x:v>н.д.</x:v>
      </x:c>
      <x:c r="M14" s="64"/>
      <x:c r="N14" s="64" t="n">
        <x:f>IF(COUNT('Фин.показатели 2025'!N14,'1 пол. 2026'!N14,'1 пол. 2025'!N14)=3,'Фин.показатели 2025'!N14+'1 пол. 2026'!N14-'1 пол. 2025'!N14,"н.д.")</x:f>
        <x:v>21225</x:v>
      </x:c>
      <x:c r="O14" s="64" t="n">
        <x:f>'1 пол. 2026'!O14</x:f>
        <x:v>-153968</x:v>
      </x:c>
      <x:c r="P14" s="65"/>
      <x:c r="Q14" s="65"/>
      <x:c r="R14" s="80" t="n">
        <x:f>IF(ISNUMBER('1 пол. 2026'!R14),'1 пол. 2026'!R14,"н.д.")</x:f>
        <x:v>-260732</x:v>
      </x:c>
      <x:c r="S14" s="66" t="n">
        <x:f>'1 пол. 2026'!S14</x:f>
        <x:v>71090</x:v>
      </x:c>
      <x:c r="T14" s="66" t="n">
        <x:f>'1 пол. 2026'!T14</x:f>
        <x:v>14845</x:v>
      </x:c>
      <x:c r="U14" s="66" t="n">
        <x:f>'1 пол. 2026'!U14</x:f>
        <x:v>718700</x:v>
      </x:c>
      <x:c r="V14" s="66"/>
      <x:c r="W14" s="80" t="str">
        <x:f>IF(ISNUMBER('1 пол. 2026'!W14),'1 пол. 2026'!W14,"н.д.")</x:f>
        <x:v>н.д.</x:v>
      </x:c>
      <x:c r="X14" s="64" t="n">
        <x:f>'1 пол. 2026'!X14</x:f>
        <x:v>-372033</x:v>
      </x:c>
      <x:c r="Y14" s="66" t="n">
        <x:f>'1 пол. 2026'!Y14</x:f>
        <x:v>-632765</x:v>
      </x:c>
      <x:c r="Z14" s="80" t="str">
        <x:f>IF(COUNT('Фин.показатели 2025'!Z14,'1 пол. 2026'!Z14,'1 пол. 2025'!Z14)=3,'Фин.показатели 2025'!Z14+'1 пол. 2026'!Z14-'1 пол. 2025'!Z14,"н.д.")</x:f>
        <x:v>н.д.</x:v>
      </x:c>
      <x:c r="AA14" s="80" t="str">
        <x:f>IF(COUNT('Фин.показатели 2025'!AA14,'1 пол. 2026'!AA14,'1 пол. 2025'!AA14)=3,'Фин.показатели 2025'!AA14+'1 пол. 2026'!AA14-'1 пол. 2025'!AA14,"н.д.")</x:f>
        <x:v>н.д.</x:v>
      </x:c>
      <x:c r="AB14" s="66" t="str">
        <x:f>IF(COUNT('Фин.показатели 2025'!AB14,'1 пол. 2026'!AB14,'1 пол. 2025'!AB14)=3,'Фин.показатели 2025'!AB14+'1 пол. 2026'!AB14-'1 пол. 2025'!AB14,"н.д.")</x:f>
        <x:v>н.д.</x:v>
      </x:c>
      <x:c r="AC14" s="66"/>
      <x:c r="AD14" s="66"/>
      <x:c r="AE14" s="66" t="str">
        <x:f>IF(COUNT('Фин.показатели 2025'!AE14,'1 пол. 2026'!AE14,'1 пол. 2025'!AE14)=3,'Фин.показатели 2025'!AE14+'1 пол. 2026'!AE14-'1 пол. 2025'!AE14,"н.д.")</x:f>
        <x:v>н.д.</x:v>
      </x:c>
      <x:c r="AF14" s="66" t="n">
        <x:f>IF(COUNT('Фин.показатели 2025'!AF14,'1 пол. 2026'!AF14,'1 пол. 2025'!AF14)=3,'Фин.показатели 2025'!AF14+'1 пол. 2026'!AF14-'1 пол. 2025'!AF14,"н.д.")</x:f>
        <x:v>17960</x:v>
      </x:c>
      <x:c r="AG14" s="80" t="n">
        <x:f>IF(COUNT('Фин.показатели 2025'!AG14,'1 пол. 2026'!AG14,'1 пол. 2025'!AG14)=3,'Фин.показатели 2025'!AG14+'1 пол. 2026'!AG14-'1 пол. 2025'!AG14,"н.д.")</x:f>
        <x:v>191442</x:v>
      </x:c>
      <x:c r="AH14" s="64"/>
      <x:c r="AI14" s="80" t="str">
        <x:f>IF('1 пол. 2026'!AI14="н.п.","н.п.",IF(COUNT('Фин.показатели 2025'!AI14,'1 пол. 2026'!AI14,'1 пол. 2025'!AI14)=3,'Фин.показатели 2025'!AI14+'1 пол. 2026'!AI14-'1 пол. 2025'!AI14,"н.д."))</x:f>
        <x:v>н.д.</x:v>
      </x:c>
      <x:c r="AJ14" s="64"/>
      <x:c r="AK14" s="80" t="str">
        <x:f>IF('1 пол. 2026'!AK14="н.п.","н.п.",IF(COUNT('Фин.показатели 2025'!AK14,'1 пол. 2026'!AK14,'1 пол. 2025'!AK14)=3,'Фин.показатели 2025'!AK14+'1 пол. 2026'!AK14-'1 пол. 2025'!AK14,"н.д."))</x:f>
        <x:v>н.д.</x:v>
      </x:c>
      <x:c r="AL14" s="64"/>
      <x:c r="AM14" s="80" t="str">
        <x:f>IF(COUNT('Фин.показатели 2025'!AM14,'1 пол. 2026'!AM14,'1 пол. 2025'!AM14)=3,'Фин.показатели 2025'!AM14+'1 пол. 2026'!AM14-'1 пол. 2025'!AM14,"н.д.")</x:f>
        <x:v>н.д.</x:v>
      </x:c>
      <x:c r="AN14" s="64" t="str">
        <x:f>IF(COUNT('Фин.показатели 2025'!AN14,'1 пол. 2026'!AN14,'1 пол. 2025'!AN14)=3,'Фин.показатели 2025'!AN14+'1 пол. 2026'!AN14-'1 пол. 2025'!AN14,"н.д.")</x:f>
        <x:v>н.д.</x:v>
      </x:c>
      <x:c r="AO14" s="64" t="str">
        <x:f>IF(COUNT('Фин.показатели 2025'!AO14,'1 пол. 2026'!AO14,'1 пол. 2025'!AO14)=3,'Фин.показатели 2025'!AO14+'1 пол. 2026'!AO14-'1 пол. 2025'!AO14,"н.д.")</x:f>
        <x:v>н.д.</x:v>
      </x:c>
      <x:c r="AP14" s="80" t="str">
        <x:f>IF(COUNT('Фин.показатели 2025'!AP14,'1 пол. 2026'!AP14,'1 пол. 2025'!AP14)=3,'Фин.показатели 2025'!AP14+'1 пол. 2026'!AP14-'1 пол. 2025'!AP14,"н.д.")</x:f>
        <x:v>н.д.</x:v>
      </x:c>
      <x:c r="AQ14" s="64"/>
      <x:c r="AR14" s="80" t="str">
        <x:f>IF(COUNT('Фин.показатели 2025'!AR14,'1 пол. 2026'!AR14,'1 пол. 2025'!AR14)=3,'Фин.показатели 2025'!AR14+'1 пол. 2026'!AR14-'1 пол. 2025'!AR14,"н.д.")</x:f>
        <x:v>н.д.</x:v>
      </x:c>
      <x:c r="AS14" s="65"/>
      <x:c r="AT14" s="65"/>
      <x:c r="AU14" s="65"/>
      <x:c r="AV14" s="65"/>
      <x:c r="AW14" s="65"/>
      <x:c r="AX14" s="65"/>
      <x:c r="AY14" s="65"/>
      <x:c r="AZ14" s="65"/>
      <x:c r="BA14" s="65"/>
      <x:c r="BB14" s="65"/>
      <x:c r="BC14" s="67" t="str">
        <x:v>1 пол. 2026!BC14</x:v>
      </x:c>
      <x:c r="BD14" s="67" t="str">
        <x:v>1 пол. 2026!BD14</x:v>
      </x:c>
      <x:c r="BE14" s="67" t="str">
        <x:v>1 пол. 2026!BE14</x:v>
      </x:c>
      <x:c r="BF14" s="67" t="str">
        <x:v>Фин.показатели 2025!BF14; 1 пол. 2025!BF14; 1 пол. 2026!BF14</x:v>
      </x:c>
      <x:c r="BG14" s="67" t="str">
        <x:v>Скорректированная EBITDA TTM 191 442 = 156 381 + 106 723 − 71 662; обычная EBITDA отдельно не раскрыта. ЧД -260 732 и капитал -153 968 — остатки на 30.06.2026.</x:v>
      </x:c>
      <x:c r="BH14" s="67" t="str">
        <x:v>EBITDA IAS17 и EBITDAC TTM н.д.: отсутствуют соответственно фиксированная аренда и отдельно раскрытые капитализированные затраты на разработку.</x:v>
      </x:c>
      <x:c r="BI14" s="67" t="str">
        <x:v>Фин.показатели 2025!BI14; 1 пол. 2025!BI14; 1 пол. 2026!BI14</x:v>
      </x:c>
      <x:c r="BJ14" s="67" t="str">
        <x:v>Фин.показатели 2025!BJ14; 1 пол. 2025!BJ14; 1 пол. 2026!BJ14</x:v>
      </x:c>
      <x:c r="BK14" s="67" t="str">
        <x:v>Фин.показатели 2025!BK14; 1 пол. 2025!BK14; 1 пол. 2026!BK14</x:v>
      </x:c>
      <x:c r="BL14" s="67" t="str">
        <x:v>Фин.показатели 2025!BL14; 1 пол. 2025!BL14; 1 пол. 2026!BL14</x:v>
      </x:c>
      <x:c r="BM14" s="67" t="str">
        <x:v>1 пол. 2026!BM14</x:v>
      </x:c>
      <x:c r="BN14" s="65" t="n">
        <x:f>'1 пол. 2026'!BN14</x:f>
        <x:v>372033</x:v>
      </x:c>
      <x:c r="BO14" s="65" t="n">
        <x:f>'1 пол. 2026'!BO14</x:f>
        <x:v>0</x:v>
      </x:c>
      <x:c r="BP14" s="65"/>
      <x:c r="BQ14" s="65"/>
      <x:c r="BR14" s="67" t="str">
        <x:v>МСФО: выручка включает Финтех; капитал отрицательный. Скорр. EBITDA: операционная прибыль + амортизация + вознаграждение акциями + пожар. Не смешивать с обычной EBITDA.</x:v>
      </x:c>
      <x:c r="BS14" s="65" t="n">
        <x:f>IF(COUNT('Фин.показатели 2025'!BS14,'1 пол. 2026'!BS14,'1 пол. 2025'!BS14)=3,'Фин.показатели 2025'!BS14+'1 пол. 2026'!BS14-'1 пол. 2025'!BS14,"н.д.")</x:f>
        <x:v>17762</x:v>
      </x:c>
      <x:c r="BT14" s="65"/>
      <x:c r="BU14" s="65"/>
      <x:c r="BV14" s="65"/>
      <x:c r="BW14" s="65"/>
      <x:c r="BX14" s="65"/>
      <x:c r="BY14" s="65"/>
      <x:c r="BZ14" s="65"/>
      <x:c r="CA14" s="65"/>
      <x:c r="CB14" s="65"/>
      <x:c r="CC14" s="65"/>
      <x:c r="CD14" s="65"/>
      <x:c r="CE14" s="65"/>
      <x:c r="CF14" s="65"/>
      <x:c r="CG14" s="65"/>
      <x:c r="CH14" s="65"/>
      <x:c r="CI14" s="65"/>
      <x:c r="CJ14" s="65"/>
      <x:c r="CK14" s="65"/>
      <x:c r="CL14" s="65"/>
      <x:c r="CM14" s="65"/>
      <x:c r="CN14" s="65"/>
    </x:row>
    <x:row r="15" ht="16.5">
      <x:c r="B15" s="3">
        <x:v>9</x:v>
      </x:c>
      <x:c r="C15" s="3" t="s">
        <x:v>83</x:v>
      </x:c>
      <x:c r="E15" s="64" t="n">
        <x:f>'1 пол. 2026'!E15</x:f>
        <x:v>1053638</x:v>
      </x:c>
      <x:c r="F15" s="64" t="n">
        <x:f>'1 пол. 2026'!F15</x:f>
        <x:v>1053638</x:v>
      </x:c>
      <x:c r="G15" s="64" t="n">
        <x:f>'1 пол. 2026'!G15</x:f>
        <x:v>310647</x:v>
      </x:c>
      <x:c r="H15" s="64" t="n">
        <x:f>IF(COUNT('Фин.показатели 2025'!H15,'1 пол. 2026'!H15,'1 пол. 2025'!H15)=3,'Фин.показатели 2025'!H15+'1 пол. 2026'!H15-'1 пол. 2025'!H15,"н.д.")</x:f>
        <x:v>4878555</x:v>
      </x:c>
      <x:c r="I15" s="64" t="n">
        <x:f>IF(COUNT('Фин.показатели 2025'!I15,'1 пол. 2026'!I15,'1 пол. 2025'!I15)=3,'Фин.показатели 2025'!I15+'1 пол. 2026'!I15-'1 пол. 2025'!I15,"н.д.")</x:f>
        <x:v>464509</x:v>
      </x:c>
      <x:c r="J15" s="64" t="n">
        <x:f>IF(COUNT('Фин.показатели 2025'!J15,'1 пол. 2026'!J15,'1 пол. 2025'!J15)=3,'Фин.показатели 2025'!J15+'1 пол. 2026'!J15-'1 пол. 2025'!J15,"н.д.")</x:f>
        <x:v>474228</x:v>
      </x:c>
      <x:c r="K15" s="64" t="n">
        <x:f>IF(COUNT('Фин.показатели 2025'!K15,'1 пол. 2026'!K15,'1 пол. 2025'!K15)=3,'Фин.показатели 2025'!K15+'1 пол. 2026'!K15-'1 пол. 2025'!K15,"н.д.")</x:f>
        <x:v>287021</x:v>
      </x:c>
      <x:c r="L15" s="64"/>
      <x:c r="M15" s="64"/>
      <x:c r="N15" s="64" t="n">
        <x:f>IF(COUNT('Фин.показатели 2025'!N15,'1 пол. 2026'!N15,'1 пол. 2025'!N15)=3,'Фин.показатели 2025'!N15+'1 пол. 2026'!N15-'1 пол. 2025'!N15,"н.д.")</x:f>
        <x:v>66573</x:v>
      </x:c>
      <x:c r="O15" s="64" t="n">
        <x:f>'1 пол. 2026'!O15</x:f>
        <x:v>64268</x:v>
      </x:c>
      <x:c r="P15" s="65"/>
      <x:c r="Q15" s="65"/>
      <x:c r="R15" s="80" t="n">
        <x:f>IF(ISNUMBER('1 пол. 2026'!R15),'1 пол. 2026'!R15,"н.д.")</x:f>
        <x:v>1053638</x:v>
      </x:c>
      <x:c r="S15" s="66" t="n">
        <x:f>'1 пол. 2026'!S15</x:f>
        <x:v>127305</x:v>
      </x:c>
      <x:c r="T15" s="66" t="n">
        <x:f>'1 пол. 2026'!T15</x:f>
        <x:v>308552</x:v>
      </x:c>
      <x:c r="U15" s="66" t="n">
        <x:f>'1 пол. 2026'!U15</x:f>
        <x:v>125210</x:v>
      </x:c>
      <x:c r="V15" s="66" t="n">
        <x:f>'1 пол. 2026'!V15</x:f>
        <x:v>742991</x:v>
      </x:c>
      <x:c r="W15" s="80" t="n">
        <x:f>IF(ISNUMBER('1 пол. 2026'!W15),'1 пол. 2026'!W15,"н.д.")</x:f>
        <x:v>1053638</x:v>
      </x:c>
      <x:c r="X15" s="64" t="n">
        <x:f>'1 пол. 2026'!X15</x:f>
        <x:v>-742991</x:v>
      </x:c>
      <x:c r="Y15" s="66" t="n">
        <x:f>'1 пол. 2026'!Y15</x:f>
        <x:v>310647</x:v>
      </x:c>
      <x:c r="Z15" s="80" t="n">
        <x:f>IF(COUNT('Фин.показатели 2025'!Z15,'1 пол. 2026'!Z15,'1 пол. 2025'!Z15)=3,'Фин.показатели 2025'!Z15+'1 пол. 2026'!Z15-'1 пол. 2025'!Z15,"н.д.")</x:f>
        <x:v>464509</x:v>
      </x:c>
      <x:c r="AA15" s="80" t="str">
        <x:f>IF(COUNT('Фин.показатели 2025'!AA15,'1 пол. 2026'!AA15,'1 пол. 2025'!AA15)=3,'Фин.показатели 2025'!AA15+'1 пол. 2026'!AA15-'1 пол. 2025'!AA15,"н.д.")</x:f>
        <x:v>н.д.</x:v>
      </x:c>
      <x:c r="AB15" s="66"/>
      <x:c r="AC15" s="66"/>
      <x:c r="AD15" s="66"/>
      <x:c r="AE15" s="66"/>
      <x:c r="AF15" s="66" t="n">
        <x:f>IF(COUNT('Фин.показатели 2025'!AF15,'1 пол. 2026'!AF15,'1 пол. 2025'!AF15)=3,'Фин.показатели 2025'!AF15+'1 пол. 2026'!AF15-'1 пол. 2025'!AF15,"н.д.")</x:f>
        <x:v>9719</x:v>
      </x:c>
      <x:c r="AG15" s="80" t="n">
        <x:f>IF(COUNT('Фин.показатели 2025'!AG15,'1 пол. 2026'!AG15,'1 пол. 2025'!AG15)=3,'Фин.показатели 2025'!AG15+'1 пол. 2026'!AG15-'1 пол. 2025'!AG15,"н.д.")</x:f>
        <x:v>474228</x:v>
      </x:c>
      <x:c r="AH15" s="64"/>
      <x:c r="AI15" s="80" t="n">
        <x:f>IF('1 пол. 2026'!AI15="н.п.","н.п.",IF(COUNT('Фин.показатели 2025'!AI15,'1 пол. 2026'!AI15,'1 пол. 2025'!AI15)=3,'Фин.показатели 2025'!AI15+'1 пол. 2026'!AI15-'1 пол. 2025'!AI15,"н.д."))</x:f>
        <x:v>287021</x:v>
      </x:c>
      <x:c r="AJ15" s="64"/>
      <x:c r="AK15" s="80" t="str">
        <x:f>IF('1 пол. 2026'!AK15="н.п.","н.п.",IF(COUNT('Фин.показатели 2025'!AK15,'1 пол. 2026'!AK15,'1 пол. 2025'!AK15)=3,'Фин.показатели 2025'!AK15+'1 пол. 2026'!AK15-'1 пол. 2025'!AK15,"н.д."))</x:f>
        <x:v>н.п.</x:v>
      </x:c>
      <x:c r="AL15" s="64"/>
      <x:c r="AM15" s="80" t="str">
        <x:f>IF(COUNT('Фин.показатели 2025'!AM15,'1 пол. 2026'!AM15,'1 пол. 2025'!AM15)=3,'Фин.показатели 2025'!AM15+'1 пол. 2026'!AM15-'1 пол. 2025'!AM15,"н.д.")</x:f>
        <x:v>н.д.</x:v>
      </x:c>
      <x:c r="AN15" s="64"/>
      <x:c r="AO15" s="64"/>
      <x:c r="AP15" s="80" t="str">
        <x:f>IF(COUNT('Фин.показатели 2025'!AP15,'1 пол. 2026'!AP15,'1 пол. 2025'!AP15)=3,'Фин.показатели 2025'!AP15+'1 пол. 2026'!AP15-'1 пол. 2025'!AP15,"н.д.")</x:f>
        <x:v>н.д.</x:v>
      </x:c>
      <x:c r="AQ15" s="64"/>
      <x:c r="AR15" s="80" t="str">
        <x:f>IF(COUNT('Фин.показатели 2025'!AR15,'1 пол. 2026'!AR15,'1 пол. 2025'!AR15)=3,'Фин.показатели 2025'!AR15+'1 пол. 2026'!AR15-'1 пол. 2025'!AR15,"н.д.")</x:f>
        <x:v>н.д.</x:v>
      </x:c>
      <x:c r="AS15" s="65"/>
      <x:c r="AT15" s="65"/>
      <x:c r="AU15" s="65"/>
      <x:c r="AV15" s="65"/>
      <x:c r="AW15" s="65"/>
      <x:c r="AX15" s="65"/>
      <x:c r="AY15" s="65"/>
      <x:c r="AZ15" s="65"/>
      <x:c r="BA15" s="65"/>
      <x:c r="BB15" s="65"/>
      <x:c r="BC15" s="67" t="str">
        <x:v>1 пол. 2026!BC15; ЧД — остаток на 30.06.2026, не поток</x:v>
      </x:c>
      <x:c r="BD15" s="67" t="str">
        <x:v>1 пол. 2026!BD15</x:v>
      </x:c>
      <x:c r="BE15" s="67" t="str">
        <x:v>1 пол. 2026!BE15; ЧД до IFRS 16 — 310 647 млн руб. на 30.06.2026</x:v>
      </x:c>
      <x:c r="BF15" s="67" t="str">
        <x:v>Выручка TTM 4 878 555 = 4 642 034 + 2 480 513 − 2 243 992</x:v>
      </x:c>
      <x:c r="BG15" s="67" t="str">
        <x:v>Скорр. EBITDA IFRS 16 TTM 474 228 = 453 035 + 232 639 − 211 446; скорр. EBITDA до IFRS 16 TTM 296 740 = 285 468 + 141 341 − 130 069</x:v>
      </x:c>
      <x:c r="BH15" s="67" t="str">
        <x:v>EBITDA до IFRS 16 TTM 287 021 = 273 109 + 136 666 − 122 754</x:v>
      </x:c>
      <x:c r="BI15" s="67" t="str">
        <x:v>EBITDA IFRS 16 TTM 464 509 = 440 676 + 227 964 − 204 131</x:v>
      </x:c>
      <x:c r="BJ15" s="67" t="str">
        <x:v>Фин.показатели 2025!BJ15; 1 пол. 2025!BJ15; 1 пол. 2026!BJ15</x:v>
      </x:c>
      <x:c r="BK15" s="67" t="str">
        <x:v>Фин.показатели 2025!BK15; 1 пол. 2025!BK15; 1 пол. 2026!BK15</x:v>
      </x:c>
      <x:c r="BL15" s="67" t="str">
        <x:v>Фин.показатели 2025!BL15; 1 пол. 2025!BL15; 1 пол. 2026!BL15</x:v>
      </x:c>
      <x:c r="BM15" s="67" t="str">
        <x:v>1 пол. 2026!BM15</x:v>
      </x:c>
      <x:c r="BN15" s="65" t="n">
        <x:f>'1 пол. 2026'!BN15</x:f>
        <x:v>742991</x:v>
      </x:c>
      <x:c r="BO15" s="65" t="n">
        <x:f>'1 пол. 2026'!BO15</x:f>
        <x:v>0</x:v>
      </x:c>
      <x:c r="BP15" s="65" t="n">
        <x:f>IF(COUNT('Фин.показатели 2025'!BP15,'1 пол. 2026'!BP15,'1 пол. 2025'!BP15)=3,'Фин.показатели 2025'!BP15+'1 пол. 2026'!BP15-'1 пол. 2025'!BP15,"н.д.")</x:f>
        <x:v>296740</x:v>
      </x:c>
      <x:c r="BQ15" s="65"/>
      <x:c r="BR15" s="67" t="str"/>
      <x:c r="BS15" s="65"/>
      <x:c r="BT15" s="65"/>
      <x:c r="BU15" s="65"/>
      <x:c r="BV15" s="65"/>
      <x:c r="BW15" s="65"/>
      <x:c r="BX15" s="65"/>
      <x:c r="BY15" s="65"/>
      <x:c r="BZ15" s="65"/>
      <x:c r="CA15" s="65"/>
      <x:c r="CB15" s="65"/>
      <x:c r="CC15" s="65"/>
      <x:c r="CD15" s="65"/>
      <x:c r="CE15" s="65" t="n">
        <x:f>IF(COUNT('Фин.показатели 2025'!CE15,'1 пол. 2026'!CE15,'1 пол. 2025'!CE15)=3,'Фин.показатели 2025'!CE15+'1 пол. 2026'!CE15-'1 пол. 2025'!CE15,"н.д.")</x:f>
        <x:v>-175805</x:v>
      </x:c>
      <x:c r="CF15" s="65"/>
      <x:c r="CG15" s="65"/>
      <x:c r="CH15" s="65"/>
      <x:c r="CI15" s="65"/>
      <x:c r="CJ15" s="65"/>
      <x:c r="CK15" s="65"/>
      <x:c r="CL15" s="65"/>
      <x:c r="CM15" s="65"/>
      <x:c r="CN15" s="65"/>
    </x:row>
    <x:row r="16" ht="16.5">
      <x:c r="B16" s="3">
        <x:v>10</x:v>
      </x:c>
      <x:c r="C16" s="3" t="s">
        <x:v>85</x:v>
      </x:c>
      <x:c r="E16" s="64" t="str">
        <x:f>'1 пол. 2026'!E16</x:f>
        <x:v>н.д.</x:v>
      </x:c>
      <x:c r="F16" s="64"/>
      <x:c r="G16" s="64"/>
      <x:c r="H16" s="64" t="n">
        <x:f>IF(COUNT('Фин.показатели 2025'!H16,'1 пол. 2026'!H16,'1 пол. 2025'!H16)=3,'Фин.показатели 2025'!H16+'1 пол. 2026'!H16-'1 пол. 2025'!H16,"н.д.")</x:f>
        <x:v>8262000</x:v>
      </x:c>
      <x:c r="I16" s="64" t="n">
        <x:f>IF(COUNT('Фин.показатели 2025'!I16,'1 пол. 2026'!I16,'1 пол. 2025'!I16)=3,'Фин.показатели 2025'!I16+'1 пол. 2026'!I16-'1 пол. 2025'!I16,"н.д.")</x:f>
        <x:v>2415000</x:v>
      </x:c>
      <x:c r="J16" s="64"/>
      <x:c r="K16" s="64"/>
      <x:c r="L16" s="64"/>
      <x:c r="M16" s="64"/>
      <x:c r="N16" s="64" t="n">
        <x:f>IF(COUNT('Фин.показатели 2025'!N16,'1 пол. 2026'!N16,'1 пол. 2025'!N16)=3,'Фин.показатели 2025'!N16+'1 пол. 2026'!N16-'1 пол. 2025'!N16,"н.д.")</x:f>
        <x:v>248000</x:v>
      </x:c>
      <x:c r="O16" s="64" t="str">
        <x:f>'1 пол. 2026'!O16</x:f>
        <x:v>н.д.</x:v>
      </x:c>
      <x:c r="P16" s="65"/>
      <x:c r="Q16" s="65"/>
      <x:c r="R16" s="80" t="str">
        <x:f>IF(ISNUMBER('1 пол. 2026'!R16),'1 пол. 2026'!R16,"н.д.")</x:f>
        <x:v>н.д.</x:v>
      </x:c>
      <x:c r="S16" s="66"/>
      <x:c r="T16" s="66"/>
      <x:c r="U16" s="66"/>
      <x:c r="V16" s="66"/>
      <x:c r="W16" s="80" t="str">
        <x:f>IF(ISNUMBER('1 пол. 2026'!W16),'1 пол. 2026'!W16,"н.д.")</x:f>
        <x:v>н.д.</x:v>
      </x:c>
      <x:c r="X16" s="64"/>
      <x:c r="Y16" s="66" t="str">
        <x:f>'1 пол. 2026'!Y16</x:f>
        <x:v>н.п.</x:v>
      </x:c>
      <x:c r="Z16" s="80" t="n">
        <x:f>IF(COUNT('Фин.показатели 2025'!Z16,'1 пол. 2026'!Z16,'1 пол. 2025'!Z16)=3,'Фин.показатели 2025'!Z16+'1 пол. 2026'!Z16-'1 пол. 2025'!Z16,"н.д.")</x:f>
        <x:v>2415000</x:v>
      </x:c>
      <x:c r="AA16" s="80" t="str">
        <x:f>IF(COUNT('Фин.показатели 2025'!AA16,'1 пол. 2026'!AA16,'1 пол. 2025'!AA16)=3,'Фин.показатели 2025'!AA16+'1 пол. 2026'!AA16-'1 пол. 2025'!AA16,"н.д.")</x:f>
        <x:v>н.д.</x:v>
      </x:c>
      <x:c r="AB16" s="66"/>
      <x:c r="AC16" s="66"/>
      <x:c r="AD16" s="66"/>
      <x:c r="AE16" s="66"/>
      <x:c r="AF16" s="66"/>
      <x:c r="AG16" s="80" t="str">
        <x:f>IF(COUNT('Фин.показатели 2025'!AG16,'1 пол. 2026'!AG16,'1 пол. 2025'!AG16)=3,'Фин.показатели 2025'!AG16+'1 пол. 2026'!AG16-'1 пол. 2025'!AG16,"н.д.")</x:f>
        <x:v>н.д.</x:v>
      </x:c>
      <x:c r="AH16" s="64"/>
      <x:c r="AI16" s="80" t="str">
        <x:f>IF('1 пол. 2026'!AI16="н.п.","н.п.",IF(COUNT('Фин.показатели 2025'!AI16,'1 пол. 2026'!AI16,'1 пол. 2025'!AI16)=3,'Фин.показатели 2025'!AI16+'1 пол. 2026'!AI16-'1 пол. 2025'!AI16,"н.д."))</x:f>
        <x:v>н.п.</x:v>
      </x:c>
      <x:c r="AJ16" s="64"/>
      <x:c r="AK16" s="80" t="str">
        <x:f>IF('1 пол. 2026'!AK16="н.п.","н.п.",IF(COUNT('Фин.показатели 2025'!AK16,'1 пол. 2026'!AK16,'1 пол. 2025'!AK16)=3,'Фин.показатели 2025'!AK16+'1 пол. 2026'!AK16-'1 пол. 2025'!AK16,"н.д."))</x:f>
        <x:v>н.п.</x:v>
      </x:c>
      <x:c r="AL16" s="64"/>
      <x:c r="AM16" s="80" t="str">
        <x:f>IF(COUNT('Фин.показатели 2025'!AM16,'1 пол. 2026'!AM16,'1 пол. 2025'!AM16)=3,'Фин.показатели 2025'!AM16+'1 пол. 2026'!AM16-'1 пол. 2025'!AM16,"н.д.")</x:f>
        <x:v>н.д.</x:v>
      </x:c>
      <x:c r="AN16" s="64"/>
      <x:c r="AO16" s="64"/>
      <x:c r="AP16" s="80" t="str">
        <x:f>IF(COUNT('Фин.показатели 2025'!AP16,'1 пол. 2026'!AP16,'1 пол. 2025'!AP16)=3,'Фин.показатели 2025'!AP16+'1 пол. 2026'!AP16-'1 пол. 2025'!AP16,"н.д.")</x:f>
        <x:v>н.д.</x:v>
      </x:c>
      <x:c r="AQ16" s="64"/>
      <x:c r="AR16" s="80" t="str">
        <x:f>IF(COUNT('Фин.показатели 2025'!AR16,'1 пол. 2026'!AR16,'1 пол. 2025'!AR16)=3,'Фин.показатели 2025'!AR16+'1 пол. 2026'!AR16-'1 пол. 2025'!AR16,"н.д.")</x:f>
        <x:v>н.д.</x:v>
      </x:c>
      <x:c r="AS16" s="65"/>
      <x:c r="AT16" s="65"/>
      <x:c r="AU16" s="65"/>
      <x:c r="AV16" s="65"/>
      <x:c r="AW16" s="65"/>
      <x:c r="AX16" s="65"/>
      <x:c r="AY16" s="65"/>
      <x:c r="AZ16" s="65"/>
      <x:c r="BA16" s="65"/>
      <x:c r="BB16" s="65"/>
      <x:c r="BC16" s="67" t="str">
        <x:v>1 пол. 2026!BC16; точный ЧД на 30.06.2026 не раскрыт, из округлённого коэффициента 1,8x не рассчитывался</x:v>
      </x:c>
      <x:c r="BD16" s="67" t="str">
        <x:v>1 пол. 2026!BD16</x:v>
      </x:c>
      <x:c r="BE16" s="67" t="str">
        <x:v>1 пол. 2026!BE16</x:v>
      </x:c>
      <x:c r="BF16" s="67" t="str">
        <x:v>Выручка TTM 8 262 000 = 8 236 000 + 4 289 000 − 4 263 000 млн руб.</x:v>
      </x:c>
      <x:c r="BG16" s="67" t="str">
        <x:v>Фин.показатели 2025!BG16; 1 пол. 2025!BG16; 1 пол. 2026!BG16</x:v>
      </x:c>
      <x:c r="BH16" s="67" t="str">
        <x:v>Фин.показатели 2025!BH16; 1 пол. 2025!BH16; 1 пол. 2026!BH16</x:v>
      </x:c>
      <x:c r="BI16" s="67" t="str">
        <x:v>EBITDA TTM 2 415 000 = 2 173 000 + 1 296 000 − 1 054 000 млн руб.; опубликованные итоги компании</x:v>
      </x:c>
      <x:c r="BJ16" s="67" t="str">
        <x:v>Фин.показатели 2025!BJ16; 1 пол. 2025!BJ16; 1 пол. 2026!BJ16</x:v>
      </x:c>
      <x:c r="BK16" s="67" t="str">
        <x:v>Фин.показатели 2025!BK16; 1 пол. 2025!BK16; 1 пол. 2026!BK16</x:v>
      </x:c>
      <x:c r="BL16" s="67" t="str">
        <x:v>Прибыль акционеров TTM 248 000 = 293 000 + 200 000 − 245 000 млн руб.</x:v>
      </x:c>
      <x:c r="BM16" s="67" t="str">
        <x:v>1 пол. 2026!BM16; капитал акционеров на 30.06.2026 — н.д.</x:v>
      </x:c>
      <x:c r="BN16" s="65"/>
      <x:c r="BO16" s="65"/>
      <x:c r="BP16" s="65"/>
      <x:c r="BQ16" s="65" t="n">
        <x:f>'1 пол. 2026'!BQ16</x:f>
        <x:v>9285000</x:v>
      </x:c>
      <x:c r="BR16" s="67" t="str">
        <x:v>ЧД и капитал акционеров на 30.06.2026 — н.д.; общий капитал 9 285 000 млн руб. показан отдельно. EV и P/B не рассчитываются.</x:v>
      </x:c>
      <x:c r="BS16" s="65"/>
      <x:c r="BT16" s="65"/>
      <x:c r="BU16" s="65"/>
      <x:c r="BV16" s="65"/>
      <x:c r="BW16" s="65"/>
      <x:c r="BX16" s="65"/>
      <x:c r="BY16" s="65"/>
      <x:c r="BZ16" s="65"/>
      <x:c r="CA16" s="65"/>
      <x:c r="CB16" s="65"/>
      <x:c r="CC16" s="65"/>
      <x:c r="CD16" s="65"/>
      <x:c r="CE16" s="65"/>
      <x:c r="CF16" s="65"/>
      <x:c r="CG16" s="65"/>
      <x:c r="CH16" s="65"/>
      <x:c r="CI16" s="65"/>
      <x:c r="CJ16" s="65"/>
      <x:c r="CK16" s="65"/>
      <x:c r="CL16" s="65"/>
      <x:c r="CM16" s="65"/>
      <x:c r="CN16" s="65"/>
    </x:row>
    <x:row r="17" ht="16.5">
      <x:c r="B17" s="3">
        <x:v>11</x:v>
      </x:c>
      <x:c r="C17" s="3" t="s">
        <x:v>86</x:v>
      </x:c>
      <x:c r="E17" s="64" t="str">
        <x:f>'1 пол. 2026'!E17</x:f>
        <x:v>н.д.</x:v>
      </x:c>
      <x:c r="F17" s="64"/>
      <x:c r="G17" s="64"/>
      <x:c r="H17" s="64" t="n">
        <x:f>IF(COUNT('Фин.показатели 2025'!H17,'1 пол. 2026'!H17,'1 пол. 2025'!H17)=3,'Фин.показатели 2025'!H17+'1 пол. 2026'!H17-'1 пол. 2025'!H17,"н.д.")</x:f>
        <x:v>755646</x:v>
      </x:c>
      <x:c r="I17" s="64" t="str">
        <x:v>н.д.</x:v>
      </x:c>
      <x:c r="J17" s="64" t="str">
        <x:f>IF(COUNT('Фин.показатели 2025'!J17,'1 пол. 2026'!J17,'1 пол. 2025'!J17)=3,'Фин.показатели 2025'!J17+'1 пол. 2026'!J17-'1 пол. 2025'!J17,"н.д.")</x:f>
        <x:v>н.д.</x:v>
      </x:c>
      <x:c r="K17" s="64"/>
      <x:c r="L17" s="64"/>
      <x:c r="M17" s="64"/>
      <x:c r="N17" s="64" t="n">
        <x:f>IF(COUNT('Фин.показатели 2025'!N17,'1 пол. 2026'!N17,'1 пол. 2025'!N17)=3,'Фин.показатели 2025'!N17+'1 пол. 2026'!N17-'1 пол. 2025'!N17,"н.д.")</x:f>
        <x:v>202906</x:v>
      </x:c>
      <x:c r="O17" s="64" t="n">
        <x:f>'1 пол. 2026'!O17</x:f>
        <x:v>252831</x:v>
      </x:c>
      <x:c r="P17" s="65"/>
      <x:c r="Q17" s="65"/>
      <x:c r="R17" s="80" t="str">
        <x:f>IF(ISNUMBER('1 пол. 2026'!R17),'1 пол. 2026'!R17,"н.д.")</x:f>
        <x:v>н.д.</x:v>
      </x:c>
      <x:c r="S17" s="66"/>
      <x:c r="T17" s="66"/>
      <x:c r="U17" s="66"/>
      <x:c r="V17" s="66"/>
      <x:c r="W17" s="80" t="str">
        <x:f>IF(ISNUMBER('1 пол. 2026'!W17),'1 пол. 2026'!W17,"н.д.")</x:f>
        <x:v>н.д.</x:v>
      </x:c>
      <x:c r="X17" s="64"/>
      <x:c r="Y17" s="66" t="str">
        <x:f>'1 пол. 2026'!Y17</x:f>
        <x:v>н.п.</x:v>
      </x:c>
      <x:c r="Z17" s="80" t="str">
        <x:f>IF(COUNT('Фин.показатели 2025'!Z17,'1 пол. 2026'!Z17,'1 пол. 2025'!Z17)=3,'Фин.показатели 2025'!Z17+'1 пол. 2026'!Z17-'1 пол. 2025'!Z17,"н.д.")</x:f>
        <x:v>н.д.</x:v>
      </x:c>
      <x:c r="AA17" s="80" t="str">
        <x:f>IF(COUNT('Фин.показатели 2025'!AA17,'1 пол. 2026'!AA17,'1 пол. 2025'!AA17)=3,'Фин.показатели 2025'!AA17+'1 пол. 2026'!AA17-'1 пол. 2025'!AA17,"н.д.")</x:f>
        <x:v>н.д.</x:v>
      </x:c>
      <x:c r="AB17" s="66"/>
      <x:c r="AC17" s="66"/>
      <x:c r="AD17" s="66"/>
      <x:c r="AE17" s="66"/>
      <x:c r="AF17" s="66"/>
      <x:c r="AG17" s="80" t="str">
        <x:f>IF(COUNT('Фин.показатели 2025'!AG17,'1 пол. 2026'!AG17,'1 пол. 2025'!AG17)=3,'Фин.показатели 2025'!AG17+'1 пол. 2026'!AG17-'1 пол. 2025'!AG17,"н.д.")</x:f>
        <x:v>н.д.</x:v>
      </x:c>
      <x:c r="AH17" s="64"/>
      <x:c r="AI17" s="80" t="str">
        <x:f>IF('1 пол. 2026'!AI17="н.п.","н.п.",IF(COUNT('Фин.показатели 2025'!AI17,'1 пол. 2026'!AI17,'1 пол. 2025'!AI17)=3,'Фин.показатели 2025'!AI17+'1 пол. 2026'!AI17-'1 пол. 2025'!AI17,"н.д."))</x:f>
        <x:v>н.п.</x:v>
      </x:c>
      <x:c r="AJ17" s="64"/>
      <x:c r="AK17" s="80" t="str">
        <x:f>IF('1 пол. 2026'!AK17="н.п.","н.п.",IF(COUNT('Фин.показатели 2025'!AK17,'1 пол. 2026'!AK17,'1 пол. 2025'!AK17)=3,'Фин.показатели 2025'!AK17+'1 пол. 2026'!AK17-'1 пол. 2025'!AK17,"н.д."))</x:f>
        <x:v>н.п.</x:v>
      </x:c>
      <x:c r="AL17" s="64"/>
      <x:c r="AM17" s="80" t="str">
        <x:f>IF(COUNT('Фин.показатели 2025'!AM17,'1 пол. 2026'!AM17,'1 пол. 2025'!AM17)=3,'Фин.показатели 2025'!AM17+'1 пол. 2026'!AM17-'1 пол. 2025'!AM17,"н.д.")</x:f>
        <x:v>н.д.</x:v>
      </x:c>
      <x:c r="AN17" s="64"/>
      <x:c r="AO17" s="64"/>
      <x:c r="AP17" s="80" t="str">
        <x:f>IF(COUNT('Фин.показатели 2025'!AP17,'1 пол. 2026'!AP17,'1 пол. 2025'!AP17)=3,'Фин.показатели 2025'!AP17+'1 пол. 2026'!AP17-'1 пол. 2025'!AP17,"н.д.")</x:f>
        <x:v>н.д.</x:v>
      </x:c>
      <x:c r="AQ17" s="64"/>
      <x:c r="AR17" s="80" t="str">
        <x:f>IF(COUNT('Фин.показатели 2025'!AR17,'1 пол. 2026'!AR17,'1 пол. 2025'!AR17)=3,'Фин.показатели 2025'!AR17+'1 пол. 2026'!AR17-'1 пол. 2025'!AR17,"н.д.")</x:f>
        <x:v>н.д.</x:v>
      </x:c>
      <x:c r="AS17" s="65"/>
      <x:c r="AT17" s="65"/>
      <x:c r="AU17" s="65"/>
      <x:c r="AV17" s="65"/>
      <x:c r="AW17" s="65"/>
      <x:c r="AX17" s="65"/>
      <x:c r="AY17" s="65"/>
      <x:c r="AZ17" s="65"/>
      <x:c r="BA17" s="65"/>
      <x:c r="BB17" s="65"/>
      <x:c r="BC17" s="67" t="str">
        <x:v>1 пол. 2026!BC17; точный ЧД на 30.06.2026 не раскрыт, из округлённого коэффициента 1,1x не рассчитывался</x:v>
      </x:c>
      <x:c r="BD17" s="67" t="str">
        <x:v>1 пол. 2026!BD17</x:v>
      </x:c>
      <x:c r="BE17" s="67" t="str">
        <x:v>1 пол. 2026!BE17</x:v>
      </x:c>
      <x:c r="BF17" s="67" t="str">
        <x:v>Выручка TTM 755 646 = 712 773 + 352 667 − 309 794 млн руб.</x:v>
      </x:c>
      <x:c r="BG17" s="67" t="str">
        <x:v>Фин.показатели 2025!BG17; 1 пол. 2025!BG17; 1 пол. 2026!BG17</x:v>
      </x:c>
      <x:c r="BH17" s="67" t="str">
        <x:v>Точная скорректированная EBITDA TTM не рассчитывается: значения за 1П2025 и 1П2026 не раскрыты</x:v>
      </x:c>
      <x:c r="BI17" s="67" t="str">
        <x:v>Фин.показатели 2025!BI17; 1 пол. 2025!BI17; 1 пол. 2026!BI17</x:v>
      </x:c>
      <x:c r="BJ17" s="67" t="str">
        <x:v>Фин.показатели 2025!BJ17; 1 пол. 2025!BJ17; 1 пол. 2026!BJ17</x:v>
      </x:c>
      <x:c r="BK17" s="67" t="str">
        <x:v>Фин.показатели 2025!BK17; 1 пол. 2025!BK17; 1 пол. 2026!BK17</x:v>
      </x:c>
      <x:c r="BL17" s="67" t="str">
        <x:v>Прибыль акционеров TTM 202 906 = 314 206 + 61 236 − 172 536 млн руб.</x:v>
      </x:c>
      <x:c r="BM17" s="67" t="str">
        <x:v>Капитал акционеров 252 831 млн руб. — остаток на 30.06.2026</x:v>
      </x:c>
      <x:c r="BN17" s="65"/>
      <x:c r="BO17" s="65" t="n">
        <x:f>'1 пол. 2026'!BO17</x:f>
        <x:v>0</x:v>
      </x:c>
      <x:c r="BP17" s="65"/>
      <x:c r="BQ17" s="65"/>
      <x:c r="BR17" s="67" t="str">
        <x:v>ЧД и EBITDA TTM — н.д.; точные полугодовые значения не раскрыты. Капитал акционеров и прибыль не смешаны с показателями группы. EV и EBITDA-мультипликаторы не рассчитываются.</x:v>
      </x:c>
      <x:c r="BS17" s="65"/>
      <x:c r="BT17" s="65"/>
      <x:c r="BU17" s="65"/>
      <x:c r="BV17" s="65"/>
      <x:c r="BW17" s="65"/>
      <x:c r="BX17" s="65"/>
      <x:c r="BY17" s="65"/>
      <x:c r="BZ17" s="65"/>
      <x:c r="CA17" s="65"/>
      <x:c r="CB17" s="65"/>
      <x:c r="CC17" s="65"/>
      <x:c r="CD17" s="65"/>
      <x:c r="CE17" s="65"/>
      <x:c r="CF17" s="65"/>
      <x:c r="CG17" s="65"/>
      <x:c r="CH17" s="65"/>
      <x:c r="CI17" s="65"/>
      <x:c r="CJ17" s="65"/>
      <x:c r="CK17" s="65"/>
      <x:c r="CL17" s="65"/>
      <x:c r="CM17" s="65"/>
      <x:c r="CN17" s="65"/>
    </x:row>
    <x:row r="18" ht="16.5">
      <x:c r="B18" s="3">
        <x:v>12</x:v>
      </x:c>
      <x:c r="C18" s="3" t="s">
        <x:v>87</x:v>
      </x:c>
      <x:c r="E18" s="64"/>
      <x:c r="F18" s="64"/>
      <x:c r="G18" s="64"/>
      <x:c r="H18" s="64"/>
      <x:c r="I18" s="64"/>
      <x:c r="J18" s="64"/>
      <x:c r="K18" s="64"/>
      <x:c r="L18" s="64"/>
      <x:c r="M18" s="64"/>
      <x:c r="N18" s="64"/>
      <x:c r="O18" s="64"/>
      <x:c r="P18" s="65"/>
      <x:c r="Q18" s="65"/>
      <x:c r="R18" s="80" t="str">
        <x:f>IF(ISNUMBER('1 пол. 2026'!R18),'1 пол. 2026'!R18,"н.д.")</x:f>
        <x:v>н.д.</x:v>
      </x:c>
      <x:c r="S18" s="66"/>
      <x:c r="T18" s="66"/>
      <x:c r="U18" s="66"/>
      <x:c r="V18" s="66"/>
      <x:c r="W18" s="80" t="str">
        <x:f>IF(ISNUMBER('1 пол. 2026'!W18),'1 пол. 2026'!W18,"н.д.")</x:f>
        <x:v>н.д.</x:v>
      </x:c>
      <x:c r="X18" s="64"/>
      <x:c r="Y18" s="66" t="str">
        <x:f>'1 пол. 2026'!Y18</x:f>
        <x:v>н.п.</x:v>
      </x:c>
      <x:c r="Z18" s="80" t="str">
        <x:f>IF(COUNT('Фин.показатели 2025'!Z18,'1 пол. 2026'!Z18,'1 пол. 2025'!Z18)=3,'Фин.показатели 2025'!Z18+'1 пол. 2026'!Z18-'1 пол. 2025'!Z18,"н.д.")</x:f>
        <x:v>н.д.</x:v>
      </x:c>
      <x:c r="AA18" s="80" t="str">
        <x:f>IF(COUNT('Фин.показатели 2025'!AA18,'1 пол. 2026'!AA18,'1 пол. 2025'!AA18)=3,'Фин.показатели 2025'!AA18+'1 пол. 2026'!AA18-'1 пол. 2025'!AA18,"н.д.")</x:f>
        <x:v>н.д.</x:v>
      </x:c>
      <x:c r="AB18" s="66"/>
      <x:c r="AC18" s="66"/>
      <x:c r="AD18" s="66"/>
      <x:c r="AE18" s="66"/>
      <x:c r="AF18" s="66"/>
      <x:c r="AG18" s="80" t="str">
        <x:f>IF(COUNT('Фин.показатели 2025'!AG18,'1 пол. 2026'!AG18,'1 пол. 2025'!AG18)=3,'Фин.показатели 2025'!AG18+'1 пол. 2026'!AG18-'1 пол. 2025'!AG18,"н.д.")</x:f>
        <x:v>н.д.</x:v>
      </x:c>
      <x:c r="AH18" s="64"/>
      <x:c r="AI18" s="80" t="str">
        <x:f>IF('1 пол. 2026'!AI18="н.п.","н.п.",IF(COUNT('Фин.показатели 2025'!AI18,'1 пол. 2026'!AI18,'1 пол. 2025'!AI18)=3,'Фин.показатели 2025'!AI18+'1 пол. 2026'!AI18-'1 пол. 2025'!AI18,"н.д."))</x:f>
        <x:v>н.п.</x:v>
      </x:c>
      <x:c r="AJ18" s="64"/>
      <x:c r="AK18" s="80" t="str">
        <x:f>IF('1 пол. 2026'!AK18="н.п.","н.п.",IF(COUNT('Фин.показатели 2025'!AK18,'1 пол. 2026'!AK18,'1 пол. 2025'!AK18)=3,'Фин.показатели 2025'!AK18+'1 пол. 2026'!AK18-'1 пол. 2025'!AK18,"н.д."))</x:f>
        <x:v>н.п.</x:v>
      </x:c>
      <x:c r="AL18" s="64"/>
      <x:c r="AM18" s="80" t="str">
        <x:f>IF(COUNT('Фин.показатели 2025'!AM18,'1 пол. 2026'!AM18,'1 пол. 2025'!AM18)=3,'Фин.показатели 2025'!AM18+'1 пол. 2026'!AM18-'1 пол. 2025'!AM18,"н.д.")</x:f>
        <x:v>н.д.</x:v>
      </x:c>
      <x:c r="AN18" s="64"/>
      <x:c r="AO18" s="64"/>
      <x:c r="AP18" s="80" t="str">
        <x:f>IF(COUNT('Фин.показатели 2025'!AP18,'1 пол. 2026'!AP18,'1 пол. 2025'!AP18)=3,'Фин.показатели 2025'!AP18+'1 пол. 2026'!AP18-'1 пол. 2025'!AP18,"н.д.")</x:f>
        <x:v>н.д.</x:v>
      </x:c>
      <x:c r="AQ18" s="64"/>
      <x:c r="AR18" s="80" t="str">
        <x:f>IF(COUNT('Фин.показатели 2025'!AR18,'1 пол. 2026'!AR18,'1 пол. 2025'!AR18)=3,'Фин.показатели 2025'!AR18+'1 пол. 2026'!AR18-'1 пол. 2025'!AR18,"н.д.")</x:f>
        <x:v>н.д.</x:v>
      </x:c>
      <x:c r="AS18" s="65"/>
      <x:c r="AT18" s="65"/>
      <x:c r="AU18" s="65"/>
      <x:c r="AV18" s="65"/>
      <x:c r="AW18" s="65"/>
      <x:c r="AX18" s="65"/>
      <x:c r="AY18" s="65"/>
      <x:c r="AZ18" s="65"/>
      <x:c r="BA18" s="65"/>
      <x:c r="BB18" s="65"/>
      <x:c r="BC18" s="67" t="str">
        <x:v>1 пол. 2026!BC18</x:v>
      </x:c>
      <x:c r="BD18" s="67" t="str">
        <x:v>1 пол. 2026!BD18</x:v>
      </x:c>
      <x:c r="BE18" s="67" t="str">
        <x:v>1 пол. 2026!BE18</x:v>
      </x:c>
      <x:c r="BF18" s="67" t="str">
        <x:v>Фин.показатели 2025!BF18; 1 пол. 2025!BF18; 1 пол. 2026!BF18</x:v>
      </x:c>
      <x:c r="BG18" s="67" t="str">
        <x:v>Фин.показатели 2025!BG18; 1 пол. 2025!BG18; 1 пол. 2026!BG18</x:v>
      </x:c>
      <x:c r="BH18" s="67" t="str">
        <x:v>Фин.показатели 2025!BH18; 1 пол. 2025!BH18; 1 пол. 2026!BH18</x:v>
      </x:c>
      <x:c r="BI18" s="67" t="str">
        <x:v>Фин.показатели 2025!BI18; 1 пол. 2025!BI18; 1 пол. 2026!BI18</x:v>
      </x:c>
      <x:c r="BJ18" s="67" t="str">
        <x:v>Фин.показатели 2025!BJ18; 1 пол. 2025!BJ18; 1 пол. 2026!BJ18</x:v>
      </x:c>
      <x:c r="BK18" s="67" t="str">
        <x:v>Фин.показатели 2025!BK18; 1 пол. 2025!BK18; 1 пол. 2026!BK18</x:v>
      </x:c>
      <x:c r="BL18" s="67" t="str">
        <x:v>Фин.показатели 2025!BL18; 1 пол. 2025!BL18; 1 пол. 2026!BL18</x:v>
      </x:c>
      <x:c r="BM18" s="67" t="str">
        <x:v>1 пол. 2026!BM18</x:v>
      </x:c>
      <x:c r="BN18" s="65"/>
      <x:c r="BO18" s="65"/>
      <x:c r="BP18" s="65"/>
      <x:c r="BQ18" s="65"/>
      <x:c r="BR18" s="67" t="str">
        <x:v>Отчет не получен; данные не заменены нулями.</x:v>
      </x:c>
      <x:c r="BS18" s="65"/>
      <x:c r="BT18" s="65"/>
      <x:c r="BU18" s="65"/>
      <x:c r="BV18" s="65"/>
      <x:c r="BW18" s="65"/>
      <x:c r="BX18" s="65"/>
      <x:c r="BY18" s="65"/>
      <x:c r="BZ18" s="65"/>
      <x:c r="CA18" s="65"/>
      <x:c r="CB18" s="65"/>
      <x:c r="CC18" s="65"/>
      <x:c r="CD18" s="65"/>
      <x:c r="CE18" s="65"/>
      <x:c r="CF18" s="65"/>
      <x:c r="CG18" s="65"/>
      <x:c r="CH18" s="65"/>
      <x:c r="CI18" s="65"/>
      <x:c r="CJ18" s="65"/>
      <x:c r="CK18" s="65"/>
      <x:c r="CL18" s="65"/>
      <x:c r="CM18" s="65"/>
      <x:c r="CN18" s="65"/>
    </x:row>
    <x:row r="19" ht="16.5">
      <x:c r="B19" s="3">
        <x:v>13</x:v>
      </x:c>
      <x:c r="C19" s="3" t="s">
        <x:v>88</x:v>
      </x:c>
      <x:c r="E19" s="64" t="n">
        <x:f>'1 пол. 2026'!E19</x:f>
        <x:v>-7988.118</x:v>
      </x:c>
      <x:c r="F19" s="64" t="n">
        <x:f>'1 пол. 2026'!F19</x:f>
        <x:v>-4755.443</x:v>
      </x:c>
      <x:c r="G19" s="64"/>
      <x:c r="H19" s="64" t="n">
        <x:f>IF(COUNT('Фин.показатели 2025'!H19,'1 пол. 2026'!H19,'1 пол. 2025'!H19)=3,'Фин.показатели 2025'!H19+'1 пол. 2026'!H19-'1 пол. 2025'!H19,"н.д.")</x:f>
        <x:v>41057.148</x:v>
      </x:c>
      <x:c r="I19" s="64" t="n">
        <x:f>IF(COUNT('Фин.показатели 2025'!I19,'1 пол. 2026'!I19,'1 пол. 2025'!I19)=3,'Фин.показатели 2025'!I19+'1 пол. 2026'!I19-'1 пол. 2025'!I19,"н.д.")</x:f>
        <x:v>20526.193</x:v>
      </x:c>
      <x:c r="J19" s="64" t="n">
        <x:f>IF(COUNT('Фин.показатели 2025'!J19,'1 пол. 2026'!J19,'1 пол. 2025'!J19)=3,'Фин.показатели 2025'!J19+'1 пол. 2026'!J19-'1 пол. 2025'!J19,"н.д.")</x:f>
        <x:v>22305.959000000003</x:v>
      </x:c>
      <x:c r="K19" s="64"/>
      <x:c r="L19" s="64" t="str">
        <x:f>IF(COUNT('Фин.показатели 2025'!L19,'1 пол. 2026'!L19,'1 пол. 2025'!L19)=3,'Фин.показатели 2025'!L19+'1 пол. 2026'!L19-'1 пол. 2025'!L19,"н.д.")</x:f>
        <x:v>н.д.</x:v>
      </x:c>
      <x:c r="M19" s="64"/>
      <x:c r="N19" s="64" t="n">
        <x:f>IF(COUNT('Фин.показатели 2025'!N19,'1 пол. 2026'!N19,'1 пол. 2025'!N19)=3,'Фин.показатели 2025'!N19+'1 пол. 2026'!N19-'1 пол. 2025'!N19,"н.д.")</x:f>
        <x:v>15724.57</x:v>
      </x:c>
      <x:c r="O19" s="64" t="n">
        <x:f>'1 пол. 2026'!O19</x:f>
        <x:v>-633.455</x:v>
      </x:c>
      <x:c r="P19" s="65"/>
      <x:c r="Q19" s="65"/>
      <x:c r="R19" s="80" t="n">
        <x:f>IF(ISNUMBER('1 пол. 2026'!R19),'1 пол. 2026'!R19,"н.д.")</x:f>
        <x:v>-7988.118</x:v>
      </x:c>
      <x:c r="S19" s="66" t="n">
        <x:f>'1 пол. 2026'!S19</x:f>
        <x:v>0</x:v>
      </x:c>
      <x:c r="T19" s="66" t="n">
        <x:f>'1 пол. 2026'!T19</x:f>
        <x:v>0</x:v>
      </x:c>
      <x:c r="U19" s="66" t="n">
        <x:f>'1 пол. 2026'!U19</x:f>
        <x:v>7788.118</x:v>
      </x:c>
      <x:c r="V19" s="66"/>
      <x:c r="W19" s="80" t="n">
        <x:f>IF(ISNUMBER('1 пол. 2026'!W19),'1 пол. 2026'!W19,"н.д.")</x:f>
        <x:v>-4755.443</x:v>
      </x:c>
      <x:c r="X19" s="64"/>
      <x:c r="Y19" s="66" t="str">
        <x:f>'1 пол. 2026'!Y19</x:f>
        <x:v>н.п.</x:v>
      </x:c>
      <x:c r="Z19" s="80" t="n">
        <x:f>IF(COUNT('Фин.показатели 2025'!Z19,'1 пол. 2026'!Z19,'1 пол. 2025'!Z19)=3,'Фин.показатели 2025'!Z19+'1 пол. 2026'!Z19-'1 пол. 2025'!Z19,"н.д.")</x:f>
        <x:v>20526.193</x:v>
      </x:c>
      <x:c r="AA19" s="80" t="str">
        <x:f>IF(COUNT('Фин.показатели 2025'!AA19,'1 пол. 2026'!AA19,'1 пол. 2025'!AA19)=3,'Фин.показатели 2025'!AA19+'1 пол. 2026'!AA19-'1 пол. 2025'!AA19,"н.д.")</x:f>
        <x:v>н.д.</x:v>
      </x:c>
      <x:c r="AB19" s="66"/>
      <x:c r="AC19" s="66"/>
      <x:c r="AD19" s="66" t="n">
        <x:f>IF(COUNT('Фин.показатели 2025'!AD19,'1 пол. 2026'!AD19,'1 пол. 2025'!AD19)=3,'Фин.показатели 2025'!AD19+'1 пол. 2026'!AD19-'1 пол. 2025'!AD19,"н.д.")</x:f>
        <x:v>1315.0529999999999</x:v>
      </x:c>
      <x:c r="AE19" s="66" t="n">
        <x:f>IF(COUNT('Фин.показатели 2025'!AE19,'1 пол. 2026'!AE19,'1 пол. 2025'!AE19)=3,'Фин.показатели 2025'!AE19+'1 пол. 2026'!AE19-'1 пол. 2025'!AE19,"н.д.")</x:f>
        <x:v>1736.7000000000003</x:v>
      </x:c>
      <x:c r="AF19" s="66" t="n">
        <x:f>IF(COUNT('Фин.показатели 2025'!AF19,'1 пол. 2026'!AF19,'1 пол. 2025'!AF19)=3,'Фин.показатели 2025'!AF19+'1 пол. 2026'!AF19-'1 пол. 2025'!AF19,"н.д.")</x:f>
        <x:v>1779.7659999999992</x:v>
      </x:c>
      <x:c r="AG19" s="80" t="n">
        <x:f>IF(COUNT('Фин.показатели 2025'!AG19,'1 пол. 2026'!AG19,'1 пол. 2025'!AG19)=3,'Фин.показатели 2025'!AG19+'1 пол. 2026'!AG19-'1 пол. 2025'!AG19,"н.д.")</x:f>
        <x:v>22305.959000000003</x:v>
      </x:c>
      <x:c r="AH19" s="64"/>
      <x:c r="AI19" s="80" t="str">
        <x:f>IF('1 пол. 2026'!AI19="н.п.","н.п.",IF(COUNT('Фин.показатели 2025'!AI19,'1 пол. 2026'!AI19,'1 пол. 2025'!AI19)=3,'Фин.показатели 2025'!AI19+'1 пол. 2026'!AI19-'1 пол. 2025'!AI19,"н.д."))</x:f>
        <x:v>н.п.</x:v>
      </x:c>
      <x:c r="AJ19" s="64"/>
      <x:c r="AK19" s="80" t="str">
        <x:f>IF('1 пол. 2026'!AK19="н.п.","н.п.",IF(COUNT('Фин.показатели 2025'!AK19,'1 пол. 2026'!AK19,'1 пол. 2025'!AK19)=3,'Фин.показатели 2025'!AK19+'1 пол. 2026'!AK19-'1 пол. 2025'!AK19,"н.д."))</x:f>
        <x:v>н.д.</x:v>
      </x:c>
      <x:c r="AL19" s="64"/>
      <x:c r="AM19" s="80" t="str">
        <x:f>IF(COUNT('Фин.показатели 2025'!AM19,'1 пол. 2026'!AM19,'1 пол. 2025'!AM19)=3,'Фин.показатели 2025'!AM19+'1 пол. 2026'!AM19-'1 пол. 2025'!AM19,"н.д.")</x:f>
        <x:v>н.д.</x:v>
      </x:c>
      <x:c r="AN19" s="64"/>
      <x:c r="AO19" s="64"/>
      <x:c r="AP19" s="80" t="str">
        <x:f>IF(COUNT('Фин.показатели 2025'!AP19,'1 пол. 2026'!AP19,'1 пол. 2025'!AP19)=3,'Фин.показатели 2025'!AP19+'1 пол. 2026'!AP19-'1 пол. 2025'!AP19,"н.д.")</x:f>
        <x:v>н.д.</x:v>
      </x:c>
      <x:c r="AQ19" s="64"/>
      <x:c r="AR19" s="80" t="str">
        <x:f>IF(COUNT('Фин.показатели 2025'!AR19,'1 пол. 2026'!AR19,'1 пол. 2025'!AR19)=3,'Фин.показатели 2025'!AR19+'1 пол. 2026'!AR19-'1 пол. 2025'!AR19,"н.д.")</x:f>
        <x:v>н.д.</x:v>
      </x:c>
      <x:c r="AS19" s="65"/>
      <x:c r="AT19" s="65"/>
      <x:c r="AU19" s="65"/>
      <x:c r="AV19" s="65"/>
      <x:c r="AW19" s="65"/>
      <x:c r="AX19" s="65"/>
      <x:c r="AY19" s="65"/>
      <x:c r="AZ19" s="65"/>
      <x:c r="BA19" s="65"/>
      <x:c r="BB19" s="65"/>
      <x:c r="BC19" s="67" t="str">
        <x:v>1 пол. 2026!BC19; ЧД −7 988,118 млн руб. — остаток на 30.06.2026</x:v>
      </x:c>
      <x:c r="BD19" s="67" t="str">
        <x:v>1 пол. 2026!BD19; ЧД с арендой −4 755,443 млн руб. — остаток на 30.06.2026</x:v>
      </x:c>
      <x:c r="BE19" s="67" t="str">
        <x:v>1 пол. 2026!BE19</x:v>
      </x:c>
      <x:c r="BF19" s="67" t="str">
        <x:v>Выручка TTM 41 057,148 = 41 203,402 + 19 641,466 − 19 787,720 млн руб.</x:v>
      </x:c>
      <x:c r="BG19" s="67" t="str">
        <x:v>Скорр. EBITDA TTM 22 305,959 = 22 761,895 + 9 812,685 − 10 268,621 млн руб.</x:v>
      </x:c>
      <x:c r="BH19" s="67" t="str">
        <x:v>Фин.показатели 2025!BH19; 1 пол. 2025!BH19; 1 пол. 2026!BH19</x:v>
      </x:c>
      <x:c r="BI19" s="67" t="str">
        <x:v>EBITDA TTM 20 526,193 = 20 348,170 + 8 971,554 − 8 793,531 млн руб.</x:v>
      </x:c>
      <x:c r="BJ19" s="67" t="str">
        <x:v>EBITDAC — н.д.: точная сумма капитализированных затрат на разработку не раскрыта.</x:v>
      </x:c>
      <x:c r="BK19" s="67" t="str">
        <x:v>Фин.показатели 2025!BK19; 1 пол. 2025!BK19; 1 пол. 2026!BK19</x:v>
      </x:c>
      <x:c r="BL19" s="67" t="str">
        <x:v>Фин.показатели 2025!BL19; 1 пол. 2025!BL19; 1 пол. 2026!BL19</x:v>
      </x:c>
      <x:c r="BM19" s="67" t="str">
        <x:v>1 пол. 2026!BM19</x:v>
      </x:c>
      <x:c r="BN19" s="65" t="n">
        <x:f>'1 пол. 2026'!BN19</x:f>
        <x:v>3232.6749999999997</x:v>
      </x:c>
      <x:c r="BO19" s="65" t="n">
        <x:f>'1 пол. 2026'!BO19</x:f>
        <x:v>10501.42</x:v>
      </x:c>
      <x:c r="BP19" s="65"/>
      <x:c r="BQ19" s="65"/>
      <x:c r="BR19" s="67" t="str">
        <x:v>ЧД и капитал — остатки на 30.06.2026; выручка, EBITDA и прибыль — 2025 + 1П2026 − 1П2025. Опубликованный ЧД и версия с арендой сохранены раздельно.</x:v>
      </x:c>
      <x:c r="BS19" s="65" t="n">
        <x:f>IF(COUNT('Фин.показатели 2025'!BS19,'1 пол. 2026'!BS19,'1 пол. 2025'!BS19)=3,'Фин.показатели 2025'!BS19+'1 пол. 2026'!BS19-'1 пол. 2025'!BS19,"н.д.")</x:f>
        <x:v>1364.338</x:v>
      </x:c>
      <x:c r="BT19" s="65"/>
      <x:c r="BU19" s="65"/>
      <x:c r="BV19" s="65"/>
      <x:c r="BW19" s="65"/>
      <x:c r="BX19" s="65"/>
      <x:c r="BY19" s="65"/>
      <x:c r="BZ19" s="65"/>
      <x:c r="CA19" s="65"/>
      <x:c r="CB19" s="65"/>
      <x:c r="CC19" s="65"/>
      <x:c r="CD19" s="65" t="n">
        <x:f>IF(COUNT('Фин.показатели 2025'!CD19,'1 пол. 2026'!CD19,'1 пол. 2025'!CD19)=3,'Фин.показатели 2025'!CD19+'1 пол. 2026'!CD19-'1 пол. 2025'!CD19,"н.д.")</x:f>
        <x:v>108.40299999999996</x:v>
      </x:c>
      <x:c r="CE19" s="65"/>
      <x:c r="CF19" s="65"/>
      <x:c r="CG19" s="65"/>
      <x:c r="CH19" s="65" t="n">
        <x:f>'1 пол. 2026'!CH19</x:f>
        <x:v>655.805</x:v>
      </x:c>
      <x:c r="CI19" s="65" t="n">
        <x:f>'1 пол. 2026'!CI19</x:f>
        <x:v>2576.87</x:v>
      </x:c>
      <x:c r="CJ19" s="65"/>
      <x:c r="CK19" s="65"/>
      <x:c r="CL19" s="65"/>
      <x:c r="CM19" s="65"/>
      <x:c r="CN19" s="65"/>
    </x:row>
    <x:row r="20" ht="16.5">
      <x:c r="B20" s="3">
        <x:v>14</x:v>
      </x:c>
      <x:c r="C20" s="3" t="s">
        <x:v>89</x:v>
      </x:c>
      <x:c r="E20" s="64" t="n">
        <x:f>'1 пол. 2026'!E20</x:f>
        <x:v>474100</x:v>
      </x:c>
      <x:c r="F20" s="64" t="n">
        <x:f>'1 пол. 2026'!F20</x:f>
        <x:v>646335</x:v>
      </x:c>
      <x:c r="G20" s="64"/>
      <x:c r="H20" s="64" t="n">
        <x:f>IF(COUNT('Фин.показатели 2025'!H20,'1 пол. 2026'!H20,'1 пол. 2025'!H20)=3,'Фин.показатели 2025'!H20+'1 пол. 2026'!H20-'1 пол. 2025'!H20,"н.д.")</x:f>
        <x:v>851009</x:v>
      </x:c>
      <x:c r="I20" s="64"/>
      <x:c r="J20" s="64"/>
      <x:c r="K20" s="64"/>
      <x:c r="L20" s="64"/>
      <x:c r="M20" s="64" t="n">
        <x:f>IF(COUNT('Фин.показатели 2025'!M20,'1 пол. 2026'!M20,'1 пол. 2025'!M20)=3,'Фин.показатели 2025'!M20+'1 пол. 2026'!M20-'1 пол. 2025'!M20,"н.д.")</x:f>
        <x:v>302964</x:v>
      </x:c>
      <x:c r="N20" s="64" t="n">
        <x:f>IF(COUNT('Фин.показатели 2025'!N20,'1 пол. 2026'!N20,'1 пол. 2025'!N20)=3,'Фин.показатели 2025'!N20+'1 пол. 2026'!N20-'1 пол. 2025'!N20,"н.д.")</x:f>
        <x:v>101555</x:v>
      </x:c>
      <x:c r="O20" s="64" t="n">
        <x:f>'1 пол. 2026'!O20</x:f>
        <x:v>4142</x:v>
      </x:c>
      <x:c r="P20" s="65"/>
      <x:c r="Q20" s="65"/>
      <x:c r="R20" s="80" t="n">
        <x:f>IF(ISNUMBER('1 пол. 2026'!R20),'1 пол. 2026'!R20,"н.д.")</x:f>
        <x:v>474100</x:v>
      </x:c>
      <x:c r="S20" s="66"/>
      <x:c r="T20" s="66"/>
      <x:c r="U20" s="66"/>
      <x:c r="V20" s="66"/>
      <x:c r="W20" s="80" t="n">
        <x:f>IF(ISNUMBER('1 пол. 2026'!W20),'1 пол. 2026'!W20,"н.д.")</x:f>
        <x:v>646335</x:v>
      </x:c>
      <x:c r="X20" s="64"/>
      <x:c r="Y20" s="66" t="str">
        <x:f>'1 пол. 2026'!Y20</x:f>
        <x:v>н.п.</x:v>
      </x:c>
      <x:c r="Z20" s="80" t="str">
        <x:f>IF(COUNT('Фин.показатели 2025'!Z20,'1 пол. 2026'!Z20,'1 пол. 2025'!Z20)=3,'Фин.показатели 2025'!Z20+'1 пол. 2026'!Z20-'1 пол. 2025'!Z20,"н.д.")</x:f>
        <x:v>н.д.</x:v>
      </x:c>
      <x:c r="AA20" s="80" t="str">
        <x:f>IF(COUNT('Фин.показатели 2025'!AA20,'1 пол. 2026'!AA20,'1 пол. 2025'!AA20)=3,'Фин.показатели 2025'!AA20+'1 пол. 2026'!AA20-'1 пол. 2025'!AA20,"н.д.")</x:f>
        <x:v>н.д.</x:v>
      </x:c>
      <x:c r="AB20" s="66"/>
      <x:c r="AC20" s="66"/>
      <x:c r="AD20" s="66"/>
      <x:c r="AE20" s="66"/>
      <x:c r="AF20" s="66"/>
      <x:c r="AG20" s="80" t="str">
        <x:f>IF(COUNT('Фин.показатели 2025'!AG20,'1 пол. 2026'!AG20,'1 пол. 2025'!AG20)=3,'Фин.показатели 2025'!AG20+'1 пол. 2026'!AG20-'1 пол. 2025'!AG20,"н.д.")</x:f>
        <x:v>н.д.</x:v>
      </x:c>
      <x:c r="AH20" s="64"/>
      <x:c r="AI20" s="80" t="str">
        <x:f>IF('1 пол. 2026'!AI20="н.п.","н.п.",IF(COUNT('Фин.показатели 2025'!AI20,'1 пол. 2026'!AI20,'1 пол. 2025'!AI20)=3,'Фин.показатели 2025'!AI20+'1 пол. 2026'!AI20-'1 пол. 2025'!AI20,"н.д."))</x:f>
        <x:v>н.п.</x:v>
      </x:c>
      <x:c r="AJ20" s="64"/>
      <x:c r="AK20" s="80" t="str">
        <x:f>IF('1 пол. 2026'!AK20="н.п.","н.п.",IF(COUNT('Фин.показатели 2025'!AK20,'1 пол. 2026'!AK20,'1 пол. 2025'!AK20)=3,'Фин.показатели 2025'!AK20+'1 пол. 2026'!AK20-'1 пол. 2025'!AK20,"н.д."))</x:f>
        <x:v>н.п.</x:v>
      </x:c>
      <x:c r="AL20" s="64"/>
      <x:c r="AM20" s="80" t="str">
        <x:f>IF(COUNT('Фин.показатели 2025'!AM20,'1 пол. 2026'!AM20,'1 пол. 2025'!AM20)=3,'Фин.показатели 2025'!AM20+'1 пол. 2026'!AM20-'1 пол. 2025'!AM20,"н.д.")</x:f>
        <x:v>н.д.</x:v>
      </x:c>
      <x:c r="AN20" s="64"/>
      <x:c r="AO20" s="64"/>
      <x:c r="AP20" s="80" t="n">
        <x:f>IF(COUNT('Фин.показатели 2025'!AP20,'1 пол. 2026'!AP20,'1 пол. 2025'!AP20)=3,'Фин.показатели 2025'!AP20+'1 пол. 2026'!AP20-'1 пол. 2025'!AP20,"н.д.")</x:f>
        <x:v>302964</x:v>
      </x:c>
      <x:c r="AQ20" s="64"/>
      <x:c r="AR20" s="80" t="str">
        <x:f>IF(COUNT('Фин.показатели 2025'!AR20,'1 пол. 2026'!AR20,'1 пол. 2025'!AR20)=3,'Фин.показатели 2025'!AR20+'1 пол. 2026'!AR20-'1 пол. 2025'!AR20,"н.д.")</x:f>
        <x:v>н.д.</x:v>
      </x:c>
      <x:c r="AS20" s="65"/>
      <x:c r="AT20" s="65"/>
      <x:c r="AU20" s="65"/>
      <x:c r="AV20" s="65"/>
      <x:c r="AW20" s="65"/>
      <x:c r="AX20" s="65"/>
      <x:c r="AY20" s="65"/>
      <x:c r="AZ20" s="65"/>
      <x:c r="BA20" s="65"/>
      <x:c r="BB20" s="65"/>
      <x:c r="BC20" s="67" t="str">
        <x:v>Остаток на 30.06.2026: 474 100 млн руб.; см. 1 пол. 2026</x:v>
      </x:c>
      <x:c r="BD20" s="67" t="str">
        <x:v>Остаток на 30.06.2026: 646 335 млн руб.; см. 1 пол. 2026</x:v>
      </x:c>
      <x:c r="BE20" s="67" t="str">
        <x:v>1 пол. 2026!BE20</x:v>
      </x:c>
      <x:c r="BF20" s="67" t="str">
        <x:v>TTM = 2025 + 1П2026 − 1П2025</x:v>
      </x:c>
      <x:c r="BG20" s="67" t="str">
        <x:v>Фин.показатели 2025!BG20; 1 пол. 2025!BG20; 1 пол. 2026!BG20</x:v>
      </x:c>
      <x:c r="BH20" s="67" t="str">
        <x:v>Фин.показатели 2025!BH20; 1 пол. 2025!BH20; 1 пол. 2026!BH20</x:v>
      </x:c>
      <x:c r="BI20" s="67" t="str">
        <x:v>Фин.показатели 2025!BI20; 1 пол. 2025!BI20; 1 пол. 2026!BI20</x:v>
      </x:c>
      <x:c r="BJ20" s="67" t="str">
        <x:v>Фин.показатели 2025!BJ20; 1 пол. 2025!BJ20; 1 пол. 2026!BJ20</x:v>
      </x:c>
      <x:c r="BK20" s="67" t="str">
        <x:v>TTM = 2025 + 1П2026 − 1П2025</x:v>
      </x:c>
      <x:c r="BL20" s="67" t="str">
        <x:v>TTM = 2025 + 1П2026 − 1П2025</x:v>
      </x:c>
      <x:c r="BM20" s="67" t="str">
        <x:v>Остаток на 30.06.2026</x:v>
      </x:c>
      <x:c r="BN20" s="65" t="n">
        <x:v>172235</x:v>
      </x:c>
      <x:c r="BO20" s="65" t="n">
        <x:f>'1 пол. 2026'!BO20</x:f>
        <x:v>30520</x:v>
      </x:c>
      <x:c r="BP20" s="65"/>
      <x:c r="BQ20" s="65" t="n">
        <x:f>'1 пол. 2026'!BQ20</x:f>
        <x:v>34662</x:v>
      </x:c>
      <x:c r="BR20" s="67" t="str">
        <x:v>OIBDA по методологии МТС. Чистый долг компании исключает обязательства по аренде; скорректированный ЧД показан отдельно с включением аренды.</x:v>
      </x:c>
      <x:c r="BS20" s="65"/>
      <x:c r="BT20" s="65"/>
      <x:c r="BU20" s="65"/>
      <x:c r="BV20" s="65"/>
      <x:c r="BW20" s="65"/>
      <x:c r="BX20" s="65"/>
      <x:c r="BY20" s="65"/>
      <x:c r="BZ20" s="65"/>
      <x:c r="CA20" s="65"/>
      <x:c r="CB20" s="65"/>
      <x:c r="CC20" s="65"/>
      <x:c r="CD20" s="65"/>
      <x:c r="CE20" s="65"/>
      <x:c r="CF20" s="65"/>
      <x:c r="CG20" s="65"/>
      <x:c r="CH20" s="65"/>
      <x:c r="CI20" s="65"/>
      <x:c r="CJ20" s="65"/>
      <x:c r="CK20" s="65"/>
      <x:c r="CL20" s="65"/>
      <x:c r="CM20" s="65"/>
      <x:c r="CN20" s="65"/>
    </x:row>
    <x:row r="21" ht="16.5">
      <x:c r="B21" s="3">
        <x:v>15</x:v>
      </x:c>
      <x:c r="C21" s="3" t="s">
        <x:v>91</x:v>
      </x:c>
      <x:c r="E21" s="80" t="n">
        <x:f>'1 пол. 2026'!E21</x:f>
        <x:v>-250290</x:v>
      </x:c>
      <x:c r="F21" s="64"/>
      <x:c r="G21" s="64"/>
      <x:c r="H21" s="64" t="n">
        <x:f>IF(COUNT('Фин.показатели 2025'!H21,'1 пол. 2026'!H21,'1 пол. 2025'!H21)=3,'Фин.показатели 2025'!H21+'1 пол. 2026'!H21-'1 пол. 2025'!H21,"н.д.")</x:f>
        <x:v>1895925</x:v>
      </x:c>
      <x:c r="I21" s="64"/>
      <x:c r="J21" s="64" t="n">
        <x:f>IF(COUNT('Фин.показатели 2025'!J21,'1 пол. 2026'!J21,'1 пол. 2025'!J21)=3,'Фин.показатели 2025'!J21+'1 пол. 2026'!J21-'1 пол. 2025'!J21,"н.д.")</x:f>
        <x:v>177554</x:v>
      </x:c>
      <x:c r="K21" s="64"/>
      <x:c r="L21" s="64"/>
      <x:c r="M21" s="64"/>
      <x:c r="N21" s="64" t="n">
        <x:f>IF(COUNT('Фин.показатели 2025'!N21,'1 пол. 2026'!N21,'1 пол. 2025'!N21)=3,'Фин.показатели 2025'!N21+'1 пол. 2026'!N21-'1 пол. 2025'!N21,"н.д.")</x:f>
        <x:v>115875</x:v>
      </x:c>
      <x:c r="O21" s="64" t="n">
        <x:f>'1 пол. 2026'!O21</x:f>
        <x:v>1166537</x:v>
      </x:c>
      <x:c r="P21" s="65"/>
      <x:c r="Q21" s="65"/>
      <x:c r="R21" s="80" t="n">
        <x:f>IF(ISNUMBER('1 пол. 2026'!R21),'1 пол. 2026'!R21,"н.д.")</x:f>
        <x:v>-250290</x:v>
      </x:c>
      <x:c r="S21" s="66"/>
      <x:c r="T21" s="66"/>
      <x:c r="U21" s="66"/>
      <x:c r="V21" s="66"/>
      <x:c r="W21" s="80" t="str">
        <x:f>IF(ISNUMBER('1 пол. 2026'!W21),'1 пол. 2026'!W21,"н.д.")</x:f>
        <x:v>н.д.</x:v>
      </x:c>
      <x:c r="X21" s="64"/>
      <x:c r="Y21" s="66" t="str">
        <x:f>'1 пол. 2026'!Y21</x:f>
        <x:v>н.п.</x:v>
      </x:c>
      <x:c r="Z21" s="80" t="str">
        <x:f>IF(COUNT('Фин.показатели 2025'!Z21,'1 пол. 2026'!Z21,'1 пол. 2025'!Z21)=3,'Фин.показатели 2025'!Z21+'1 пол. 2026'!Z21-'1 пол. 2025'!Z21,"н.д.")</x:f>
        <x:v>н.д.</x:v>
      </x:c>
      <x:c r="AA21" s="80" t="str">
        <x:f>IF(COUNT('Фин.показатели 2025'!AA21,'1 пол. 2026'!AA21,'1 пол. 2025'!AA21)=3,'Фин.показатели 2025'!AA21+'1 пол. 2026'!AA21-'1 пол. 2025'!AA21,"н.д.")</x:f>
        <x:v>н.д.</x:v>
      </x:c>
      <x:c r="AB21" s="66"/>
      <x:c r="AC21" s="66"/>
      <x:c r="AD21" s="66"/>
      <x:c r="AE21" s="66"/>
      <x:c r="AF21" s="66" t="n">
        <x:f>IF(COUNT('Фин.показатели 2025'!AF21,'1 пол. 2026'!AF21,'1 пол. 2025'!AF21)=3,'Фин.показатели 2025'!AF21+'1 пол. 2026'!AF21-'1 пол. 2025'!AF21,"н.д.")</x:f>
        <x:v>29895</x:v>
      </x:c>
      <x:c r="AG21" s="80" t="n">
        <x:f>IF(COUNT('Фин.показатели 2025'!AG21,'1 пол. 2026'!AG21,'1 пол. 2025'!AG21)=3,'Фин.показатели 2025'!AG21+'1 пол. 2026'!AG21-'1 пол. 2025'!AG21,"н.д.")</x:f>
        <x:v>177554</x:v>
      </x:c>
      <x:c r="AH21" s="64"/>
      <x:c r="AI21" s="80" t="str">
        <x:f>IF('1 пол. 2026'!AI21="н.п.","н.п.",IF(COUNT('Фин.показатели 2025'!AI21,'1 пол. 2026'!AI21,'1 пол. 2025'!AI21)=3,'Фин.показатели 2025'!AI21+'1 пол. 2026'!AI21-'1 пол. 2025'!AI21,"н.д."))</x:f>
        <x:v>н.п.</x:v>
      </x:c>
      <x:c r="AJ21" s="64"/>
      <x:c r="AK21" s="80" t="str">
        <x:f>IF('1 пол. 2026'!AK21="н.п.","н.п.",IF(COUNT('Фин.показатели 2025'!AK21,'1 пол. 2026'!AK21,'1 пол. 2025'!AK21)=3,'Фин.показатели 2025'!AK21+'1 пол. 2026'!AK21-'1 пол. 2025'!AK21,"н.д."))</x:f>
        <x:v>н.п.</x:v>
      </x:c>
      <x:c r="AL21" s="64"/>
      <x:c r="AM21" s="80" t="str">
        <x:f>IF(COUNT('Фин.показатели 2025'!AM21,'1 пол. 2026'!AM21,'1 пол. 2025'!AM21)=3,'Фин.показатели 2025'!AM21+'1 пол. 2026'!AM21-'1 пол. 2025'!AM21,"н.д.")</x:f>
        <x:v>н.д.</x:v>
      </x:c>
      <x:c r="AN21" s="64"/>
      <x:c r="AO21" s="64"/>
      <x:c r="AP21" s="80" t="str">
        <x:f>IF(COUNT('Фин.показатели 2025'!AP21,'1 пол. 2026'!AP21,'1 пол. 2025'!AP21)=3,'Фин.показатели 2025'!AP21+'1 пол. 2026'!AP21-'1 пол. 2025'!AP21,"н.д.")</x:f>
        <x:v>н.д.</x:v>
      </x:c>
      <x:c r="AQ21" s="64"/>
      <x:c r="AR21" s="80" t="str">
        <x:f>IF(COUNT('Фин.показатели 2025'!AR21,'1 пол. 2026'!AR21,'1 пол. 2025'!AR21)=3,'Фин.показатели 2025'!AR21+'1 пол. 2026'!AR21-'1 пол. 2025'!AR21,"н.д.")</x:f>
        <x:v>н.д.</x:v>
      </x:c>
      <x:c r="AS21" s="65"/>
      <x:c r="AT21" s="65"/>
      <x:c r="AU21" s="65"/>
      <x:c r="AV21" s="65"/>
      <x:c r="AW21" s="65"/>
      <x:c r="AX21" s="65"/>
      <x:c r="AY21" s="65"/>
      <x:c r="AZ21" s="65"/>
      <x:c r="BA21" s="65"/>
      <x:c r="BB21" s="65"/>
      <x:c r="BC21" s="67" t="str">
        <x:v>ЧД −250 290 — остаток на 30.06.2026, не поток</x:v>
      </x:c>
      <x:c r="BD21" s="67" t="str">
        <x:v>1 пол. 2026!BD21</x:v>
      </x:c>
      <x:c r="BE21" s="67" t="str">
        <x:v>1 пол. 2026!BE21</x:v>
      </x:c>
      <x:c r="BF21" s="67" t="str">
        <x:v>TTM = 2025 + 1П2026 − 1П2025 для потоков; капитал и ЧД — остатки на 30.06.2026</x:v>
      </x:c>
      <x:c r="BG21" s="67" t="str">
        <x:v>Скорректированная EBITDA TTM 177 554 = 181 544 + 89 260 − 93 250</x:v>
      </x:c>
      <x:c r="BH21" s="67" t="str">
        <x:v>Фин.показатели 2025!BH21; 1 пол. 2025!BH21; 1 пол. 2026!BH21</x:v>
      </x:c>
      <x:c r="BI21" s="67" t="str">
        <x:v>Фин.показатели 2025!BI21; 1 пол. 2025!BI21; 1 пол. 2026!BI21</x:v>
      </x:c>
      <x:c r="BJ21" s="67" t="str">
        <x:v>Фин.показатели 2025!BJ21; 1 пол. 2025!BJ21; 1 пол. 2026!BJ21</x:v>
      </x:c>
      <x:c r="BK21" s="67" t="str">
        <x:v>Фин.показатели 2025!BK21; 1 пол. 2025!BK21; 1 пол. 2026!BK21</x:v>
      </x:c>
      <x:c r="BL21" s="67" t="str">
        <x:v>Прибыль акционеров TTM 115 875 = 131 029 + 66 562 − 81 716</x:v>
      </x:c>
      <x:c r="BM21" s="67" t="str">
        <x:v>Капитал акционеров 1 166 537; НКД 17 485; общий капитал 1 184 022 — остатки на 30.06.2026</x:v>
      </x:c>
      <x:c r="BN21" s="65"/>
      <x:c r="BO21" s="65" t="n">
        <x:f>'1 пол. 2026'!BO21</x:f>
        <x:v>17485</x:v>
      </x:c>
      <x:c r="BP21" s="65"/>
      <x:c r="BQ21" s="83" t="n">
        <x:f>'1 пол. 2026'!BQ21</x:f>
        <x:v>1184022</x:v>
      </x:c>
      <x:c r="BR21" s="67" t="str">
        <x:v>Выручка TTM 1 895 925; скорректированная EBITDA TTM 177 554</x:v>
      </x:c>
      <x:c r="BS21" s="65"/>
      <x:c r="BT21" s="65"/>
      <x:c r="BU21" s="65"/>
      <x:c r="BV21" s="65"/>
      <x:c r="BW21" s="65"/>
      <x:c r="BX21" s="65"/>
      <x:c r="BY21" s="65"/>
      <x:c r="BZ21" s="65"/>
      <x:c r="CA21" s="65"/>
      <x:c r="CB21" s="65" t="n">
        <x:f>IF(COUNT('Фин.показатели 2025'!CB21,'1 пол. 2026'!CB21,'1 пол. 2025'!CB21)=3,'Фин.показатели 2025'!CB21+'1 пол. 2026'!CB21-'1 пол. 2025'!CB21,"н.д.")</x:f>
        <x:v>25831</x:v>
      </x:c>
      <x:c r="CC21" s="65"/>
      <x:c r="CD21" s="65" t="n">
        <x:f>IF(COUNT('Фин.показатели 2025'!CD21,'1 пол. 2026'!CD21,'1 пол. 2025'!CD21)=3,'Фин.показатели 2025'!CD21+'1 пол. 2026'!CD21-'1 пол. 2025'!CD21,"н.д.")</x:f>
        <x:v>239</x:v>
      </x:c>
      <x:c r="CE21" s="65"/>
      <x:c r="CF21" s="65"/>
      <x:c r="CG21" s="65"/>
      <x:c r="CH21" s="65"/>
      <x:c r="CI21" s="65"/>
      <x:c r="CJ21" s="65"/>
      <x:c r="CK21" s="65"/>
      <x:c r="CL21" s="65"/>
      <x:c r="CM21" s="65"/>
      <x:c r="CN21" s="65"/>
    </x:row>
    <x:row r="22" ht="16.5">
      <x:c r="B22" s="3">
        <x:v>16</x:v>
      </x:c>
      <x:c r="C22" s="3" t="s">
        <x:v>93</x:v>
      </x:c>
      <x:c r="E22" s="64" t="n">
        <x:f>'1 пол. 2026'!E22</x:f>
        <x:v>88442</x:v>
      </x:c>
      <x:c r="F22" s="64"/>
      <x:c r="G22" s="64"/>
      <x:c r="H22" s="64" t="n">
        <x:f>IF(COUNT('Фин.показатели 2025'!H22,'1 пол. 2026'!H22,'1 пол. 2025'!H22)=3,'Фин.показатели 2025'!H22+'1 пол. 2026'!H22-'1 пол. 2025'!H22,"н.д.")</x:f>
        <x:v>663561</x:v>
      </x:c>
      <x:c r="I22" s="82" t="str">
        <x:v>н.д.</x:v>
      </x:c>
      <x:c r="J22" s="64" t="n">
        <x:f>IF(COUNT('Фин.показатели 2025'!J22,'1 пол. 2026'!J22,'1 пол. 2025'!J22)=3,'Фин.показатели 2025'!J22+'1 пол. 2026'!J22-'1 пол. 2025'!J22,"н.д.")</x:f>
        <x:v>101298</x:v>
      </x:c>
      <x:c r="K22" s="64"/>
      <x:c r="L22" s="64"/>
      <x:c r="M22" s="64"/>
      <x:c r="N22" s="64" t="n">
        <x:f>IF(COUNT('Фин.показатели 2025'!N22,'1 пол. 2026'!N22,'1 пол. 2025'!N22)=3,'Фин.показатели 2025'!N22+'1 пол. 2026'!N22-'1 пол. 2025'!N22,"н.д.")</x:f>
        <x:v>-646</x:v>
      </x:c>
      <x:c r="O22" s="64" t="n">
        <x:f>'1 пол. 2026'!O22</x:f>
        <x:v>531436</x:v>
      </x:c>
      <x:c r="P22" s="65"/>
      <x:c r="Q22" s="65"/>
      <x:c r="R22" s="80" t="n">
        <x:f>IF(ISNUMBER('1 пол. 2026'!R22),'1 пол. 2026'!R22,"н.д.")</x:f>
        <x:v>88442</x:v>
      </x:c>
      <x:c r="S22" s="66"/>
      <x:c r="T22" s="66"/>
      <x:c r="U22" s="66"/>
      <x:c r="V22" s="66"/>
      <x:c r="W22" s="80" t="str">
        <x:f>IF(ISNUMBER('1 пол. 2026'!W22),'1 пол. 2026'!W22,"н.д.")</x:f>
        <x:v>н.д.</x:v>
      </x:c>
      <x:c r="X22" s="64"/>
      <x:c r="Y22" s="66" t="str">
        <x:f>'1 пол. 2026'!Y22</x:f>
        <x:v>н.п.</x:v>
      </x:c>
      <x:c r="Z22" s="80" t="str">
        <x:f>IF(COUNT('Фин.показатели 2025'!Z22,'1 пол. 2026'!Z22,'1 пол. 2025'!Z22)=3,'Фин.показатели 2025'!Z22+'1 пол. 2026'!Z22-'1 пол. 2025'!Z22,"н.д.")</x:f>
        <x:v>н.д.</x:v>
      </x:c>
      <x:c r="AA22" s="80" t="str">
        <x:f>IF(COUNT('Фин.показатели 2025'!AA22,'1 пол. 2026'!AA22,'1 пол. 2025'!AA22)=3,'Фин.показатели 2025'!AA22+'1 пол. 2026'!AA22-'1 пол. 2025'!AA22,"н.д.")</x:f>
        <x:v>н.д.</x:v>
      </x:c>
      <x:c r="AB22" s="66"/>
      <x:c r="AC22" s="66"/>
      <x:c r="AD22" s="66"/>
      <x:c r="AE22" s="66"/>
      <x:c r="AF22" s="66" t="str">
        <x:f>IF(COUNT('Фин.показатели 2025'!AF22,'1 пол. 2026'!AF22,'1 пол. 2025'!AF22)=3,'Фин.показатели 2025'!AF22+'1 пол. 2026'!AF22-'1 пол. 2025'!AF22,"н.д.")</x:f>
        <x:v>н.д.</x:v>
      </x:c>
      <x:c r="AG22" s="80" t="n">
        <x:f>IF(COUNT('Фин.показатели 2025'!AG22,'1 пол. 2026'!AG22,'1 пол. 2025'!AG22)=3,'Фин.показатели 2025'!AG22+'1 пол. 2026'!AG22-'1 пол. 2025'!AG22,"н.д.")</x:f>
        <x:v>101298</x:v>
      </x:c>
      <x:c r="AH22" s="64"/>
      <x:c r="AI22" s="80" t="str">
        <x:f>IF('1 пол. 2026'!AI22="н.п.","н.п.",IF(COUNT('Фин.показатели 2025'!AI22,'1 пол. 2026'!AI22,'1 пол. 2025'!AI22)=3,'Фин.показатели 2025'!AI22+'1 пол. 2026'!AI22-'1 пол. 2025'!AI22,"н.д."))</x:f>
        <x:v>н.п.</x:v>
      </x:c>
      <x:c r="AJ22" s="64"/>
      <x:c r="AK22" s="80" t="str">
        <x:f>IF('1 пол. 2026'!AK22="н.п.","н.п.",IF(COUNT('Фин.показатели 2025'!AK22,'1 пол. 2026'!AK22,'1 пол. 2025'!AK22)=3,'Фин.показатели 2025'!AK22+'1 пол. 2026'!AK22-'1 пол. 2025'!AK22,"н.д."))</x:f>
        <x:v>н.п.</x:v>
      </x:c>
      <x:c r="AL22" s="64"/>
      <x:c r="AM22" s="80" t="str">
        <x:f>IF(COUNT('Фин.показатели 2025'!AM22,'1 пол. 2026'!AM22,'1 пол. 2025'!AM22)=3,'Фин.показатели 2025'!AM22+'1 пол. 2026'!AM22-'1 пол. 2025'!AM22,"н.д.")</x:f>
        <x:v>н.д.</x:v>
      </x:c>
      <x:c r="AN22" s="64"/>
      <x:c r="AO22" s="64"/>
      <x:c r="AP22" s="80" t="str">
        <x:f>IF(COUNT('Фин.показатели 2025'!AP22,'1 пол. 2026'!AP22,'1 пол. 2025'!AP22)=3,'Фин.показатели 2025'!AP22+'1 пол. 2026'!AP22-'1 пол. 2025'!AP22,"н.д.")</x:f>
        <x:v>н.д.</x:v>
      </x:c>
      <x:c r="AQ22" s="64"/>
      <x:c r="AR22" s="80" t="str">
        <x:f>IF(COUNT('Фин.показатели 2025'!AR22,'1 пол. 2026'!AR22,'1 пол. 2025'!AR22)=3,'Фин.показатели 2025'!AR22+'1 пол. 2026'!AR22-'1 пол. 2025'!AR22,"н.д.")</x:f>
        <x:v>н.д.</x:v>
      </x:c>
      <x:c r="AS22" s="65"/>
      <x:c r="AT22" s="65"/>
      <x:c r="AU22" s="65"/>
      <x:c r="AV22" s="65"/>
      <x:c r="AW22" s="65"/>
      <x:c r="AX22" s="65"/>
      <x:c r="AY22" s="65"/>
      <x:c r="AZ22" s="65"/>
      <x:c r="BA22" s="65"/>
      <x:c r="BB22" s="65"/>
      <x:c r="BC22" s="67" t="str">
        <x:v>ЧД 88 442 — остаток на 30.06.2026, не поток</x:v>
      </x:c>
      <x:c r="BD22" s="67" t="str">
        <x:v>1 пол. 2026!BD22</x:v>
      </x:c>
      <x:c r="BE22" s="67" t="str">
        <x:v>1 пол. 2026!BE22</x:v>
      </x:c>
      <x:c r="BF22" s="67" t="str">
        <x:v>TTM = 2025 + 1П2026 − 1П2025 для потоков; капитал и ЧД — остатки на 30.06.2026</x:v>
      </x:c>
      <x:c r="BG22" s="67" t="str">
        <x:v>Скорректированная EBITDA TTM 101 298 = 137 612 + 42 340 − 78 654</x:v>
      </x:c>
      <x:c r="BH22" s="67" t="str">
        <x:v>Фин.показатели 2025!BH22; 1 пол. 2025!BH22; 1 пол. 2026!BH22</x:v>
      </x:c>
      <x:c r="BI22" s="67" t="str">
        <x:v>Фин.показатели 2025!BI22; 1 пол. 2025!BI22; 1 пол. 2026!BI22</x:v>
      </x:c>
      <x:c r="BJ22" s="67" t="str">
        <x:v>Фин.показатели 2025!BJ22; 1 пол. 2025!BJ22; 1 пол. 2026!BJ22</x:v>
      </x:c>
      <x:c r="BK22" s="67" t="str">
        <x:v>Фин.показатели 2025!BK22; 1 пол. 2025!BK22; 1 пол. 2026!BK22</x:v>
      </x:c>
      <x:c r="BL22" s="67" t="str">
        <x:v>Прибыль акционеров TTM −646 = 31 988 + 4 123 − 36 757</x:v>
      </x:c>
      <x:c r="BM22" s="67" t="str">
        <x:v>Капитал акционеров 531 436; НКД 1 163; общий капитал 532 599 — остатки на 30.06.2026</x:v>
      </x:c>
      <x:c r="BN22" s="65"/>
      <x:c r="BO22" s="65" t="n">
        <x:f>'1 пол. 2026'!BO22</x:f>
        <x:v>1163</x:v>
      </x:c>
      <x:c r="BP22" s="65"/>
      <x:c r="BQ22" s="83" t="n">
        <x:f>'1 пол. 2026'!BQ22</x:f>
        <x:v>532599</x:v>
      </x:c>
      <x:c r="BR22" s="67" t="str">
        <x:v>Выручка TTM 663 561; обычная EBITDA отдельно не раскрыта</x:v>
      </x:c>
      <x:c r="BS22" s="65"/>
      <x:c r="BT22" s="65"/>
      <x:c r="BU22" s="65"/>
      <x:c r="BV22" s="65"/>
      <x:c r="BW22" s="65"/>
      <x:c r="BX22" s="65"/>
      <x:c r="BY22" s="65"/>
      <x:c r="BZ22" s="65"/>
      <x:c r="CA22" s="65"/>
      <x:c r="CB22" s="65"/>
      <x:c r="CC22" s="65"/>
      <x:c r="CD22" s="65"/>
      <x:c r="CE22" s="65"/>
      <x:c r="CF22" s="65"/>
      <x:c r="CG22" s="65"/>
      <x:c r="CH22" s="65"/>
      <x:c r="CI22" s="65"/>
      <x:c r="CJ22" s="65"/>
      <x:c r="CK22" s="65"/>
      <x:c r="CL22" s="65"/>
      <x:c r="CM22" s="65"/>
      <x:c r="CN22" s="65"/>
    </x:row>
    <x:row r="23" ht="16.5">
      <x:c r="B23" s="3">
        <x:v>17</x:v>
      </x:c>
      <x:c r="C23" s="3" t="s">
        <x:v>94</x:v>
      </x:c>
      <x:c r="E23" s="80" t="n">
        <x:f>'1 пол. 2026'!E23</x:f>
        <x:v>692087.4639000001</x:v>
      </x:c>
      <x:c r="F23" s="64"/>
      <x:c r="G23" s="64"/>
      <x:c r="H23" s="64" t="n">
        <x:f>IF(COUNT('Фин.показатели 2025'!H23,'1 пол. 2026'!H23,'1 пол. 2025'!H23)=3,'Фин.показатели 2025'!H23+'1 пол. 2026'!H23-'1 пол. 2025'!H23,"н.д.")</x:f>
        <x:v>1221034.5033320216</x:v>
      </x:c>
      <x:c r="I23" s="82" t="str">
        <x:v>н.д.</x:v>
      </x:c>
      <x:c r="J23" s="64" t="n">
        <x:f>IF(COUNT('Фин.показатели 2025'!J23,'1 пол. 2026'!J23,'1 пол. 2025'!J23)=3,'Фин.показатели 2025'!J23+'1 пол. 2026'!J23-'1 пол. 2025'!J23,"н.д.")</x:f>
        <x:v>116911.5553236203</x:v>
      </x:c>
      <x:c r="K23" s="64"/>
      <x:c r="L23" s="64"/>
      <x:c r="M23" s="64"/>
      <x:c r="N23" s="64" t="n">
        <x:f>IF(COUNT('Фин.показатели 2025'!N23,'1 пол. 2026'!N23,'1 пол. 2025'!N23)=3,'Фин.показатели 2025'!N23+'1 пол. 2026'!N23-'1 пол. 2025'!N23,"н.д.")</x:f>
        <x:v>1532.6681725571398</x:v>
      </x:c>
      <x:c r="O23" s="64" t="n">
        <x:f>'1 пол. 2026'!O23</x:f>
        <x:v>945020.9006</x:v>
      </x:c>
      <x:c r="P23" s="65"/>
      <x:c r="Q23" s="65"/>
      <x:c r="R23" s="80" t="n">
        <x:f>IF(ISNUMBER('1 пол. 2026'!R23),'1 пол. 2026'!R23,"н.д.")</x:f>
        <x:v>692087.4639000001</x:v>
      </x:c>
      <x:c r="S23" s="66"/>
      <x:c r="T23" s="66"/>
      <x:c r="U23" s="66"/>
      <x:c r="V23" s="66"/>
      <x:c r="W23" s="80" t="str">
        <x:f>IF(ISNUMBER('1 пол. 2026'!W23),'1 пол. 2026'!W23,"н.д.")</x:f>
        <x:v>н.д.</x:v>
      </x:c>
      <x:c r="X23" s="64"/>
      <x:c r="Y23" s="66" t="str">
        <x:f>'1 пол. 2026'!Y23</x:f>
        <x:v>н.п.</x:v>
      </x:c>
      <x:c r="Z23" s="80" t="str">
        <x:f>IF(COUNT('Фин.показатели 2025'!Z23,'1 пол. 2026'!Z23,'1 пол. 2025'!Z23)=3,'Фин.показатели 2025'!Z23+'1 пол. 2026'!Z23-'1 пол. 2025'!Z23,"н.д.")</x:f>
        <x:v>н.д.</x:v>
      </x:c>
      <x:c r="AA23" s="80" t="str">
        <x:f>IF(COUNT('Фин.показатели 2025'!AA23,'1 пол. 2026'!AA23,'1 пол. 2025'!AA23)=3,'Фин.показатели 2025'!AA23+'1 пол. 2026'!AA23-'1 пол. 2025'!AA23,"н.д.")</x:f>
        <x:v>н.д.</x:v>
      </x:c>
      <x:c r="AB23" s="66"/>
      <x:c r="AC23" s="66"/>
      <x:c r="AD23" s="66"/>
      <x:c r="AE23" s="66"/>
      <x:c r="AF23" s="66"/>
      <x:c r="AG23" s="80" t="n">
        <x:f>IF(COUNT('Фин.показатели 2025'!AG23,'1 пол. 2026'!AG23,'1 пол. 2025'!AG23)=3,'Фин.показатели 2025'!AG23+'1 пол. 2026'!AG23-'1 пол. 2025'!AG23,"н.д.")</x:f>
        <x:v>116911.55532362065</x:v>
      </x:c>
      <x:c r="AH23" s="64"/>
      <x:c r="AI23" s="80" t="str">
        <x:f>IF('1 пол. 2026'!AI23="н.п.","н.п.",IF(COUNT('Фин.показатели 2025'!AI23,'1 пол. 2026'!AI23,'1 пол. 2025'!AI23)=3,'Фин.показатели 2025'!AI23+'1 пол. 2026'!AI23-'1 пол. 2025'!AI23,"н.д."))</x:f>
        <x:v>н.п.</x:v>
      </x:c>
      <x:c r="AJ23" s="64"/>
      <x:c r="AK23" s="80" t="str">
        <x:f>IF('1 пол. 2026'!AK23="н.п.","н.п.",IF(COUNT('Фин.показатели 2025'!AK23,'1 пол. 2026'!AK23,'1 пол. 2025'!AK23)=3,'Фин.показатели 2025'!AK23+'1 пол. 2026'!AK23-'1 пол. 2025'!AK23,"н.д."))</x:f>
        <x:v>н.п.</x:v>
      </x:c>
      <x:c r="AL23" s="64"/>
      <x:c r="AM23" s="80" t="str">
        <x:f>IF(COUNT('Фин.показатели 2025'!AM23,'1 пол. 2026'!AM23,'1 пол. 2025'!AM23)=3,'Фин.показатели 2025'!AM23+'1 пол. 2026'!AM23-'1 пол. 2025'!AM23,"н.д.")</x:f>
        <x:v>н.д.</x:v>
      </x:c>
      <x:c r="AN23" s="64"/>
      <x:c r="AO23" s="64"/>
      <x:c r="AP23" s="80" t="str">
        <x:f>IF(COUNT('Фин.показатели 2025'!AP23,'1 пол. 2026'!AP23,'1 пол. 2025'!AP23)=3,'Фин.показатели 2025'!AP23+'1 пол. 2026'!AP23-'1 пол. 2025'!AP23,"н.д.")</x:f>
        <x:v>н.д.</x:v>
      </x:c>
      <x:c r="AQ23" s="64"/>
      <x:c r="AR23" s="80" t="str">
        <x:f>IF(COUNT('Фин.показатели 2025'!AR23,'1 пол. 2026'!AR23,'1 пол. 2025'!AR23)=3,'Фин.показатели 2025'!AR23+'1 пол. 2026'!AR23-'1 пол. 2025'!AR23,"н.д.")</x:f>
        <x:v>н.д.</x:v>
      </x:c>
      <x:c r="AS23" s="65"/>
      <x:c r="AT23" s="65"/>
      <x:c r="AU23" s="65"/>
      <x:c r="AV23" s="65"/>
      <x:c r="AW23" s="65"/>
      <x:c r="AX23" s="65"/>
      <x:c r="AY23" s="65"/>
      <x:c r="AZ23" s="65"/>
      <x:c r="BA23" s="65"/>
      <x:c r="BB23" s="65"/>
      <x:c r="BC23" s="67" t="str">
        <x:v>ЧД 8 901 млн долл. / 692 087,464 млн руб. — остаток на 30.06.2026, не поток</x:v>
      </x:c>
      <x:c r="BD23" s="67" t="str">
        <x:v>1 пол. 2026!BD23</x:v>
      </x:c>
      <x:c r="BE23" s="67" t="str">
        <x:v>1 пол. 2026!BE23</x:v>
      </x:c>
      <x:c r="BF23" s="67" t="str">
        <x:v>TTM-потоки = 2025 + 1П2026 − 1П2025; ЧД и капитал — остатки на 30.06.2026</x:v>
      </x:c>
      <x:c r="BG23" s="67" t="str">
        <x:v>Скорректированная EBITDA TTM 116 911,555 млн руб.; обычная EBITDA отдельно не раскрыта</x:v>
      </x:c>
      <x:c r="BH23" s="67" t="str">
        <x:v>Фин.показатели 2025!BH23; 1 пол. 2025!BH23; 1 пол. 2026!BH23</x:v>
      </x:c>
      <x:c r="BI23" s="67" t="str">
        <x:v>Фин.показатели 2025!BI23; 1 пол. 2025!BI23; 1 пол. 2026!BI23</x:v>
      </x:c>
      <x:c r="BJ23" s="67" t="str">
        <x:v>Фин.показатели 2025!BJ23; 1 пол. 2025!BJ23; 1 пол. 2026!BJ23</x:v>
      </x:c>
      <x:c r="BK23" s="67" t="str">
        <x:v>Фин.показатели 2025!BK23; 1 пол. 2025!BK23; 1 пол. 2026!BK23</x:v>
      </x:c>
      <x:c r="BL23" s="67" t="str">
        <x:v>Прибыль акционеров TTM 1 532,668 млн руб.</x:v>
      </x:c>
      <x:c r="BM23" s="67" t="str">
        <x:v>Капитал акционеров и общий капитал 945 020,901 млн руб.; НКД 0</x:v>
      </x:c>
      <x:c r="BN23" s="65"/>
      <x:c r="BO23" s="65" t="n">
        <x:f>'1 пол. 2026'!BO23</x:f>
        <x:v>0</x:v>
      </x:c>
      <x:c r="BP23" s="65"/>
      <x:c r="BQ23" s="83" t="n">
        <x:f>'1 пол. 2026'!BQ23</x:f>
        <x:v>945020.9006</x:v>
      </x:c>
      <x:c r="BR23" s="67" t="str">
        <x:v>Потоки пересчитаны по средним курсам соответствующих периодов; остатки — по курсу на 30.06.2026.</x:v>
      </x:c>
      <x:c r="BS23" s="65"/>
      <x:c r="BT23" s="65"/>
      <x:c r="BU23" s="65"/>
      <x:c r="BV23" s="65"/>
      <x:c r="BW23" s="65"/>
      <x:c r="BX23" s="65"/>
      <x:c r="BY23" s="65"/>
      <x:c r="BZ23" s="65"/>
      <x:c r="CA23" s="65"/>
      <x:c r="CB23" s="65"/>
      <x:c r="CC23" s="65"/>
      <x:c r="CD23" s="65"/>
      <x:c r="CE23" s="65"/>
      <x:c r="CF23" s="65"/>
      <x:c r="CG23" s="65"/>
      <x:c r="CH23" s="65"/>
      <x:c r="CI23" s="65"/>
      <x:c r="CJ23" s="65"/>
      <x:c r="CK23" s="65"/>
      <x:c r="CL23" s="65"/>
      <x:c r="CM23" s="65"/>
      <x:c r="CN23" s="65"/>
    </x:row>
    <x:row r="24" ht="16.5">
      <x:c r="B24" s="3">
        <x:v>18</x:v>
      </x:c>
      <x:c r="C24" s="3" t="s">
        <x:v>95</x:v>
      </x:c>
      <x:c r="E24" s="80" t="n">
        <x:f>'1 пол. 2026'!E24</x:f>
        <x:v>-40665</x:v>
      </x:c>
      <x:c r="F24" s="64"/>
      <x:c r="G24" s="64"/>
      <x:c r="H24" s="64" t="n">
        <x:f>IF(COUNT('Фин.показатели 2025'!H24,'1 пол. 2026'!H24,'1 пол. 2025'!H24)=3,'Фин.показатели 2025'!H24+'1 пол. 2026'!H24-'1 пол. 2025'!H24,"н.д.")</x:f>
        <x:v>780388</x:v>
      </x:c>
      <x:c r="I24" s="82" t="str">
        <x:v>н.д.</x:v>
      </x:c>
      <x:c r="J24" s="80" t="n">
        <x:f>IF(COUNT('Фин.показатели 2025'!J24,'1 пол. 2026'!J24,'1 пол. 2025'!J24)=3,'Фин.показатели 2025'!J24+'1 пол. 2026'!J24-'1 пол. 2025'!J24,"н.д.")</x:f>
        <x:v>113513</x:v>
      </x:c>
      <x:c r="K24" s="64"/>
      <x:c r="L24" s="64"/>
      <x:c r="M24" s="64"/>
      <x:c r="N24" s="64" t="n">
        <x:f>IF(COUNT('Фин.показатели 2025'!N24,'1 пол. 2026'!N24,'1 пол. 2025'!N24)=3,'Фин.показатели 2025'!N24+'1 пол. 2026'!N24-'1 пол. 2025'!N24,"н.д.")</x:f>
        <x:v>38709</x:v>
      </x:c>
      <x:c r="O24" s="64" t="n">
        <x:f>'1 пол. 2026'!O24</x:f>
        <x:v>905650</x:v>
      </x:c>
      <x:c r="P24" s="65"/>
      <x:c r="Q24" s="65"/>
      <x:c r="R24" s="80" t="n">
        <x:f>IF(ISNUMBER('1 пол. 2026'!R24),'1 пол. 2026'!R24,"н.д.")</x:f>
        <x:v>-40665</x:v>
      </x:c>
      <x:c r="S24" s="66"/>
      <x:c r="T24" s="66"/>
      <x:c r="U24" s="66"/>
      <x:c r="V24" s="66"/>
      <x:c r="W24" s="80" t="str">
        <x:f>IF(ISNUMBER('1 пол. 2026'!W24),'1 пол. 2026'!W24,"н.д.")</x:f>
        <x:v>н.д.</x:v>
      </x:c>
      <x:c r="X24" s="64"/>
      <x:c r="Y24" s="66" t="str">
        <x:f>'1 пол. 2026'!Y24</x:f>
        <x:v>н.п.</x:v>
      </x:c>
      <x:c r="Z24" s="80" t="str">
        <x:f>IF(COUNT('Фин.показатели 2025'!Z24,'1 пол. 2026'!Z24,'1 пол. 2025'!Z24)=3,'Фин.показатели 2025'!Z24+'1 пол. 2026'!Z24-'1 пол. 2025'!Z24,"н.д.")</x:f>
        <x:v>н.д.</x:v>
      </x:c>
      <x:c r="AA24" s="80" t="str">
        <x:f>IF(COUNT('Фин.показатели 2025'!AA24,'1 пол. 2026'!AA24,'1 пол. 2025'!AA24)=3,'Фин.показатели 2025'!AA24+'1 пол. 2026'!AA24-'1 пол. 2025'!AA24,"н.д.")</x:f>
        <x:v>н.д.</x:v>
      </x:c>
      <x:c r="AB24" s="66"/>
      <x:c r="AC24" s="66"/>
      <x:c r="AD24" s="66"/>
      <x:c r="AE24" s="66"/>
      <x:c r="AF24" s="66"/>
      <x:c r="AG24" s="80" t="n">
        <x:f>IF(COUNT('Фин.показатели 2025'!AG24,'1 пол. 2026'!AG24,'1 пол. 2025'!AG24)=3,'Фин.показатели 2025'!AG24+'1 пол. 2026'!AG24-'1 пол. 2025'!AG24,"н.д.")</x:f>
        <x:v>113513</x:v>
      </x:c>
      <x:c r="AH24" s="64"/>
      <x:c r="AI24" s="80" t="str">
        <x:f>IF('1 пол. 2026'!AI24="н.п.","н.п.",IF(COUNT('Фин.показатели 2025'!AI24,'1 пол. 2026'!AI24,'1 пол. 2025'!AI24)=3,'Фин.показатели 2025'!AI24+'1 пол. 2026'!AI24-'1 пол. 2025'!AI24,"н.д."))</x:f>
        <x:v>н.п.</x:v>
      </x:c>
      <x:c r="AJ24" s="64"/>
      <x:c r="AK24" s="80" t="str">
        <x:f>IF('1 пол. 2026'!AK24="н.п.","н.п.",IF(COUNT('Фин.показатели 2025'!AK24,'1 пол. 2026'!AK24,'1 пол. 2025'!AK24)=3,'Фин.показатели 2025'!AK24+'1 пол. 2026'!AK24-'1 пол. 2025'!AK24,"н.д."))</x:f>
        <x:v>н.п.</x:v>
      </x:c>
      <x:c r="AL24" s="64"/>
      <x:c r="AM24" s="80" t="str">
        <x:f>IF(COUNT('Фин.показатели 2025'!AM24,'1 пол. 2026'!AM24,'1 пол. 2025'!AM24)=3,'Фин.показатели 2025'!AM24+'1 пол. 2026'!AM24-'1 пол. 2025'!AM24,"н.д.")</x:f>
        <x:v>н.д.</x:v>
      </x:c>
      <x:c r="AN24" s="64"/>
      <x:c r="AO24" s="64"/>
      <x:c r="AP24" s="80" t="str">
        <x:f>IF(COUNT('Фин.показатели 2025'!AP24,'1 пол. 2026'!AP24,'1 пол. 2025'!AP24)=3,'Фин.показатели 2025'!AP24+'1 пол. 2026'!AP24-'1 пол. 2025'!AP24,"н.д.")</x:f>
        <x:v>н.д.</x:v>
      </x:c>
      <x:c r="AQ24" s="64"/>
      <x:c r="AR24" s="80" t="str">
        <x:f>IF(COUNT('Фин.показатели 2025'!AR24,'1 пол. 2026'!AR24,'1 пол. 2025'!AR24)=3,'Фин.показатели 2025'!AR24+'1 пол. 2026'!AR24-'1 пол. 2025'!AR24,"н.д.")</x:f>
        <x:v>н.д.</x:v>
      </x:c>
      <x:c r="AS24" s="65"/>
      <x:c r="AT24" s="65"/>
      <x:c r="AU24" s="65"/>
      <x:c r="AV24" s="65"/>
      <x:c r="AW24" s="65"/>
      <x:c r="AX24" s="65"/>
      <x:c r="AY24" s="65"/>
      <x:c r="AZ24" s="65"/>
      <x:c r="BA24" s="65"/>
      <x:c r="BB24" s="65"/>
      <x:c r="BC24" s="67" t="str">
        <x:v>ЧД −40 665 млн руб. — остаток на 30.06.2026, не поток</x:v>
      </x:c>
      <x:c r="BD24" s="67" t="str">
        <x:v>1 пол. 2026!BD24</x:v>
      </x:c>
      <x:c r="BE24" s="67" t="str">
        <x:v>1 пол. 2026!BE24</x:v>
      </x:c>
      <x:c r="BF24" s="67" t="str">
        <x:v>TTM-потоки = 2025 + 1П2026 − 1П2025; ЧД и капитал — остатки на 30.06.2026</x:v>
      </x:c>
      <x:c r="BG24" s="67" t="str">
        <x:v>Скорректированная EBITDA TTM 113 513 млн руб.; обычная EBITDA отдельно не раскрыта</x:v>
      </x:c>
      <x:c r="BH24" s="67" t="str">
        <x:v>Фин.показатели 2025!BH24; 1 пол. 2025!BH24; 1 пол. 2026!BH24</x:v>
      </x:c>
      <x:c r="BI24" s="67" t="str">
        <x:v>Фин.показатели 2025!BI24; 1 пол. 2025!BI24; 1 пол. 2026!BI24</x:v>
      </x:c>
      <x:c r="BJ24" s="67" t="str">
        <x:v>Фин.показатели 2025!BJ24; 1 пол. 2025!BJ24; 1 пол. 2026!BJ24</x:v>
      </x:c>
      <x:c r="BK24" s="67" t="str">
        <x:v>Фин.показатели 2025!BK24; 1 пол. 2025!BK24; 1 пол. 2026!BK24</x:v>
      </x:c>
      <x:c r="BL24" s="67" t="str">
        <x:v>Прибыль акционеров TTM 38 709 млн руб.</x:v>
      </x:c>
      <x:c r="BM24" s="67" t="str">
        <x:v>Капитал акционеров 905 650; НКД 111; общий капитал 905 761 млн руб. на 30.06.2026</x:v>
      </x:c>
      <x:c r="BN24" s="65"/>
      <x:c r="BO24" s="65" t="n">
        <x:f>'1 пол. 2026'!BO24</x:f>
        <x:v>111</x:v>
      </x:c>
      <x:c r="BP24" s="65"/>
      <x:c r="BQ24" s="83" t="n">
        <x:f>'1 пол. 2026'!BQ24</x:f>
        <x:v>905761</x:v>
      </x:c>
      <x:c r="BR24" s="67" t="str">
        <x:v>TTM EBITDA и другие потоки рассчитаны по правилу 2025 + 1П2026 − 1П2025; остаточные показатели не суммируются.</x:v>
      </x:c>
      <x:c r="BS24" s="65"/>
      <x:c r="BT24" s="65"/>
      <x:c r="BU24" s="65"/>
      <x:c r="BV24" s="65"/>
      <x:c r="BW24" s="65"/>
      <x:c r="BX24" s="65"/>
      <x:c r="BY24" s="65"/>
      <x:c r="BZ24" s="65"/>
      <x:c r="CA24" s="65"/>
      <x:c r="CB24" s="65"/>
      <x:c r="CC24" s="65"/>
      <x:c r="CD24" s="65"/>
      <x:c r="CE24" s="65"/>
      <x:c r="CF24" s="65"/>
      <x:c r="CG24" s="65"/>
      <x:c r="CH24" s="65"/>
      <x:c r="CI24" s="65"/>
      <x:c r="CJ24" s="65"/>
      <x:c r="CK24" s="65"/>
      <x:c r="CL24" s="65"/>
      <x:c r="CM24" s="65"/>
      <x:c r="CN24" s="65"/>
    </x:row>
    <x:row r="25" ht="16.5">
      <x:c r="B25" s="3">
        <x:v>19</x:v>
      </x:c>
      <x:c r="C25" s="3" t="s">
        <x:v>96</x:v>
      </x:c>
      <x:c r="E25" s="64" t="n">
        <x:f>'1 пол. 2026'!E25</x:f>
        <x:v>309172</x:v>
      </x:c>
      <x:c r="F25" s="64"/>
      <x:c r="G25" s="64"/>
      <x:c r="H25" s="64" t="n">
        <x:f>IF(COUNT('Фин.показатели 2025'!H25,'1 пол. 2026'!H25,'1 пол. 2025'!H25)=3,'Фин.показатели 2025'!H25+'1 пол. 2026'!H25-'1 пол. 2025'!H25,"н.д.")</x:f>
        <x:v>556460</x:v>
      </x:c>
      <x:c r="I25" s="64" t="n">
        <x:f>IF(COUNT('Фин.показатели 2025'!I25,'1 пол. 2026'!I25,'1 пол. 2025'!I25)=3,'Фин.показатели 2025'!I25+'1 пол. 2026'!I25-'1 пол. 2025'!I25,"н.д.")</x:f>
        <x:v>142597</x:v>
      </x:c>
      <x:c r="J25" s="64" t="n">
        <x:f>IF(COUNT('Фин.показатели 2025'!J25,'1 пол. 2026'!J25,'1 пол. 2025'!J25)=3,'Фин.показатели 2025'!J25+'1 пол. 2026'!J25-'1 пол. 2025'!J25,"н.д.")</x:f>
        <x:v>146570</x:v>
      </x:c>
      <x:c r="K25" s="64"/>
      <x:c r="L25" s="64"/>
      <x:c r="M25" s="64"/>
      <x:c r="N25" s="64" t="n">
        <x:f>IF(COUNT('Фин.показатели 2025'!N25,'1 пол. 2026'!N25,'1 пол. 2025'!N25)=3,'Фин.показатели 2025'!N25+'1 пол. 2026'!N25-'1 пол. 2025'!N25,"н.д.")</x:f>
        <x:v>57325</x:v>
      </x:c>
      <x:c r="O25" s="64" t="n">
        <x:f>'1 пол. 2026'!O25</x:f>
        <x:v>263869</x:v>
      </x:c>
      <x:c r="P25" s="65"/>
      <x:c r="Q25" s="65"/>
      <x:c r="R25" s="80" t="n">
        <x:f>IF(ISNUMBER('1 пол. 2026'!R25),'1 пол. 2026'!R25,"н.д.")</x:f>
        <x:v>309172</x:v>
      </x:c>
      <x:c r="S25" s="66" t="n">
        <x:f>'1 пол. 2026'!S25</x:f>
        <x:v>123094</x:v>
      </x:c>
      <x:c r="T25" s="66" t="n">
        <x:f>'1 пол. 2026'!T25</x:f>
        <x:v>203026</x:v>
      </x:c>
      <x:c r="U25" s="66" t="n">
        <x:f>'1 пол. 2026'!U25</x:f>
        <x:v>23067</x:v>
      </x:c>
      <x:c r="V25" s="66"/>
      <x:c r="W25" s="80" t="str">
        <x:f>IF(ISNUMBER('1 пол. 2026'!W25),'1 пол. 2026'!W25,"н.д.")</x:f>
        <x:v>н.д.</x:v>
      </x:c>
      <x:c r="X25" s="64"/>
      <x:c r="Y25" s="66" t="str">
        <x:f>'1 пол. 2026'!Y25</x:f>
        <x:v>н.п.</x:v>
      </x:c>
      <x:c r="Z25" s="80" t="n">
        <x:f>IF(COUNT('Фин.показатели 2025'!Z25,'1 пол. 2026'!Z25,'1 пол. 2025'!Z25)=3,'Фин.показатели 2025'!Z25+'1 пол. 2026'!Z25-'1 пол. 2025'!Z25,"н.д.")</x:f>
        <x:v>142597</x:v>
      </x:c>
      <x:c r="AA25" s="80" t="str">
        <x:f>IF(COUNT('Фин.показатели 2025'!AA25,'1 пол. 2026'!AA25,'1 пол. 2025'!AA25)=3,'Фин.показатели 2025'!AA25+'1 пол. 2026'!AA25-'1 пол. 2025'!AA25,"н.д.")</x:f>
        <x:v>н.д.</x:v>
      </x:c>
      <x:c r="AB25" s="66" t="str">
        <x:f>IF(COUNT('Фин.показатели 2025'!AB25,'1 пол. 2026'!AB25,'1 пол. 2025'!AB25)=3,'Фин.показатели 2025'!AB25+'1 пол. 2026'!AB25-'1 пол. 2025'!AB25,"н.д.")</x:f>
        <x:v>н.д.</x:v>
      </x:c>
      <x:c r="AC25" s="66" t="str">
        <x:f>IF(COUNT('Фин.показатели 2025'!AC25,'1 пол. 2026'!AC25,'1 пол. 2025'!AC25)=3,'Фин.показатели 2025'!AC25+'1 пол. 2026'!AC25-'1 пол. 2025'!AC25,"н.д.")</x:f>
        <x:v>н.д.</x:v>
      </x:c>
      <x:c r="AD25" s="66" t="str">
        <x:f>IF(COUNT('Фин.показатели 2025'!AD25,'1 пол. 2026'!AD25,'1 пол. 2025'!AD25)=3,'Фин.показатели 2025'!AD25+'1 пол. 2026'!AD25-'1 пол. 2025'!AD25,"н.д.")</x:f>
        <x:v>н.д.</x:v>
      </x:c>
      <x:c r="AE25" s="66" t="str">
        <x:f>IF(COUNT('Фин.показатели 2025'!AE25,'1 пол. 2026'!AE25,'1 пол. 2025'!AE25)=3,'Фин.показатели 2025'!AE25+'1 пол. 2026'!AE25-'1 пол. 2025'!AE25,"н.д.")</x:f>
        <x:v>н.д.</x:v>
      </x:c>
      <x:c r="AF25" s="66" t="n">
        <x:f>IF(COUNT('Фин.показатели 2025'!AF25,'1 пол. 2026'!AF25,'1 пол. 2025'!AF25)=3,'Фин.показатели 2025'!AF25+'1 пол. 2026'!AF25-'1 пол. 2025'!AF25,"н.д.")</x:f>
        <x:v>3973</x:v>
      </x:c>
      <x:c r="AG25" s="80" t="n">
        <x:f>IF(COUNT('Фин.показатели 2025'!AG25,'1 пол. 2026'!AG25,'1 пол. 2025'!AG25)=3,'Фин.показатели 2025'!AG25+'1 пол. 2026'!AG25-'1 пол. 2025'!AG25,"н.д.")</x:f>
        <x:v>146570</x:v>
      </x:c>
      <x:c r="AH25" s="64"/>
      <x:c r="AI25" s="80" t="str">
        <x:f>IF('1 пол. 2026'!AI25="н.п.","н.п.",IF(COUNT('Фин.показатели 2025'!AI25,'1 пол. 2026'!AI25,'1 пол. 2025'!AI25)=3,'Фин.показатели 2025'!AI25+'1 пол. 2026'!AI25-'1 пол. 2025'!AI25,"н.д."))</x:f>
        <x:v>н.п.</x:v>
      </x:c>
      <x:c r="AJ25" s="64"/>
      <x:c r="AK25" s="80" t="str">
        <x:f>IF('1 пол. 2026'!AK25="н.п.","н.п.",IF(COUNT('Фин.показатели 2025'!AK25,'1 пол. 2026'!AK25,'1 пол. 2025'!AK25)=3,'Фин.показатели 2025'!AK25+'1 пол. 2026'!AK25-'1 пол. 2025'!AK25,"н.д."))</x:f>
        <x:v>н.п.</x:v>
      </x:c>
      <x:c r="AL25" s="64"/>
      <x:c r="AM25" s="80" t="str">
        <x:f>IF(COUNT('Фин.показатели 2025'!AM25,'1 пол. 2026'!AM25,'1 пол. 2025'!AM25)=3,'Фин.показатели 2025'!AM25+'1 пол. 2026'!AM25-'1 пол. 2025'!AM25,"н.д.")</x:f>
        <x:v>н.д.</x:v>
      </x:c>
      <x:c r="AN25" s="64"/>
      <x:c r="AO25" s="64"/>
      <x:c r="AP25" s="80" t="str">
        <x:f>IF(COUNT('Фин.показатели 2025'!AP25,'1 пол. 2026'!AP25,'1 пол. 2025'!AP25)=3,'Фин.показатели 2025'!AP25+'1 пол. 2026'!AP25-'1 пол. 2025'!AP25,"н.д.")</x:f>
        <x:v>н.д.</x:v>
      </x:c>
      <x:c r="AQ25" s="64"/>
      <x:c r="AR25" s="80" t="str">
        <x:f>IF(COUNT('Фин.показатели 2025'!AR25,'1 пол. 2026'!AR25,'1 пол. 2025'!AR25)=3,'Фин.показатели 2025'!AR25+'1 пол. 2026'!AR25-'1 пол. 2025'!AR25,"н.д.")</x:f>
        <x:v>н.д.</x:v>
      </x:c>
      <x:c r="AS25" s="65"/>
      <x:c r="AT25" s="65"/>
      <x:c r="AU25" s="65"/>
      <x:c r="AV25" s="65"/>
      <x:c r="AW25" s="65"/>
      <x:c r="AX25" s="65"/>
      <x:c r="AY25" s="65"/>
      <x:c r="AZ25" s="65"/>
      <x:c r="BA25" s="65"/>
      <x:c r="BB25" s="65"/>
      <x:c r="BC25" s="67" t="str">
        <x:v>1 пол. 2026!BC25</x:v>
      </x:c>
      <x:c r="BD25" s="67" t="str">
        <x:v>1 пол. 2026!BD25</x:v>
      </x:c>
      <x:c r="BE25" s="67" t="str">
        <x:v>1 пол. 2026!BE25</x:v>
      </x:c>
      <x:c r="BF25" s="67" t="str">
        <x:v>Фин.показатели 2025!BF25; 1 пол. 2025!BF25; 1 пол. 2026!BF25</x:v>
      </x:c>
      <x:c r="BG25" s="67" t="str">
        <x:v>Фин.показатели 2025!BG25; 1 пол. 2025!BG25; 1 пол. 2026!BG25</x:v>
      </x:c>
      <x:c r="BH25" s="67" t="str">
        <x:v>Фин.показатели 2025!BH25; 1 пол. 2025!BH25; 1 пол. 2026!BH25</x:v>
      </x:c>
      <x:c r="BI25" s="67" t="str">
        <x:v>Фин.показатели 2025!BI25; 1 пол. 2025!BI25; 1 пол. 2026!BI25</x:v>
      </x:c>
      <x:c r="BJ25" s="67" t="str">
        <x:v>Фин.показатели 2025!BJ25; 1 пол. 2025!BJ25; 1 пол. 2026!BJ25</x:v>
      </x:c>
      <x:c r="BK25" s="67" t="str">
        <x:v>Фин.показатели 2025!BK25; 1 пол. 2025!BK25; 1 пол. 2026!BK25</x:v>
      </x:c>
      <x:c r="BL25" s="67" t="str">
        <x:v>Фин.показатели 2025!BL25; 1 пол. 2025!BL25; 1 пол. 2026!BL25</x:v>
      </x:c>
      <x:c r="BM25" s="67" t="str">
        <x:v>1 пол. 2026!BM25</x:v>
      </x:c>
      <x:c r="BN25" s="65" t="n">
        <x:f>'1 пол. 2026'!BN25</x:f>
        <x:v>6119</x:v>
      </x:c>
      <x:c r="BO25" s="65" t="n">
        <x:f>'1 пол. 2026'!BO25</x:f>
        <x:v>255</x:v>
      </x:c>
      <x:c r="BP25" s="65"/>
      <x:c r="BQ25" s="65"/>
      <x:c r="BR25" s="67" t="str">
        <x:v> EBITDA = операционная прибыль + амортизация. Скорр. EBITDA исключает операционные курсовые разницы. Методология: https://ar2025.phosagro.ru/perfomance-review/financial-performance/ ; 1П2025: https://www.phosagro.ru/press/company/fosagro-publikuet-operatsionnye-i-finansovye-rezultaty-za-1-polugodie-2025-g/ . Итоги EBITDA 1П2026 рассчитаны аналитически по этой методологии, не сверены с опубликованным итогом компании.</x:v>
      </x:c>
      <x:c r="BS25" s="65"/>
      <x:c r="BT25" s="65"/>
      <x:c r="BU25" s="65"/>
      <x:c r="BV25" s="65"/>
      <x:c r="BW25" s="65"/>
      <x:c r="BX25" s="65"/>
      <x:c r="BY25" s="65"/>
      <x:c r="BZ25" s="65"/>
      <x:c r="CA25" s="65"/>
      <x:c r="CB25" s="65"/>
      <x:c r="CC25" s="65"/>
      <x:c r="CD25" s="65"/>
      <x:c r="CE25" s="65"/>
      <x:c r="CF25" s="65"/>
      <x:c r="CG25" s="65"/>
      <x:c r="CH25" s="65"/>
      <x:c r="CI25" s="65"/>
      <x:c r="CJ25" s="65"/>
      <x:c r="CK25" s="65"/>
      <x:c r="CL25" s="65"/>
      <x:c r="CM25" s="65"/>
      <x:c r="CN25" s="65" t="n">
        <x:f>IF(COUNT('Фин.показатели 2025'!CN25,'1 пол. 2026'!CN25,'1 пол. 2025'!CN25)=3,'Фин.показатели 2025'!CN25+'1 пол. 2026'!CN25-'1 пол. 2025'!CN25,"н.д.")</x:f>
        <x:v>3973</x:v>
      </x:c>
    </x:row>
    <x:row r="26" ht="16.5">
      <x:c r="B26" s="3">
        <x:v>20</x:v>
      </x:c>
      <x:c r="C26" s="3" t="s">
        <x:v>98</x:v>
      </x:c>
      <x:c r="E26" s="80" t="n">
        <x:f>'1 пол. 2026'!E26</x:f>
        <x:v>731559</x:v>
      </x:c>
      <x:c r="F26" s="80" t="n">
        <x:f>'1 пол. 2026'!F26</x:f>
        <x:v>558517</x:v>
      </x:c>
      <x:c r="G26" s="64"/>
      <x:c r="H26" s="64" t="n">
        <x:f>IF(COUNT('Фин.показатели 2025'!H26,'1 пол. 2026'!H26,'1 пол. 2025'!H26)=3,'Фин.показатели 2025'!H26+'1 пол. 2026'!H26-'1 пол. 2025'!H26,"н.д.")</x:f>
        <x:v>914857</x:v>
      </x:c>
      <x:c r="I26" s="80" t="str">
        <x:f>IF(COUNT('Фин.показатели 2025'!I26,'1 пол. 2026'!I26,'1 пол. 2025'!I26)=3,'Фин.показатели 2025'!I26+'1 пол. 2026'!I26-'1 пол. 2025'!I26,"н.д.")</x:f>
        <x:v>н.д.</x:v>
      </x:c>
      <x:c r="J26" s="64"/>
      <x:c r="K26" s="64"/>
      <x:c r="L26" s="64"/>
      <x:c r="M26" s="64" t="n">
        <x:f>IF(COUNT('Фин.показатели 2025'!M26,'1 пол. 2026'!M26,'1 пол. 2025'!M26)=3,'Фин.показатели 2025'!M26+'1 пол. 2026'!M26-'1 пол. 2025'!M26,"н.д.")</x:f>
        <x:v>348107</x:v>
      </x:c>
      <x:c r="N26" s="64" t="n">
        <x:f>IF(COUNT('Фин.показатели 2025'!N26,'1 пол. 2026'!N26,'1 пол. 2025'!N26)=3,'Фин.показатели 2025'!N26+'1 пол. 2026'!N26-'1 пол. 2025'!N26,"н.д.")</x:f>
        <x:v>10201</x:v>
      </x:c>
      <x:c r="O26" s="80" t="n">
        <x:f>'1 пол. 2026'!O26</x:f>
        <x:v>223392</x:v>
      </x:c>
      <x:c r="P26" s="65"/>
      <x:c r="Q26" s="65"/>
      <x:c r="R26" s="80" t="n">
        <x:f>IF(ISNUMBER('1 пол. 2026'!R26),'1 пол. 2026'!R26,"н.д.")</x:f>
        <x:v>731559</x:v>
      </x:c>
      <x:c r="S26" s="66"/>
      <x:c r="T26" s="66"/>
      <x:c r="U26" s="66"/>
      <x:c r="V26" s="66"/>
      <x:c r="W26" s="80" t="n">
        <x:f>IF(ISNUMBER('1 пол. 2026'!W26),'1 пол. 2026'!W26,"н.д.")</x:f>
        <x:v>558517</x:v>
      </x:c>
      <x:c r="X26" s="64"/>
      <x:c r="Y26" s="66" t="str">
        <x:f>'1 пол. 2026'!Y26</x:f>
        <x:v>н.п.</x:v>
      </x:c>
      <x:c r="Z26" s="80" t="str">
        <x:f>IF(COUNT('Фин.показатели 2025'!Z26,'1 пол. 2026'!Z26,'1 пол. 2025'!Z26)=3,'Фин.показатели 2025'!Z26+'1 пол. 2026'!Z26-'1 пол. 2025'!Z26,"н.д.")</x:f>
        <x:v>н.д.</x:v>
      </x:c>
      <x:c r="AA26" s="80" t="str">
        <x:f>IF(COUNT('Фин.показатели 2025'!AA26,'1 пол. 2026'!AA26,'1 пол. 2025'!AA26)=3,'Фин.показатели 2025'!AA26+'1 пол. 2026'!AA26-'1 пол. 2025'!AA26,"н.д.")</x:f>
        <x:v>н.д.</x:v>
      </x:c>
      <x:c r="AB26" s="66"/>
      <x:c r="AC26" s="66"/>
      <x:c r="AD26" s="66"/>
      <x:c r="AE26" s="66"/>
      <x:c r="AF26" s="66"/>
      <x:c r="AG26" s="80" t="str">
        <x:f>IF(COUNT('Фин.показатели 2025'!AG26,'1 пол. 2026'!AG26,'1 пол. 2025'!AG26)=3,'Фин.показатели 2025'!AG26+'1 пол. 2026'!AG26-'1 пол. 2025'!AG26,"н.д.")</x:f>
        <x:v>н.д.</x:v>
      </x:c>
      <x:c r="AH26" s="64"/>
      <x:c r="AI26" s="80" t="str">
        <x:f>IF('1 пол. 2026'!AI26="н.п.","н.п.",IF(COUNT('Фин.показатели 2025'!AI26,'1 пол. 2026'!AI26,'1 пол. 2025'!AI26)=3,'Фин.показатели 2025'!AI26+'1 пол. 2026'!AI26-'1 пол. 2025'!AI26,"н.д."))</x:f>
        <x:v>н.п.</x:v>
      </x:c>
      <x:c r="AJ26" s="64"/>
      <x:c r="AK26" s="80" t="str">
        <x:f>IF('1 пол. 2026'!AK26="н.п.","н.п.",IF(COUNT('Фин.показатели 2025'!AK26,'1 пол. 2026'!AK26,'1 пол. 2025'!AK26)=3,'Фин.показатели 2025'!AK26+'1 пол. 2026'!AK26-'1 пол. 2025'!AK26,"н.д."))</x:f>
        <x:v>н.п.</x:v>
      </x:c>
      <x:c r="AL26" s="64"/>
      <x:c r="AM26" s="80" t="str">
        <x:f>IF(COUNT('Фин.показатели 2025'!AM26,'1 пол. 2026'!AM26,'1 пол. 2025'!AM26)=3,'Фин.показатели 2025'!AM26+'1 пол. 2026'!AM26-'1 пол. 2025'!AM26,"н.д.")</x:f>
        <x:v>н.д.</x:v>
      </x:c>
      <x:c r="AN26" s="64"/>
      <x:c r="AO26" s="64"/>
      <x:c r="AP26" s="80" t="n">
        <x:f>IF(COUNT('Фин.показатели 2025'!AP26,'1 пол. 2026'!AP26,'1 пол. 2025'!AP26)=3,'Фин.показатели 2025'!AP26+'1 пол. 2026'!AP26-'1 пол. 2025'!AP26,"н.д.")</x:f>
        <x:v>348107</x:v>
      </x:c>
      <x:c r="AQ26" s="64"/>
      <x:c r="AR26" s="80" t="str">
        <x:f>IF(COUNT('Фин.показатели 2025'!AR26,'1 пол. 2026'!AR26,'1 пол. 2025'!AR26)=3,'Фин.показатели 2025'!AR26+'1 пол. 2026'!AR26-'1 пол. 2025'!AR26,"н.д.")</x:f>
        <x:v>н.д.</x:v>
      </x:c>
      <x:c r="AS26" s="65"/>
      <x:c r="AT26" s="65"/>
      <x:c r="AU26" s="65"/>
      <x:c r="AV26" s="65"/>
      <x:c r="AW26" s="65"/>
      <x:c r="AX26" s="65"/>
      <x:c r="AY26" s="65"/>
      <x:c r="AZ26" s="65"/>
      <x:c r="BA26" s="65"/>
      <x:c r="BB26" s="65"/>
      <x:c r="BC26" s="67" t="str">
        <x:v>1 пол. 2026!BC26</x:v>
      </x:c>
      <x:c r="BD26" s="67" t="str">
        <x:v>1 пол. 2026!BD26</x:v>
      </x:c>
      <x:c r="BE26" s="67" t="str">
        <x:v>1 пол. 2026!BE26</x:v>
      </x:c>
      <x:c r="BF26" s="67" t="str">
        <x:v>Фин.показатели 2025!BF26; 1 пол. 2025!BF26; 1 пол. 2026!BF26</x:v>
      </x:c>
      <x:c r="BG26" s="67" t="str">
        <x:v>Фин.показатели 2025!BG26; 1 пол. 2025!BG26; 1 пол. 2026!BG26</x:v>
      </x:c>
      <x:c r="BH26" s="67" t="str">
        <x:v>Фин.показатели 2025!BH26; 1 пол. 2025!BH26; 1 пол. 2026!BH26</x:v>
      </x:c>
      <x:c r="BI26" s="67" t="str">
        <x:v>Фин.показатели 2025!BI26; 1 пол. 2025!BI26; 1 пол. 2026!BI26</x:v>
      </x:c>
      <x:c r="BJ26" s="67" t="str">
        <x:v>Фин.показатели 2025!BJ26; 1 пол. 2025!BJ26; 1 пол. 2026!BJ26</x:v>
      </x:c>
      <x:c r="BK26" s="67" t="str">
        <x:v>Фин.показатели 2025!BK26; 1 пол. 2025!BK26; 1 пол. 2026!BK26</x:v>
      </x:c>
      <x:c r="BL26" s="67" t="str">
        <x:v>Фин.показатели 2025!BL26; 1 пол. 2025!BL26; 1 пол. 2026!BL26</x:v>
      </x:c>
      <x:c r="BM26" s="67" t="str">
        <x:v>1 пол. 2026!BM26</x:v>
      </x:c>
      <x:c r="BN26" s="65"/>
      <x:c r="BO26" s="65" t="n">
        <x:f>'1 пол. 2026'!BO26</x:f>
        <x:v>59406</x:v>
      </x:c>
      <x:c r="BP26" s="65"/>
      <x:c r="BQ26" s="65"/>
      <x:c r="BR26" s="67" t="str"/>
      <x:c r="BS26" s="65"/>
      <x:c r="BT26" s="65"/>
      <x:c r="BU26" s="65"/>
      <x:c r="BV26" s="65"/>
      <x:c r="BW26" s="65"/>
      <x:c r="BX26" s="65"/>
      <x:c r="BY26" s="65"/>
      <x:c r="BZ26" s="65"/>
      <x:c r="CA26" s="65"/>
      <x:c r="CB26" s="65"/>
      <x:c r="CC26" s="65"/>
      <x:c r="CD26" s="65"/>
      <x:c r="CE26" s="65"/>
      <x:c r="CF26" s="65"/>
      <x:c r="CG26" s="65"/>
      <x:c r="CH26" s="65"/>
      <x:c r="CI26" s="65"/>
      <x:c r="CJ26" s="65"/>
      <x:c r="CK26" s="65"/>
      <x:c r="CL26" s="65"/>
      <x:c r="CM26" s="65"/>
      <x:c r="CN26" s="65"/>
    </x:row>
    <x:row r="27" ht="16.5">
      <x:c r="B27" s="3">
        <x:v>21</x:v>
      </x:c>
      <x:c r="C27" s="3" t="s">
        <x:v>99</x:v>
      </x:c>
      <x:c r="E27" s="80" t="n">
        <x:f>'1 пол. 2026'!E27</x:f>
        <x:v>511500</x:v>
      </x:c>
      <x:c r="F27" s="64"/>
      <x:c r="G27" s="64"/>
      <x:c r="H27" s="64" t="n">
        <x:f>IF(COUNT('Фин.показатели 2025'!H27,'1 пол. 2026'!H27,'1 пол. 2025'!H27)=3,'Фин.показатели 2025'!H27+'1 пол. 2026'!H27-'1 пол. 2025'!H27,"н.д.")</x:f>
        <x:v>917233</x:v>
      </x:c>
      <x:c r="I27" s="64" t="n">
        <x:f>IF(COUNT('Фин.показатели 2025'!I27,'1 пол. 2026'!I27,'1 пол. 2025'!I27)=3,'Фин.показатели 2025'!I27+'1 пол. 2026'!I27-'1 пол. 2025'!I27,"н.д.")</x:f>
        <x:v>194384</x:v>
      </x:c>
      <x:c r="J27" s="64" t="n">
        <x:f>IF(COUNT('Фин.показатели 2025'!J27,'1 пол. 2026'!J27,'1 пол. 2025'!J27)=3,'Фин.показатели 2025'!J27+'1 пол. 2026'!J27-'1 пол. 2025'!J27,"н.д.")</x:f>
        <x:v>185358</x:v>
      </x:c>
      <x:c r="K27" s="64"/>
      <x:c r="L27" s="64"/>
      <x:c r="M27" s="64"/>
      <x:c r="N27" s="64" t="n">
        <x:f>IF(COUNT('Фин.показатели 2025'!N27,'1 пол. 2026'!N27,'1 пол. 2025'!N27)=3,'Фин.показатели 2025'!N27+'1 пол. 2026'!N27-'1 пол. 2025'!N27,"н.д.")</x:f>
        <x:v>31227</x:v>
      </x:c>
      <x:c r="O27" s="80" t="n">
        <x:f>'1 пол. 2026'!O27</x:f>
        <x:v>44933</x:v>
      </x:c>
      <x:c r="P27" s="65"/>
      <x:c r="Q27" s="65"/>
      <x:c r="R27" s="80" t="n">
        <x:f>IF(ISNUMBER('1 пол. 2026'!R27),'1 пол. 2026'!R27,"н.д.")</x:f>
        <x:v>511500</x:v>
      </x:c>
      <x:c r="S27" s="66"/>
      <x:c r="T27" s="66"/>
      <x:c r="U27" s="66"/>
      <x:c r="V27" s="66"/>
      <x:c r="W27" s="80" t="str">
        <x:f>IF(ISNUMBER('1 пол. 2026'!W27),'1 пол. 2026'!W27,"н.д.")</x:f>
        <x:v>н.д.</x:v>
      </x:c>
      <x:c r="X27" s="64"/>
      <x:c r="Y27" s="66" t="str">
        <x:f>'1 пол. 2026'!Y27</x:f>
        <x:v>н.п.</x:v>
      </x:c>
      <x:c r="Z27" s="80" t="n">
        <x:f>IF(COUNT('Фин.показатели 2025'!Z27,'1 пол. 2026'!Z27,'1 пол. 2025'!Z27)=3,'Фин.показатели 2025'!Z27+'1 пол. 2026'!Z27-'1 пол. 2025'!Z27,"н.д.")</x:f>
        <x:v>194384</x:v>
      </x:c>
      <x:c r="AA27" s="80" t="str">
        <x:f>IF(COUNT('Фин.показатели 2025'!AA27,'1 пол. 2026'!AA27,'1 пол. 2025'!AA27)=3,'Фин.показатели 2025'!AA27+'1 пол. 2026'!AA27-'1 пол. 2025'!AA27,"н.д.")</x:f>
        <x:v>н.д.</x:v>
      </x:c>
      <x:c r="AB27" s="66"/>
      <x:c r="AC27" s="66"/>
      <x:c r="AD27" s="66"/>
      <x:c r="AE27" s="66"/>
      <x:c r="AF27" s="66"/>
      <x:c r="AG27" s="80" t="n">
        <x:f>IF(COUNT('Фин.показатели 2025'!AG27,'1 пол. 2026'!AG27,'1 пол. 2025'!AG27)=3,'Фин.показатели 2025'!AG27+'1 пол. 2026'!AG27-'1 пол. 2025'!AG27,"н.д.")</x:f>
        <x:v>185358</x:v>
      </x:c>
      <x:c r="AH27" s="64"/>
      <x:c r="AI27" s="80" t="str">
        <x:f>IF('1 пол. 2026'!AI27="н.п.","н.п.",IF(COUNT('Фин.показатели 2025'!AI27,'1 пол. 2026'!AI27,'1 пол. 2025'!AI27)=3,'Фин.показатели 2025'!AI27+'1 пол. 2026'!AI27-'1 пол. 2025'!AI27,"н.д."))</x:f>
        <x:v>н.п.</x:v>
      </x:c>
      <x:c r="AJ27" s="64"/>
      <x:c r="AK27" s="80" t="str">
        <x:f>IF('1 пол. 2026'!AK27="н.п.","н.п.",IF(COUNT('Фин.показатели 2025'!AK27,'1 пол. 2026'!AK27,'1 пол. 2025'!AK27)=3,'Фин.показатели 2025'!AK27+'1 пол. 2026'!AK27-'1 пол. 2025'!AK27,"н.д."))</x:f>
        <x:v>н.п.</x:v>
      </x:c>
      <x:c r="AL27" s="64"/>
      <x:c r="AM27" s="80" t="str">
        <x:f>IF(COUNT('Фин.показатели 2025'!AM27,'1 пол. 2026'!AM27,'1 пол. 2025'!AM27)=3,'Фин.показатели 2025'!AM27+'1 пол. 2026'!AM27-'1 пол. 2025'!AM27,"н.д.")</x:f>
        <x:v>н.д.</x:v>
      </x:c>
      <x:c r="AN27" s="64"/>
      <x:c r="AO27" s="64"/>
      <x:c r="AP27" s="80" t="str">
        <x:f>IF(COUNT('Фин.показатели 2025'!AP27,'1 пол. 2026'!AP27,'1 пол. 2025'!AP27)=3,'Фин.показатели 2025'!AP27+'1 пол. 2026'!AP27-'1 пол. 2025'!AP27,"н.д.")</x:f>
        <x:v>н.д.</x:v>
      </x:c>
      <x:c r="AQ27" s="64"/>
      <x:c r="AR27" s="80" t="str">
        <x:f>IF(COUNT('Фин.показатели 2025'!AR27,'1 пол. 2026'!AR27,'1 пол. 2025'!AR27)=3,'Фин.показатели 2025'!AR27+'1 пол. 2026'!AR27-'1 пол. 2025'!AR27,"н.д.")</x:f>
        <x:v>н.д.</x:v>
      </x:c>
      <x:c r="AS27" s="65"/>
      <x:c r="AT27" s="65"/>
      <x:c r="AU27" s="65"/>
      <x:c r="AV27" s="65"/>
      <x:c r="AW27" s="65"/>
      <x:c r="AX27" s="65"/>
      <x:c r="AY27" s="65"/>
      <x:c r="AZ27" s="65"/>
      <x:c r="BA27" s="65"/>
      <x:c r="BB27" s="65"/>
      <x:c r="BC27" s="67" t="str">
        <x:v>ЧД 511 500 — остаток на 30.06.2026, не поток</x:v>
      </x:c>
      <x:c r="BD27" s="67" t="str">
        <x:v>1 пол. 2026!BD27</x:v>
      </x:c>
      <x:c r="BE27" s="67" t="str">
        <x:v>1 пол. 2026!BE27</x:v>
      </x:c>
      <x:c r="BF27" s="67" t="str">
        <x:v>TTM = 2025 + 1П2026 − 1П2025; выручка 917 233</x:v>
      </x:c>
      <x:c r="BG27" s="67" t="str">
        <x:v>Скорректированная EBITDA TTM 185 358</x:v>
      </x:c>
      <x:c r="BH27" s="67" t="str">
        <x:v>Фин.показатели 2025!BH27; 1 пол. 2025!BH27; 1 пол. 2026!BH27</x:v>
      </x:c>
      <x:c r="BI27" s="67" t="str">
        <x:v>EBITDA TTM 194 384</x:v>
      </x:c>
      <x:c r="BJ27" s="67" t="str">
        <x:v>Фин.показатели 2025!BJ27; 1 пол. 2025!BJ27; 1 пол. 2026!BJ27</x:v>
      </x:c>
      <x:c r="BK27" s="67" t="str">
        <x:v>Фин.показатели 2025!BK27; 1 пол. 2025!BK27; 1 пол. 2026!BK27</x:v>
      </x:c>
      <x:c r="BL27" s="67" t="str">
        <x:v>Прибыль акционеров TTM 31 227</x:v>
      </x:c>
      <x:c r="BM27" s="67" t="str">
        <x:v>Капитал акционеров 44 933; НКД −15 823; общий капитал 29 110 — остатки на 30.06.2026</x:v>
      </x:c>
      <x:c r="BN27" s="83" t="n">
        <x:f>'1 пол. 2026'!BN27</x:f>
        <x:v>399030</x:v>
      </x:c>
      <x:c r="BO27" s="83" t="n">
        <x:f>'1 пол. 2026'!BO27</x:f>
        <x:v>-15823</x:v>
      </x:c>
      <x:c r="BP27" s="65"/>
      <x:c r="BQ27" s="83" t="n">
        <x:f>'1 пол. 2026'!BQ27</x:f>
        <x:v>29110</x:v>
      </x:c>
      <x:c r="BR27" s="67" t="str">
        <x:v>Потоки TTM рассчитаны как 2025 + 1П2026 − 1П2025. ЧД, аренда и капитал не суммируются; используются остатки на 30.06.2026.</x:v>
      </x:c>
      <x:c r="BS27" s="65"/>
      <x:c r="BT27" s="65"/>
      <x:c r="BU27" s="65"/>
      <x:c r="BV27" s="65"/>
      <x:c r="BW27" s="65"/>
      <x:c r="BX27" s="65"/>
      <x:c r="BY27" s="65"/>
      <x:c r="BZ27" s="65"/>
      <x:c r="CA27" s="65"/>
      <x:c r="CB27" s="65"/>
      <x:c r="CC27" s="65"/>
      <x:c r="CD27" s="65"/>
      <x:c r="CE27" s="65"/>
      <x:c r="CF27" s="65"/>
      <x:c r="CG27" s="65"/>
      <x:c r="CH27" s="65"/>
      <x:c r="CI27" s="65"/>
      <x:c r="CJ27" s="65"/>
      <x:c r="CK27" s="65"/>
      <x:c r="CL27" s="65"/>
      <x:c r="CM27" s="65"/>
      <x:c r="CN27" s="65"/>
    </x:row>
    <x:row r="28" ht="16.5">
      <x:c r="B28" s="3">
        <x:v>22</x:v>
      </x:c>
      <x:c r="C28" s="3" t="s">
        <x:v>101</x:v>
      </x:c>
      <x:c r="E28" s="80" t="n">
        <x:f>'1 пол. 2026'!E28</x:f>
        <x:v>-80732</x:v>
      </x:c>
      <x:c r="F28" s="64"/>
      <x:c r="G28" s="64"/>
      <x:c r="H28" s="64" t="n">
        <x:f>IF(COUNT('Фин.показатели 2025'!H28,'1 пол. 2026'!H28,'1 пол. 2025'!H28)=3,'Фин.показатели 2025'!H28+'1 пол. 2026'!H28-'1 пол. 2025'!H28,"н.д.")</x:f>
        <x:v>578661</x:v>
      </x:c>
      <x:c r="I28" s="82" t="str">
        <x:v>н.д.</x:v>
      </x:c>
      <x:c r="J28" s="64" t="n">
        <x:f>IF(COUNT('Фин.показатели 2025'!J28,'1 пол. 2026'!J28,'1 пол. 2025'!J28)=3,'Фин.показатели 2025'!J28+'1 пол. 2026'!J28-'1 пол. 2025'!J28,"н.д.")</x:f>
        <x:v>63682</x:v>
      </x:c>
      <x:c r="K28" s="64"/>
      <x:c r="L28" s="64"/>
      <x:c r="M28" s="64"/>
      <x:c r="N28" s="64" t="n">
        <x:f>IF(COUNT('Фин.показатели 2025'!N28,'1 пол. 2026'!N28,'1 пол. 2025'!N28)=3,'Фин.показатели 2025'!N28+'1 пол. 2026'!N28-'1 пол. 2025'!N28,"н.д.")</x:f>
        <x:v>-38713</x:v>
      </x:c>
      <x:c r="O28" s="80" t="n">
        <x:f>'1 пол. 2026'!O28</x:f>
        <x:v>645191</x:v>
      </x:c>
      <x:c r="P28" s="65"/>
      <x:c r="Q28" s="65"/>
      <x:c r="R28" s="80" t="n">
        <x:f>IF(ISNUMBER('1 пол. 2026'!R28),'1 пол. 2026'!R28,"н.д.")</x:f>
        <x:v>-80732</x:v>
      </x:c>
      <x:c r="S28" s="66" t="n">
        <x:f>'1 пол. 2026'!S28</x:f>
        <x:v>31498</x:v>
      </x:c>
      <x:c r="T28" s="66" t="n">
        <x:f>'1 пол. 2026'!T28</x:f>
        <x:v>21108</x:v>
      </x:c>
      <x:c r="U28" s="66" t="n">
        <x:f>'1 пол. 2026'!U28</x:f>
        <x:v>19821</x:v>
      </x:c>
      <x:c r="V28" s="66"/>
      <x:c r="W28" s="80" t="str">
        <x:f>IF(ISNUMBER('1 пол. 2026'!W28),'1 пол. 2026'!W28,"н.д.")</x:f>
        <x:v>н.д.</x:v>
      </x:c>
      <x:c r="X28" s="64"/>
      <x:c r="Y28" s="66" t="str">
        <x:f>'1 пол. 2026'!Y28</x:f>
        <x:v>н.п.</x:v>
      </x:c>
      <x:c r="Z28" s="80" t="str">
        <x:f>IF(COUNT('Фин.показатели 2025'!Z28,'1 пол. 2026'!Z28,'1 пол. 2025'!Z28)=3,'Фин.показатели 2025'!Z28+'1 пол. 2026'!Z28-'1 пол. 2025'!Z28,"н.д.")</x:f>
        <x:v>н.д.</x:v>
      </x:c>
      <x:c r="AA28" s="80" t="str">
        <x:f>IF(COUNT('Фин.показатели 2025'!AA28,'1 пол. 2026'!AA28,'1 пол. 2025'!AA28)=3,'Фин.показатели 2025'!AA28+'1 пол. 2026'!AA28-'1 пол. 2025'!AA28,"н.д.")</x:f>
        <x:v>н.д.</x:v>
      </x:c>
      <x:c r="AB28" s="66"/>
      <x:c r="AC28" s="66"/>
      <x:c r="AD28" s="66"/>
      <x:c r="AE28" s="66"/>
      <x:c r="AF28" s="66" t="n">
        <x:f>IF(COUNT('Фин.показатели 2025'!AF28,'1 пол. 2026'!AF28,'1 пол. 2025'!AF28)=3,'Фин.показатели 2025'!AF28+'1 пол. 2026'!AF28-'1 пол. 2025'!AF28,"н.д.")</x:f>
        <x:v>224</x:v>
      </x:c>
      <x:c r="AG28" s="80" t="n">
        <x:f>IF(COUNT('Фин.показатели 2025'!AG28,'1 пол. 2026'!AG28,'1 пол. 2025'!AG28)=3,'Фин.показатели 2025'!AG28+'1 пол. 2026'!AG28-'1 пол. 2025'!AG28,"н.д.")</x:f>
        <x:v>63682</x:v>
      </x:c>
      <x:c r="AH28" s="64"/>
      <x:c r="AI28" s="80" t="str">
        <x:f>IF('1 пол. 2026'!AI28="н.п.","н.п.",IF(COUNT('Фин.показатели 2025'!AI28,'1 пол. 2026'!AI28,'1 пол. 2025'!AI28)=3,'Фин.показатели 2025'!AI28+'1 пол. 2026'!AI28-'1 пол. 2025'!AI28,"н.д."))</x:f>
        <x:v>н.п.</x:v>
      </x:c>
      <x:c r="AJ28" s="64"/>
      <x:c r="AK28" s="80" t="str">
        <x:f>IF('1 пол. 2026'!AK28="н.п.","н.п.",IF(COUNT('Фин.показатели 2025'!AK28,'1 пол. 2026'!AK28,'1 пол. 2025'!AK28)=3,'Фин.показатели 2025'!AK28+'1 пол. 2026'!AK28-'1 пол. 2025'!AK28,"н.д."))</x:f>
        <x:v>н.п.</x:v>
      </x:c>
      <x:c r="AL28" s="64"/>
      <x:c r="AM28" s="80" t="str">
        <x:f>IF(COUNT('Фин.показатели 2025'!AM28,'1 пол. 2026'!AM28,'1 пол. 2025'!AM28)=3,'Фин.показатели 2025'!AM28+'1 пол. 2026'!AM28-'1 пол. 2025'!AM28,"н.д.")</x:f>
        <x:v>н.д.</x:v>
      </x:c>
      <x:c r="AN28" s="64"/>
      <x:c r="AO28" s="64"/>
      <x:c r="AP28" s="80" t="str">
        <x:f>IF(COUNT('Фин.показатели 2025'!AP28,'1 пол. 2026'!AP28,'1 пол. 2025'!AP28)=3,'Фин.показатели 2025'!AP28+'1 пол. 2026'!AP28-'1 пол. 2025'!AP28,"н.д.")</x:f>
        <x:v>н.д.</x:v>
      </x:c>
      <x:c r="AQ28" s="64"/>
      <x:c r="AR28" s="80" t="str">
        <x:f>IF(COUNT('Фин.показатели 2025'!AR28,'1 пол. 2026'!AR28,'1 пол. 2025'!AR28)=3,'Фин.показатели 2025'!AR28+'1 пол. 2026'!AR28-'1 пол. 2025'!AR28,"н.д.")</x:f>
        <x:v>н.д.</x:v>
      </x:c>
      <x:c r="AS28" s="65"/>
      <x:c r="AT28" s="65"/>
      <x:c r="AU28" s="65"/>
      <x:c r="AV28" s="65"/>
      <x:c r="AW28" s="65"/>
      <x:c r="AX28" s="65"/>
      <x:c r="AY28" s="65"/>
      <x:c r="AZ28" s="65"/>
      <x:c r="BA28" s="65"/>
      <x:c r="BB28" s="65"/>
      <x:c r="BC28" s="67" t="str">
        <x:v>ЧД −80 732 — остаток на 30.06.2026; включает аренду и вычитает банковские депозиты</x:v>
      </x:c>
      <x:c r="BD28" s="67" t="str">
        <x:v>1 пол. 2026!BD28</x:v>
      </x:c>
      <x:c r="BE28" s="67" t="str">
        <x:v>1 пол. 2026!BE28</x:v>
      </x:c>
      <x:c r="BF28" s="67" t="str">
        <x:v>TTM = 2025 + 1П2026 − 1П2025; выручка 578 661</x:v>
      </x:c>
      <x:c r="BG28" s="67" t="str">
        <x:v>Скорректированная EBITDA TTM 63 682</x:v>
      </x:c>
      <x:c r="BH28" s="67" t="str">
        <x:v>Фин.показатели 2025!BH28; 1 пол. 2025!BH28; 1 пол. 2026!BH28</x:v>
      </x:c>
      <x:c r="BI28" s="67" t="str">
        <x:v>н.д.: обычный EBITDA без дополнительных корректировок компанией не раскрыт</x:v>
      </x:c>
      <x:c r="BJ28" s="67" t="str">
        <x:v>Фин.показатели 2025!BJ28; 1 пол. 2025!BJ28; 1 пол. 2026!BJ28</x:v>
      </x:c>
      <x:c r="BK28" s="67" t="str">
        <x:v>Фин.показатели 2025!BK28; 1 пол. 2025!BK28; 1 пол. 2026!BK28</x:v>
      </x:c>
      <x:c r="BL28" s="67" t="str">
        <x:v>Убыток акционеров TTM −38 713</x:v>
      </x:c>
      <x:c r="BM28" s="67" t="str">
        <x:v>Капитал акционеров 645 191; НКД 155; общий капитал 645 346 — остатки на 30.06.2026</x:v>
      </x:c>
      <x:c r="BN28" s="83" t="n">
        <x:f>'1 пол. 2026'!BN28</x:f>
        <x:v>2259</x:v>
      </x:c>
      <x:c r="BO28" s="83" t="n">
        <x:f>'1 пол. 2026'!BO28</x:f>
        <x:v>155</x:v>
      </x:c>
      <x:c r="BP28" s="65"/>
      <x:c r="BQ28" s="83" t="n">
        <x:f>'1 пол. 2026'!BQ28</x:f>
        <x:v>645346</x:v>
      </x:c>
      <x:c r="BR28" s="67" t="str">
        <x:v>Потоки TTM рассчитаны как 2025 + 1П2026 − 1П2025. ЧД, аренда и капитал не суммируются; используются остатки на 30.06.2026.</x:v>
      </x:c>
      <x:c r="BS28" s="65"/>
      <x:c r="BT28" s="65"/>
      <x:c r="BU28" s="65"/>
      <x:c r="BV28" s="65"/>
      <x:c r="BW28" s="65"/>
      <x:c r="BX28" s="65"/>
      <x:c r="BY28" s="65"/>
      <x:c r="BZ28" s="65"/>
      <x:c r="CA28" s="65"/>
      <x:c r="CB28" s="65"/>
      <x:c r="CC28" s="65"/>
      <x:c r="CD28" s="65"/>
      <x:c r="CE28" s="65"/>
      <x:c r="CF28" s="65"/>
      <x:c r="CG28" s="65"/>
      <x:c r="CH28" s="65" t="n">
        <x:f>'1 пол. 2026'!CH28</x:f>
        <x:v>421</x:v>
      </x:c>
      <x:c r="CI28" s="65" t="n">
        <x:f>'1 пол. 2026'!CI28</x:f>
        <x:v>1838</x:v>
      </x:c>
      <x:c r="CJ28" s="65"/>
      <x:c r="CK28" s="65"/>
      <x:c r="CL28" s="65" t="n">
        <x:f>'1 пол. 2026'!CL28</x:f>
        <x:v>-115776</x:v>
      </x:c>
      <x:c r="CM28" s="65"/>
      <x:c r="CN28" s="65"/>
    </x:row>
    <x:row r="29" ht="16.5">
      <x:c r="B29" s="3">
        <x:v>23</x:v>
      </x:c>
      <x:c r="C29" s="3" t="s">
        <x:v>102</x:v>
      </x:c>
      <x:c r="E29" s="80" t="n">
        <x:f>'1 пол. 2026'!E29</x:f>
        <x:v>929936.644</x:v>
      </x:c>
      <x:c r="F29" s="64"/>
      <x:c r="G29" s="64"/>
      <x:c r="H29" s="64" t="n">
        <x:f>IF(COUNT('Фин.показатели 2025'!H29,'1 пол. 2026'!H29,'1 пол. 2025'!H29)=3,'Фин.показатели 2025'!H29+'1 пол. 2026'!H29-'1 пол. 2025'!H29,"н.д.")</x:f>
        <x:v>1474425.5614889117</x:v>
      </x:c>
      <x:c r="I29" s="82" t="str">
        <x:v>н.д.</x:v>
      </x:c>
      <x:c r="J29" s="64" t="n">
        <x:f>IF(COUNT('Фин.показатели 2025'!J29,'1 пол. 2026'!J29,'1 пол. 2025'!J29)=3,'Фин.показатели 2025'!J29+'1 пол. 2026'!J29-'1 пол. 2025'!J29,"н.д.")</x:f>
        <x:v>270461.42255256174</x:v>
      </x:c>
      <x:c r="K29" s="64"/>
      <x:c r="L29" s="64"/>
      <x:c r="M29" s="64"/>
      <x:c r="N29" s="64" t="n">
        <x:f>IF(COUNT('Фин.показатели 2025'!N29,'1 пол. 2026'!N29,'1 пол. 2025'!N29)=3,'Фин.показатели 2025'!N29+'1 пол. 2026'!N29-'1 пол. 2025'!N29,"н.д.")</x:f>
        <x:v>58709.24158639218</x:v>
      </x:c>
      <x:c r="O29" s="80" t="n">
        <x:f>'1 пол. 2026'!O29</x:f>
        <x:v>760510.8959</x:v>
      </x:c>
      <x:c r="P29" s="65"/>
      <x:c r="Q29" s="65"/>
      <x:c r="R29" s="80" t="n">
        <x:f>IF(ISNUMBER('1 пол. 2026'!R29),'1 пол. 2026'!R29,"н.д.")</x:f>
        <x:v>929936.644</x:v>
      </x:c>
      <x:c r="S29" s="66"/>
      <x:c r="T29" s="66"/>
      <x:c r="U29" s="66"/>
      <x:c r="V29" s="66"/>
      <x:c r="W29" s="80" t="str">
        <x:f>IF(ISNUMBER('1 пол. 2026'!W29),'1 пол. 2026'!W29,"н.д.")</x:f>
        <x:v>н.д.</x:v>
      </x:c>
      <x:c r="X29" s="64"/>
      <x:c r="Y29" s="66" t="str">
        <x:f>'1 пол. 2026'!Y29</x:f>
        <x:v>н.п.</x:v>
      </x:c>
      <x:c r="Z29" s="80" t="str">
        <x:f>IF(COUNT('Фин.показатели 2025'!Z29,'1 пол. 2026'!Z29,'1 пол. 2025'!Z29)=3,'Фин.показатели 2025'!Z29+'1 пол. 2026'!Z29-'1 пол. 2025'!Z29,"н.д.")</x:f>
        <x:v>н.д.</x:v>
      </x:c>
      <x:c r="AA29" s="80" t="str">
        <x:f>IF(COUNT('Фин.показатели 2025'!AA29,'1 пол. 2026'!AA29,'1 пол. 2025'!AA29)=3,'Фин.показатели 2025'!AA29+'1 пол. 2026'!AA29-'1 пол. 2025'!AA29,"н.д.")</x:f>
        <x:v>н.д.</x:v>
      </x:c>
      <x:c r="AB29" s="66"/>
      <x:c r="AC29" s="66"/>
      <x:c r="AD29" s="66"/>
      <x:c r="AE29" s="66"/>
      <x:c r="AF29" s="66"/>
      <x:c r="AG29" s="80" t="n">
        <x:f>IF(COUNT('Фин.показатели 2025'!AG29,'1 пол. 2026'!AG29,'1 пол. 2025'!AG29)=3,'Фин.показатели 2025'!AG29+'1 пол. 2026'!AG29-'1 пол. 2025'!AG29,"н.д.")</x:f>
        <x:v>270461.42255256174</x:v>
      </x:c>
      <x:c r="AH29" s="64"/>
      <x:c r="AI29" s="80" t="str">
        <x:f>IF('1 пол. 2026'!AI29="н.п.","н.п.",IF(COUNT('Фин.показатели 2025'!AI29,'1 пол. 2026'!AI29,'1 пол. 2025'!AI29)=3,'Фин.показатели 2025'!AI29+'1 пол. 2026'!AI29-'1 пол. 2025'!AI29,"н.д."))</x:f>
        <x:v>н.п.</x:v>
      </x:c>
      <x:c r="AJ29" s="64"/>
      <x:c r="AK29" s="80" t="str">
        <x:f>IF('1 пол. 2026'!AK29="н.п.","н.п.",IF(COUNT('Фин.показатели 2025'!AK29,'1 пол. 2026'!AK29,'1 пол. 2025'!AK29)=3,'Фин.показатели 2025'!AK29+'1 пол. 2026'!AK29-'1 пол. 2025'!AK29,"н.д."))</x:f>
        <x:v>н.п.</x:v>
      </x:c>
      <x:c r="AL29" s="64"/>
      <x:c r="AM29" s="80" t="str">
        <x:f>IF(COUNT('Фин.показатели 2025'!AM29,'1 пол. 2026'!AM29,'1 пол. 2025'!AM29)=3,'Фин.показатели 2025'!AM29+'1 пол. 2026'!AM29-'1 пол. 2025'!AM29,"н.д.")</x:f>
        <x:v>н.д.</x:v>
      </x:c>
      <x:c r="AN29" s="64"/>
      <x:c r="AO29" s="64"/>
      <x:c r="AP29" s="80" t="str">
        <x:f>IF(COUNT('Фин.показатели 2025'!AP29,'1 пол. 2026'!AP29,'1 пол. 2025'!AP29)=3,'Фин.показатели 2025'!AP29+'1 пол. 2026'!AP29-'1 пол. 2025'!AP29,"н.д.")</x:f>
        <x:v>н.д.</x:v>
      </x:c>
      <x:c r="AQ29" s="64"/>
      <x:c r="AR29" s="80" t="str">
        <x:f>IF(COUNT('Фин.показатели 2025'!AR29,'1 пол. 2026'!AR29,'1 пол. 2025'!AR29)=3,'Фин.показатели 2025'!AR29+'1 пол. 2026'!AR29-'1 пол. 2025'!AR29,"н.д.")</x:f>
        <x:v>н.д.</x:v>
      </x:c>
      <x:c r="AS29" s="65"/>
      <x:c r="AT29" s="65"/>
      <x:c r="AU29" s="65"/>
      <x:c r="AV29" s="65"/>
      <x:c r="AW29" s="65"/>
      <x:c r="AX29" s="65"/>
      <x:c r="AY29" s="65"/>
      <x:c r="AZ29" s="65"/>
      <x:c r="BA29" s="65"/>
      <x:c r="BB29" s="65"/>
      <x:c r="BC29" s="67" t="str">
        <x:v>ЧД 929 936,644 млн руб. — остаток на 30.06.2026 по опубликованной методике компании</x:v>
      </x:c>
      <x:c r="BD29" s="67" t="str">
        <x:v>1 пол. 2026!BD29</x:v>
      </x:c>
      <x:c r="BE29" s="67" t="str">
        <x:v>1 пол. 2026!BE29</x:v>
      </x:c>
      <x:c r="BF29" s="67" t="str">
        <x:v>TTM = 2025 + 1П2026 − 1П2025; выручка 1 474 425,561 млн руб.</x:v>
      </x:c>
      <x:c r="BG29" s="67" t="str">
        <x:v>Скорректированная EBITDA TTM 270 461,423 млн руб.</x:v>
      </x:c>
      <x:c r="BH29" s="67" t="str">
        <x:v>Фин.показатели 2025!BH29; 1 пол. 2025!BH29; 1 пол. 2026!BH29</x:v>
      </x:c>
      <x:c r="BI29" s="67" t="str">
        <x:v>н.д.: обычная EBITDA без дополнительных корректировок компанией отдельно не раскрыта</x:v>
      </x:c>
      <x:c r="BJ29" s="67" t="str">
        <x:v>Фин.показатели 2025!BJ29; 1 пол. 2025!BJ29; 1 пол. 2026!BJ29</x:v>
      </x:c>
      <x:c r="BK29" s="67" t="str">
        <x:v>Фин.показатели 2025!BK29; 1 пол. 2025!BK29; 1 пол. 2026!BK29</x:v>
      </x:c>
      <x:c r="BL29" s="67" t="str">
        <x:v>Прибыль акционеров TTM 58 709,242 млн руб.</x:v>
      </x:c>
      <x:c r="BM29" s="67" t="str">
        <x:v>Капитал акционеров 760 510,896; НКД 402 842,956; общий капитал 1 163 353,852 млн руб. — остатки на 30.06.2026</x:v>
      </x:c>
      <x:c r="BN29" s="65"/>
      <x:c r="BO29" s="83" t="n">
        <x:f>'1 пол. 2026'!BO29</x:f>
        <x:v>402842.9559</x:v>
      </x:c>
      <x:c r="BP29" s="65"/>
      <x:c r="BQ29" s="83" t="n">
        <x:f>'1 пол. 2026'!BQ29</x:f>
        <x:v>1163353.8518</x:v>
      </x:c>
      <x:c r="BR29" s="67" t="str">
        <x:v>Потоки TTM рассчитаны как 2025 + 1П2026 − 1П2025. ЧД и капитал не суммируются; используются остатки на 30.06.2026.</x:v>
      </x:c>
      <x:c r="BS29" s="65"/>
      <x:c r="BT29" s="65"/>
      <x:c r="BU29" s="65"/>
      <x:c r="BV29" s="65"/>
      <x:c r="BW29" s="65"/>
      <x:c r="BX29" s="65"/>
      <x:c r="BY29" s="65"/>
      <x:c r="BZ29" s="65"/>
      <x:c r="CA29" s="65"/>
      <x:c r="CB29" s="65"/>
      <x:c r="CC29" s="65"/>
      <x:c r="CD29" s="65"/>
      <x:c r="CE29" s="65"/>
      <x:c r="CF29" s="65"/>
      <x:c r="CG29" s="65"/>
      <x:c r="CH29" s="65"/>
      <x:c r="CI29" s="65"/>
      <x:c r="CJ29" s="65"/>
      <x:c r="CK29" s="65"/>
      <x:c r="CL29" s="65"/>
      <x:c r="CM29" s="65"/>
      <x:c r="CN29" s="65"/>
    </x:row>
    <x:row r="30" ht="16.5">
      <x:c r="B30" s="3">
        <x:v>24</x:v>
      </x:c>
      <x:c r="C30" s="3" t="s">
        <x:v>103</x:v>
      </x:c>
      <x:c r="E30" s="80" t="n">
        <x:f>'1 пол. 2026'!E30</x:f>
        <x:v>6261</x:v>
      </x:c>
      <x:c r="F30" s="64"/>
      <x:c r="G30" s="64"/>
      <x:c r="H30" s="64" t="n">
        <x:f>IF(COUNT('Фин.показатели 2025'!H30,'1 пол. 2026'!H30,'1 пол. 2025'!H30)=3,'Фин.показатели 2025'!H30+'1 пол. 2026'!H30-'1 пол. 2025'!H30,"н.д.")</x:f>
        <x:v>48999.706000000006</x:v>
      </x:c>
      <x:c r="I30" s="64" t="n">
        <x:f>IF(COUNT('Фин.показатели 2025'!I30,'1 пол. 2026'!I30,'1 пол. 2025'!I30)=3,'Фин.показатели 2025'!I30+'1 пол. 2026'!I30-'1 пол. 2025'!I30,"н.д.")</x:f>
        <x:v>14452</x:v>
      </x:c>
      <x:c r="J30" s="64"/>
      <x:c r="K30" s="64"/>
      <x:c r="L30" s="64"/>
      <x:c r="M30" s="64"/>
      <x:c r="N30" s="64" t="n">
        <x:f>IF(COUNT('Фин.показатели 2025'!N30,'1 пол. 2026'!N30,'1 пол. 2025'!N30)=3,'Фин.показатели 2025'!N30+'1 пол. 2026'!N30-'1 пол. 2025'!N30,"н.д.")</x:f>
        <x:v>11009.908</x:v>
      </x:c>
      <x:c r="O30" s="80" t="n">
        <x:f>'1 пол. 2026'!O30</x:f>
        <x:v>38169.801</x:v>
      </x:c>
      <x:c r="P30" s="65"/>
      <x:c r="Q30" s="65"/>
      <x:c r="R30" s="80" t="n">
        <x:f>IF(ISNUMBER('1 пол. 2026'!R30),'1 пол. 2026'!R30,"н.д.")</x:f>
        <x:v>6260.771</x:v>
      </x:c>
      <x:c r="S30" s="66"/>
      <x:c r="T30" s="66"/>
      <x:c r="U30" s="66"/>
      <x:c r="V30" s="66"/>
      <x:c r="W30" s="80" t="str">
        <x:f>IF(ISNUMBER('1 пол. 2026'!W30),'1 пол. 2026'!W30,"н.д.")</x:f>
        <x:v>н.д.</x:v>
      </x:c>
      <x:c r="X30" s="64"/>
      <x:c r="Y30" s="66" t="str">
        <x:f>'1 пол. 2026'!Y30</x:f>
        <x:v>н.п.</x:v>
      </x:c>
      <x:c r="Z30" s="80" t="str">
        <x:f>IF(COUNT('Фин.показатели 2025'!Z30,'1 пол. 2026'!Z30,'1 пол. 2025'!Z30)=3,'Фин.показатели 2025'!Z30+'1 пол. 2026'!Z30-'1 пол. 2025'!Z30,"н.д.")</x:f>
        <x:v>н.д.</x:v>
      </x:c>
      <x:c r="AA30" s="80" t="str">
        <x:f>IF(COUNT('Фин.показатели 2025'!AA30,'1 пол. 2026'!AA30,'1 пол. 2025'!AA30)=3,'Фин.показатели 2025'!AA30+'1 пол. 2026'!AA30-'1 пол. 2025'!AA30,"н.д.")</x:f>
        <x:v>н.д.</x:v>
      </x:c>
      <x:c r="AB30" s="66"/>
      <x:c r="AC30" s="66"/>
      <x:c r="AD30" s="66"/>
      <x:c r="AE30" s="66"/>
      <x:c r="AF30" s="66"/>
      <x:c r="AG30" s="80" t="str">
        <x:f>IF(COUNT('Фин.показатели 2025'!AG30,'1 пол. 2026'!AG30,'1 пол. 2025'!AG30)=3,'Фин.показатели 2025'!AG30+'1 пол. 2026'!AG30-'1 пол. 2025'!AG30,"н.д.")</x:f>
        <x:v>н.д.</x:v>
      </x:c>
      <x:c r="AH30" s="64"/>
      <x:c r="AI30" s="80" t="str">
        <x:f>IF('1 пол. 2026'!AI30="н.п.","н.п.",IF(COUNT('Фин.показатели 2025'!AI30,'1 пол. 2026'!AI30,'1 пол. 2025'!AI30)=3,'Фин.показатели 2025'!AI30+'1 пол. 2026'!AI30-'1 пол. 2025'!AI30,"н.д."))</x:f>
        <x:v>н.п.</x:v>
      </x:c>
      <x:c r="AJ30" s="64"/>
      <x:c r="AK30" s="80" t="str">
        <x:f>IF('1 пол. 2026'!AK30="н.п.","н.п.",IF(COUNT('Фин.показатели 2025'!AK30,'1 пол. 2026'!AK30,'1 пол. 2025'!AK30)=3,'Фин.показатели 2025'!AK30+'1 пол. 2026'!AK30-'1 пол. 2025'!AK30,"н.д."))</x:f>
        <x:v>н.п.</x:v>
      </x:c>
      <x:c r="AL30" s="64"/>
      <x:c r="AM30" s="80" t="str">
        <x:f>IF(COUNT('Фин.показатели 2025'!AM30,'1 пол. 2026'!AM30,'1 пол. 2025'!AM30)=3,'Фин.показатели 2025'!AM30+'1 пол. 2026'!AM30-'1 пол. 2025'!AM30,"н.д.")</x:f>
        <x:v>н.д.</x:v>
      </x:c>
      <x:c r="AN30" s="64"/>
      <x:c r="AO30" s="64"/>
      <x:c r="AP30" s="80" t="str">
        <x:f>IF(COUNT('Фин.показатели 2025'!AP30,'1 пол. 2026'!AP30,'1 пол. 2025'!AP30)=3,'Фин.показатели 2025'!AP30+'1 пол. 2026'!AP30-'1 пол. 2025'!AP30,"н.д.")</x:f>
        <x:v>н.д.</x:v>
      </x:c>
      <x:c r="AQ30" s="64"/>
      <x:c r="AR30" s="80" t="str">
        <x:f>IF(COUNT('Фин.показатели 2025'!AR30,'1 пол. 2026'!AR30,'1 пол. 2025'!AR30)=3,'Фин.показатели 2025'!AR30+'1 пол. 2026'!AR30-'1 пол. 2025'!AR30,"н.д.")</x:f>
        <x:v>н.д.</x:v>
      </x:c>
      <x:c r="AS30" s="65"/>
      <x:c r="AT30" s="65"/>
      <x:c r="AU30" s="65"/>
      <x:c r="AV30" s="65"/>
      <x:c r="AW30" s="65"/>
      <x:c r="AX30" s="65"/>
      <x:c r="AY30" s="65"/>
      <x:c r="AZ30" s="65"/>
      <x:c r="BA30" s="65"/>
      <x:c r="BB30" s="65"/>
      <x:c r="BC30" s="67" t="str">
        <x:v>1 пол. 2026!BC30; чистый долг 6 261 млн руб. — остаток на 30.06.2026</x:v>
      </x:c>
      <x:c r="BD30" s="67" t="str">
        <x:v>1 пол. 2026!BD30</x:v>
      </x:c>
      <x:c r="BE30" s="67" t="str">
        <x:v>1 пол. 2026!BE30</x:v>
      </x:c>
      <x:c r="BF30" s="67" t="str">
        <x:v>Фин.показатели 2025!BF30; 1 пол. 2025!BF30; 1 пол. 2026!BF30; TTM = 48 999,706 млн руб.</x:v>
      </x:c>
      <x:c r="BG30" s="67" t="str">
        <x:v>Фин.показатели 2025!BG30; 1 пол. 2025!BG30; 1 пол. 2026!BG30</x:v>
      </x:c>
      <x:c r="BH30" s="67" t="str">
        <x:v>Фин.показатели 2025!BH30; 1 пол. 2025!BH30; 1 пол. 2026!BH30</x:v>
      </x:c>
      <x:c r="BI30" s="67" t="str">
        <x:v>Фин.показатели 2025!BI30; 1 пол. 2025!BI30; 1 пол. 2026!BI30; TTM EBITDA = 14 452 млн руб.</x:v>
      </x:c>
      <x:c r="BJ30" s="67" t="str">
        <x:v>Фин.показатели 2025!BJ30; 1 пол. 2025!BJ30; 1 пол. 2026!BJ30</x:v>
      </x:c>
      <x:c r="BK30" s="67" t="str">
        <x:v>Фин.показатели 2025!BK30; 1 пол. 2025!BK30; 1 пол. 2026!BK30</x:v>
      </x:c>
      <x:c r="BL30" s="67" t="str">
        <x:v>Фин.показатели 2025!BL30; 1 пол. 2025!BL30; 1 пол. 2026!BL30; TTM прибыль акционеров = 11 009,908 млн руб.</x:v>
      </x:c>
      <x:c r="BM30" s="67" t="str">
        <x:v>1 пол. 2026!BM30; капитал акционеров 38 169,801; НКД 272,426; всего 38 442,227 млн руб. на 30.06.2026</x:v>
      </x:c>
      <x:c r="BN30" s="65"/>
      <x:c r="BO30" s="83" t="n">
        <x:f>'1 пол. 2026'!BO30</x:f>
        <x:v>272.426</x:v>
      </x:c>
      <x:c r="BP30" s="65"/>
      <x:c r="BQ30" s="83" t="n">
        <x:f>'1 пол. 2026'!BQ30</x:f>
        <x:v>38442.227</x:v>
      </x:c>
      <x:c r="BR30" s="67" t="str">
        <x:v>Потоки TTM = 2025 + 1П2026 − 1П2025. Чистый долг, капитал акционеров и НКД — остатки на 30.06.2026. EV использует раскрытый ЧД 6 261 млн руб.</x:v>
      </x:c>
      <x:c r="BS30" s="65"/>
      <x:c r="BT30" s="65"/>
      <x:c r="BU30" s="65"/>
      <x:c r="BV30" s="65"/>
      <x:c r="BW30" s="65"/>
      <x:c r="BX30" s="65"/>
      <x:c r="BY30" s="65"/>
      <x:c r="BZ30" s="65"/>
      <x:c r="CA30" s="65"/>
      <x:c r="CB30" s="65"/>
      <x:c r="CC30" s="65"/>
      <x:c r="CD30" s="65"/>
      <x:c r="CE30" s="65"/>
      <x:c r="CF30" s="65"/>
      <x:c r="CG30" s="65"/>
      <x:c r="CH30" s="65"/>
      <x:c r="CI30" s="65"/>
      <x:c r="CJ30" s="65"/>
      <x:c r="CK30" s="65"/>
      <x:c r="CL30" s="65"/>
      <x:c r="CM30" s="65"/>
      <x:c r="CN30" s="65"/>
    </x:row>
    <x:row r="31" ht="16.5">
      <x:c r="B31" s="3">
        <x:v>25</x:v>
      </x:c>
      <x:c r="C31" s="3" t="s">
        <x:v>105</x:v>
      </x:c>
      <x:c r="E31" s="64" t="n">
        <x:f>'1 пол. 2026'!E31</x:f>
        <x:v>276677.038</x:v>
      </x:c>
      <x:c r="F31" s="64"/>
      <x:c r="G31" s="64" t="n">
        <x:f>'1 пол. 2026'!G31</x:f>
        <x:v>117411.168</x:v>
      </x:c>
      <x:c r="H31" s="64" t="n">
        <x:f>IF(COUNT('Фин.показатели 2025'!H31,'1 пол. 2026'!H31,'1 пол. 2025'!H31)=3,'Фин.показатели 2025'!H31+'1 пол. 2026'!H31-'1 пол. 2025'!H31,"н.д.")</x:f>
        <x:v>1238217.494</x:v>
      </x:c>
      <x:c r="I31" s="64"/>
      <x:c r="J31" s="64" t="n">
        <x:f>IF(COUNT('Фин.показатели 2025'!J31,'1 пол. 2026'!J31,'1 пол. 2025'!J31)=3,'Фин.показатели 2025'!J31+'1 пол. 2026'!J31-'1 пол. 2025'!J31,"н.д.")</x:f>
        <x:v>119209.51300000004</x:v>
      </x:c>
      <x:c r="K31" s="64" t="n">
        <x:f>IF(COUNT('Фин.показатели 2025'!K31,'1 пол. 2026'!K31,'1 пол. 2025'!K31)=3,'Фин.показатели 2025'!K31+'1 пол. 2026'!K31-'1 пол. 2025'!K31,"н.д.")</x:f>
        <x:v>84432</x:v>
      </x:c>
      <x:c r="L31" s="64"/>
      <x:c r="M31" s="64"/>
      <x:c r="N31" s="64" t="n">
        <x:f>IF(COUNT('Фин.показатели 2025'!N31,'1 пол. 2026'!N31,'1 пол. 2025'!N31)=3,'Фин.показатели 2025'!N31+'1 пол. 2026'!N31-'1 пол. 2025'!N31,"н.д.")</x:f>
        <x:v>31192.873</x:v>
      </x:c>
      <x:c r="O31" s="64" t="n">
        <x:f>'1 пол. 2026'!O31</x:f>
        <x:v>189728.624</x:v>
      </x:c>
      <x:c r="P31" s="65"/>
      <x:c r="Q31" s="65"/>
      <x:c r="R31" s="80" t="n">
        <x:f>IF(ISNUMBER('1 пол. 2026'!R31),'1 пол. 2026'!R31,"н.д.")</x:f>
        <x:v>276677.038</x:v>
      </x:c>
      <x:c r="S31" s="66" t="n">
        <x:f>'1 пол. 2026'!S31</x:f>
        <x:v>42553.313</x:v>
      </x:c>
      <x:c r="T31" s="66" t="n">
        <x:f>'1 пол. 2026'!T31</x:f>
        <x:v>100030.371</x:v>
      </x:c>
      <x:c r="U31" s="66" t="n">
        <x:f>'1 пол. 2026'!U31</x:f>
        <x:v>25172.516</x:v>
      </x:c>
      <x:c r="V31" s="66"/>
      <x:c r="W31" s="80" t="str">
        <x:f>IF(ISNUMBER('1 пол. 2026'!W31),'1 пол. 2026'!W31,"н.д.")</x:f>
        <x:v>н.д.</x:v>
      </x:c>
      <x:c r="X31" s="64" t="n">
        <x:f>'1 пол. 2026'!X31</x:f>
        <x:v>-159265.87</x:v>
      </x:c>
      <x:c r="Y31" s="66" t="n">
        <x:f>'1 пол. 2026'!Y31</x:f>
        <x:v>117411.168</x:v>
      </x:c>
      <x:c r="Z31" s="80" t="str">
        <x:f>IF(COUNT('Фин.показатели 2025'!Z31,'1 пол. 2026'!Z31,'1 пол. 2025'!Z31)=3,'Фин.показатели 2025'!Z31+'1 пол. 2026'!Z31-'1 пол. 2025'!Z31,"н.д.")</x:f>
        <x:v>н.д.</x:v>
      </x:c>
      <x:c r="AA31" s="80" t="str">
        <x:f>IF(COUNT('Фин.показатели 2025'!AA31,'1 пол. 2026'!AA31,'1 пол. 2025'!AA31)=3,'Фин.показатели 2025'!AA31+'1 пол. 2026'!AA31-'1 пол. 2025'!AA31,"н.д.")</x:f>
        <x:v>н.д.</x:v>
      </x:c>
      <x:c r="AB31" s="66"/>
      <x:c r="AC31" s="66"/>
      <x:c r="AD31" s="66"/>
      <x:c r="AE31" s="66"/>
      <x:c r="AF31" s="66" t="n">
        <x:f>IF(COUNT('Фин.показатели 2025'!AF31,'1 пол. 2026'!AF31,'1 пол. 2025'!AF31)=3,'Фин.показатели 2025'!AF31+'1 пол. 2026'!AF31-'1 пол. 2025'!AF31,"н.д.")</x:f>
        <x:v>155.3279999999999</x:v>
      </x:c>
      <x:c r="AG31" s="80" t="n">
        <x:f>IF(COUNT('Фин.показатели 2025'!AG31,'1 пол. 2026'!AG31,'1 пол. 2025'!AG31)=3,'Фин.показатели 2025'!AG31+'1 пол. 2026'!AG31-'1 пол. 2025'!AG31,"н.д.")</x:f>
        <x:v>119209.51300000004</x:v>
      </x:c>
      <x:c r="AH31" s="64"/>
      <x:c r="AI31" s="80" t="n">
        <x:f>IF('1 пол. 2026'!AI31="н.п.","н.п.",IF(COUNT('Фин.показатели 2025'!AI31,'1 пол. 2026'!AI31,'1 пол. 2025'!AI31)=3,'Фин.показатели 2025'!AI31+'1 пол. 2026'!AI31-'1 пол. 2025'!AI31,"н.д."))</x:f>
        <x:v>84432</x:v>
      </x:c>
      <x:c r="AJ31" s="64"/>
      <x:c r="AK31" s="80" t="str">
        <x:f>IF('1 пол. 2026'!AK31="н.п.","н.п.",IF(COUNT('Фин.показатели 2025'!AK31,'1 пол. 2026'!AK31,'1 пол. 2025'!AK31)=3,'Фин.показатели 2025'!AK31+'1 пол. 2026'!AK31-'1 пол. 2025'!AK31,"н.д."))</x:f>
        <x:v>н.п.</x:v>
      </x:c>
      <x:c r="AL31" s="64"/>
      <x:c r="AM31" s="80" t="str">
        <x:f>IF(COUNT('Фин.показатели 2025'!AM31,'1 пол. 2026'!AM31,'1 пол. 2025'!AM31)=3,'Фин.показатели 2025'!AM31+'1 пол. 2026'!AM31-'1 пол. 2025'!AM31,"н.д.")</x:f>
        <x:v>н.д.</x:v>
      </x:c>
      <x:c r="AN31" s="64"/>
      <x:c r="AO31" s="64"/>
      <x:c r="AP31" s="80" t="str">
        <x:f>IF(COUNT('Фин.показатели 2025'!AP31,'1 пол. 2026'!AP31,'1 пол. 2025'!AP31)=3,'Фин.показатели 2025'!AP31+'1 пол. 2026'!AP31-'1 пол. 2025'!AP31,"н.д.")</x:f>
        <x:v>н.д.</x:v>
      </x:c>
      <x:c r="AQ31" s="64"/>
      <x:c r="AR31" s="80" t="str">
        <x:f>IF(COUNT('Фин.показатели 2025'!AR31,'1 пол. 2026'!AR31,'1 пол. 2025'!AR31)=3,'Фин.показатели 2025'!AR31+'1 пол. 2026'!AR31-'1 пол. 2025'!AR31,"н.д.")</x:f>
        <x:v>н.д.</x:v>
      </x:c>
      <x:c r="AS31" s="65"/>
      <x:c r="AT31" s="65"/>
      <x:c r="AU31" s="65"/>
      <x:c r="AV31" s="65"/>
      <x:c r="AW31" s="65"/>
      <x:c r="AX31" s="65"/>
      <x:c r="AY31" s="65"/>
      <x:c r="AZ31" s="65"/>
      <x:c r="BA31" s="65"/>
      <x:c r="BB31" s="65"/>
      <x:c r="BC31" s="67" t="str">
        <x:v>ЧД IFRS 16 276 677,038 — остаток на 30.06.2026</x:v>
      </x:c>
      <x:c r="BD31" s="67" t="str">
        <x:v>1 пол. 2026!BD31</x:v>
      </x:c>
      <x:c r="BE31" s="67" t="str">
        <x:v>ЧД IAS 17 117 411,168 — остаток на 30.06.2026</x:v>
      </x:c>
      <x:c r="BF31" s="67" t="str">
        <x:v>Фин.показатели 2025!BF31; 1 пол. 2025!BF31; 1 пол. 2026!BF31</x:v>
      </x:c>
      <x:c r="BG31" s="67" t="str">
        <x:v>Фин.показатели 2025!BG31; 1 пол. 2025!BG31; 1 пол. 2026!BG31</x:v>
      </x:c>
      <x:c r="BH31" s="67" t="str">
        <x:v>EBITDA IAS 17 TTM = 83 684 + 39 279 − 38 531 = 84 432</x:v>
      </x:c>
      <x:c r="BI31" s="67" t="str">
        <x:v>Фин.показатели 2025!BI31; 1 пол. 2025!BI31; 1 пол. 2026!BI31</x:v>
      </x:c>
      <x:c r="BJ31" s="67" t="str">
        <x:v>Фин.показатели 2025!BJ31; 1 пол. 2025!BJ31; 1 пол. 2026!BJ31</x:v>
      </x:c>
      <x:c r="BK31" s="67" t="str">
        <x:v>Фин.показатели 2025!BK31; 1 пол. 2025!BK31; 1 пол. 2026!BK31</x:v>
      </x:c>
      <x:c r="BL31" s="67" t="str">
        <x:v>Фин.показатели 2025!BL31; 1 пол. 2025!BL31; 1 пол. 2026!BL31</x:v>
      </x:c>
      <x:c r="BM31" s="67" t="str">
        <x:v>Капитал акционеров 189 728,624; НКД 991,707; общий капитал 190 720,331 — остатки на 30.06.2026</x:v>
      </x:c>
      <x:c r="BN31" s="65" t="n">
        <x:f>'1 пол. 2026'!BN31</x:f>
        <x:v>159265.87</x:v>
      </x:c>
      <x:c r="BO31" s="65" t="n">
        <x:f>'1 пол. 2026'!BO31</x:f>
        <x:v>991.707</x:v>
      </x:c>
      <x:c r="BP31" s="65"/>
      <x:c r="BQ31" s="83" t="n">
        <x:f>'1 пол. 2026'!BQ31</x:f>
        <x:v>190720.331</x:v>
      </x:c>
      <x:c r="BR31" s="67" t="str">
        <x:v>Потоки TTM = 2025 + 1П2026 − 1П2025. ЧД, аренда и капитал — остатки на 30.06.2026. Обе раскрытые версии EBITDA сохранены: IFRS 16 (скорректированная) и IAS 17.</x:v>
      </x:c>
      <x:c r="BS31" s="65"/>
      <x:c r="BT31" s="65"/>
      <x:c r="BU31" s="65"/>
      <x:c r="BV31" s="65"/>
      <x:c r="BW31" s="65"/>
      <x:c r="BX31" s="65"/>
      <x:c r="BY31" s="65"/>
      <x:c r="BZ31" s="65"/>
      <x:c r="CA31" s="65"/>
      <x:c r="CB31" s="65"/>
      <x:c r="CC31" s="65"/>
      <x:c r="CD31" s="65"/>
      <x:c r="CE31" s="65"/>
      <x:c r="CF31" s="65"/>
      <x:c r="CG31" s="65"/>
      <x:c r="CH31" s="65" t="n">
        <x:f>'1 пол. 2026'!CH31</x:f>
        <x:v>18497.093</x:v>
      </x:c>
      <x:c r="CI31" s="65" t="n">
        <x:f>'1 пол. 2026'!CI31</x:f>
        <x:v>140768.777</x:v>
      </x:c>
      <x:c r="CJ31" s="65"/>
      <x:c r="CK31" s="65"/>
      <x:c r="CL31" s="65"/>
      <x:c r="CM31" s="65"/>
      <x:c r="CN31" s="65"/>
    </x:row>
    <x:row r="32" ht="16.5">
      <x:c r="B32" s="3">
        <x:v>26</x:v>
      </x:c>
      <x:c r="C32" s="3" t="s">
        <x:v>106</x:v>
      </x:c>
      <x:c r="E32" s="64" t="n">
        <x:f>'1 пол. 2026'!E32</x:f>
        <x:v>103921</x:v>
      </x:c>
      <x:c r="F32" s="64"/>
      <x:c r="G32" s="64"/>
      <x:c r="H32" s="64" t="n">
        <x:f>IF(COUNT('Фин.показатели 2025'!H32,'1 пол. 2026'!H32,'1 пол. 2025'!H32)=3,'Фин.показатели 2025'!H32+'1 пол. 2026'!H32-'1 пол. 2025'!H32,"н.д.")</x:f>
        <x:v>134206.202975548</x:v>
      </x:c>
      <x:c r="I32" s="64" t="str">
        <x:f>IF(COUNT('Фин.показатели 2025'!I32,'1 пол. 2026'!I32,'1 пол. 2025'!I32)=3,'Фин.показатели 2025'!I32+'1 пол. 2026'!I32-'1 пол. 2025'!I32,"н.д.")</x:f>
        <x:v>н.д.</x:v>
      </x:c>
      <x:c r="J32" s="64"/>
      <x:c r="K32" s="64"/>
      <x:c r="L32" s="64"/>
      <x:c r="M32" s="64"/>
      <x:c r="N32" s="64" t="n">
        <x:f>IF(COUNT('Фин.показатели 2025'!N32,'1 пол. 2026'!N32,'1 пол. 2025'!N32)=3,'Фин.показатели 2025'!N32+'1 пол. 2026'!N32-'1 пол. 2025'!N32,"н.д.")</x:f>
        <x:v>4210.645601026998</x:v>
      </x:c>
      <x:c r="O32" s="64" t="n">
        <x:f>'1 пол. 2026'!O32</x:f>
        <x:v>364723</x:v>
      </x:c>
      <x:c r="P32" s="65"/>
      <x:c r="Q32" s="65"/>
      <x:c r="R32" s="80" t="n">
        <x:f>IF(ISNUMBER('1 пол. 2026'!R32),'1 пол. 2026'!R32,"н.д.")</x:f>
        <x:v>103921</x:v>
      </x:c>
      <x:c r="S32" s="66" t="n">
        <x:f>'1 пол. 2026'!S32</x:f>
        <x:v>20992</x:v>
      </x:c>
      <x:c r="T32" s="66" t="n">
        <x:f>'1 пол. 2026'!T32</x:f>
        <x:v>132346</x:v>
      </x:c>
      <x:c r="U32" s="66" t="n">
        <x:f>'1 пол. 2026'!U32</x:f>
        <x:v>51441</x:v>
      </x:c>
      <x:c r="V32" s="66"/>
      <x:c r="W32" s="80" t="str">
        <x:f>IF(ISNUMBER('1 пол. 2026'!W32),'1 пол. 2026'!W32,"н.д.")</x:f>
        <x:v>н.д.</x:v>
      </x:c>
      <x:c r="X32" s="64"/>
      <x:c r="Y32" s="66" t="str">
        <x:f>'1 пол. 2026'!Y32</x:f>
        <x:v>н.п.</x:v>
      </x:c>
      <x:c r="Z32" s="80" t="str">
        <x:f>IF(COUNT('Фин.показатели 2025'!Z32,'1 пол. 2026'!Z32,'1 пол. 2025'!Z32)=3,'Фин.показатели 2025'!Z32+'1 пол. 2026'!Z32-'1 пол. 2025'!Z32,"н.д.")</x:f>
        <x:v>н.д.</x:v>
      </x:c>
      <x:c r="AA32" s="80" t="str">
        <x:f>IF(COUNT('Фин.показатели 2025'!AA32,'1 пол. 2026'!AA32,'1 пол. 2025'!AA32)=3,'Фин.показатели 2025'!AA32+'1 пол. 2026'!AA32-'1 пол. 2025'!AA32,"н.д.")</x:f>
        <x:v>н.д.</x:v>
      </x:c>
      <x:c r="AB32" s="66"/>
      <x:c r="AC32" s="66"/>
      <x:c r="AD32" s="66"/>
      <x:c r="AE32" s="66"/>
      <x:c r="AF32" s="66"/>
      <x:c r="AG32" s="80" t="str">
        <x:f>IF(COUNT('Фин.показатели 2025'!AG32,'1 пол. 2026'!AG32,'1 пол. 2025'!AG32)=3,'Фин.показатели 2025'!AG32+'1 пол. 2026'!AG32-'1 пол. 2025'!AG32,"н.д.")</x:f>
        <x:v>н.д.</x:v>
      </x:c>
      <x:c r="AH32" s="64"/>
      <x:c r="AI32" s="80" t="str">
        <x:f>IF('1 пол. 2026'!AI32="н.п.","н.п.",IF(COUNT('Фин.показатели 2025'!AI32,'1 пол. 2026'!AI32,'1 пол. 2025'!AI32)=3,'Фин.показатели 2025'!AI32+'1 пол. 2026'!AI32-'1 пол. 2025'!AI32,"н.д."))</x:f>
        <x:v>н.п.</x:v>
      </x:c>
      <x:c r="AJ32" s="64"/>
      <x:c r="AK32" s="80" t="str">
        <x:f>IF('1 пол. 2026'!AK32="н.п.","н.п.",IF(COUNT('Фин.показатели 2025'!AK32,'1 пол. 2026'!AK32,'1 пол. 2025'!AK32)=3,'Фин.показатели 2025'!AK32+'1 пол. 2026'!AK32-'1 пол. 2025'!AK32,"н.д."))</x:f>
        <x:v>н.п.</x:v>
      </x:c>
      <x:c r="AL32" s="64"/>
      <x:c r="AM32" s="80" t="str">
        <x:f>IF(COUNT('Фин.показатели 2025'!AM32,'1 пол. 2026'!AM32,'1 пол. 2025'!AM32)=3,'Фин.показатели 2025'!AM32+'1 пол. 2026'!AM32-'1 пол. 2025'!AM32,"н.д.")</x:f>
        <x:v>н.д.</x:v>
      </x:c>
      <x:c r="AN32" s="64"/>
      <x:c r="AO32" s="64"/>
      <x:c r="AP32" s="80" t="str">
        <x:f>IF(COUNT('Фин.показатели 2025'!AP32,'1 пол. 2026'!AP32,'1 пол. 2025'!AP32)=3,'Фин.показатели 2025'!AP32+'1 пол. 2026'!AP32-'1 пол. 2025'!AP32,"н.д.")</x:f>
        <x:v>н.д.</x:v>
      </x:c>
      <x:c r="AQ32" s="64"/>
      <x:c r="AR32" s="80" t="str">
        <x:f>IF(COUNT('Фин.показатели 2025'!AR32,'1 пол. 2026'!AR32,'1 пол. 2025'!AR32)=3,'Фин.показатели 2025'!AR32+'1 пол. 2026'!AR32-'1 пол. 2025'!AR32,"н.д.")</x:f>
        <x:v>н.д.</x:v>
      </x:c>
      <x:c r="AS32" s="65"/>
      <x:c r="AT32" s="65"/>
      <x:c r="AU32" s="65"/>
      <x:c r="AV32" s="65"/>
      <x:c r="AW32" s="65"/>
      <x:c r="AX32" s="65"/>
      <x:c r="AY32" s="65"/>
      <x:c r="AZ32" s="65"/>
      <x:c r="BA32" s="65"/>
      <x:c r="BB32" s="65"/>
      <x:c r="BC32" s="67" t="str">
        <x:v>1 пол. 2026!BC32</x:v>
      </x:c>
      <x:c r="BD32" s="67" t="str">
        <x:v>1 пол. 2026!BD32</x:v>
      </x:c>
      <x:c r="BE32" s="67" t="str">
        <x:v>1 пол. 2026!BE32</x:v>
      </x:c>
      <x:c r="BF32" s="67" t="str">
        <x:v>Фин.показатели 2025!BF32; 1 пол. 2025!BF32; 1 пол. 2026!BF32</x:v>
      </x:c>
      <x:c r="BG32" s="67" t="str">
        <x:v>Фин.показатели 2025!BG32; 1 пол. 2025!BG32; 1 пол. 2026!BG32</x:v>
      </x:c>
      <x:c r="BH32" s="67" t="str">
        <x:v>Фин.показатели 2025!BH32; 1 пол. 2025!BH32; 1 пол. 2026!BH32</x:v>
      </x:c>
      <x:c r="BI32" s="67" t="str">
        <x:v>Фин.показатели 2025!BI32; 1 пол. 2025!BI32; 1 пол. 2026!BI32</x:v>
      </x:c>
      <x:c r="BJ32" s="67" t="str">
        <x:v>Фин.показатели 2025!BJ32; 1 пол. 2025!BJ32; 1 пол. 2026!BJ32</x:v>
      </x:c>
      <x:c r="BK32" s="67" t="str">
        <x:v>Фин.показатели 2025!BK32; 1 пол. 2025!BK32; 1 пол. 2026!BK32</x:v>
      </x:c>
      <x:c r="BL32" s="67" t="str">
        <x:v>Фин.показатели 2025!BL32; 1 пол. 2025!BL32; 1 пол. 2026!BL32</x:v>
      </x:c>
      <x:c r="BM32" s="67" t="str">
        <x:v>1 пол. 2026!BM32</x:v>
      </x:c>
      <x:c r="BN32" s="65" t="n">
        <x:f>'1 пол. 2026'!BN32</x:f>
        <x:v>2024</x:v>
      </x:c>
      <x:c r="BO32" s="65" t="n">
        <x:f>'1 пол. 2026'!BO32</x:f>
        <x:v>10417</x:v>
      </x:c>
      <x:c r="BP32" s="65"/>
      <x:c r="BQ32" s="65"/>
      <x:c r="BR32" s="67" t="str"/>
      <x:c r="BS32" s="65"/>
      <x:c r="BT32" s="65"/>
      <x:c r="BU32" s="65"/>
      <x:c r="BV32" s="65"/>
      <x:c r="BW32" s="65"/>
      <x:c r="BX32" s="65"/>
      <x:c r="BY32" s="65"/>
      <x:c r="BZ32" s="65"/>
      <x:c r="CA32" s="65"/>
      <x:c r="CB32" s="65"/>
      <x:c r="CC32" s="65"/>
      <x:c r="CD32" s="65"/>
      <x:c r="CE32" s="65"/>
      <x:c r="CF32" s="65"/>
      <x:c r="CG32" s="65"/>
      <x:c r="CH32" s="65"/>
      <x:c r="CI32" s="65"/>
      <x:c r="CJ32" s="65"/>
      <x:c r="CK32" s="65"/>
      <x:c r="CL32" s="65"/>
      <x:c r="CM32" s="65"/>
      <x:c r="CN32" s="65"/>
    </x:row>
    <x:row r="33" ht="16.5">
      <x:c r="B33" s="3">
        <x:v>27</x:v>
      </x:c>
      <x:c r="C33" s="3" t="s">
        <x:v>108</x:v>
      </x:c>
      <x:c r="E33" s="64"/>
      <x:c r="F33" s="64"/>
      <x:c r="G33" s="64"/>
      <x:c r="H33" s="64"/>
      <x:c r="I33" s="64"/>
      <x:c r="J33" s="64"/>
      <x:c r="K33" s="64"/>
      <x:c r="L33" s="64"/>
      <x:c r="M33" s="64"/>
      <x:c r="N33" s="64" t="n">
        <x:f>IF(COUNT('Фин.показатели 2025'!N33,'1 пол. 2026'!N33,'1 пол. 2025'!N33)=3,'Фин.показатели 2025'!N33+'1 пол. 2026'!N33-'1 пол. 2025'!N33,"н.д.")</x:f>
        <x:v>29686</x:v>
      </x:c>
      <x:c r="O33" s="64" t="n">
        <x:f>'1 пол. 2026'!O33</x:f>
        <x:v>218353</x:v>
      </x:c>
      <x:c r="P33" s="65"/>
      <x:c r="Q33" s="65"/>
      <x:c r="R33" s="80" t="str">
        <x:f>IF(ISNUMBER('1 пол. 2026'!R33),'1 пол. 2026'!R33,"н.д.")</x:f>
        <x:v>н.д.</x:v>
      </x:c>
      <x:c r="S33" s="66"/>
      <x:c r="T33" s="66"/>
      <x:c r="U33" s="66"/>
      <x:c r="V33" s="66"/>
      <x:c r="W33" s="80" t="str">
        <x:f>IF(ISNUMBER('1 пол. 2026'!W33),'1 пол. 2026'!W33,"н.д.")</x:f>
        <x:v>н.д.</x:v>
      </x:c>
      <x:c r="X33" s="64"/>
      <x:c r="Y33" s="66" t="str">
        <x:f>'1 пол. 2026'!Y33</x:f>
        <x:v>н.п.</x:v>
      </x:c>
      <x:c r="Z33" s="80" t="str">
        <x:f>IF(COUNT('Фин.показатели 2025'!Z33,'1 пол. 2026'!Z33,'1 пол. 2025'!Z33)=3,'Фин.показатели 2025'!Z33+'1 пол. 2026'!Z33-'1 пол. 2025'!Z33,"н.д.")</x:f>
        <x:v>н.д.</x:v>
      </x:c>
      <x:c r="AA33" s="80" t="str">
        <x:f>IF(COUNT('Фин.показатели 2025'!AA33,'1 пол. 2026'!AA33,'1 пол. 2025'!AA33)=3,'Фин.показатели 2025'!AA33+'1 пол. 2026'!AA33-'1 пол. 2025'!AA33,"н.д.")</x:f>
        <x:v>н.д.</x:v>
      </x:c>
      <x:c r="AB33" s="66"/>
      <x:c r="AC33" s="66"/>
      <x:c r="AD33" s="66"/>
      <x:c r="AE33" s="66"/>
      <x:c r="AF33" s="66"/>
      <x:c r="AG33" s="80" t="str">
        <x:f>IF(COUNT('Фин.показатели 2025'!AG33,'1 пол. 2026'!AG33,'1 пол. 2025'!AG33)=3,'Фин.показатели 2025'!AG33+'1 пол. 2026'!AG33-'1 пол. 2025'!AG33,"н.д.")</x:f>
        <x:v>н.д.</x:v>
      </x:c>
      <x:c r="AH33" s="64"/>
      <x:c r="AI33" s="80" t="str">
        <x:f>IF('1 пол. 2026'!AI33="н.п.","н.п.",IF(COUNT('Фин.показатели 2025'!AI33,'1 пол. 2026'!AI33,'1 пол. 2025'!AI33)=3,'Фин.показатели 2025'!AI33+'1 пол. 2026'!AI33-'1 пол. 2025'!AI33,"н.д."))</x:f>
        <x:v>н.п.</x:v>
      </x:c>
      <x:c r="AJ33" s="64"/>
      <x:c r="AK33" s="80" t="str">
        <x:f>IF('1 пол. 2026'!AK33="н.п.","н.п.",IF(COUNT('Фин.показатели 2025'!AK33,'1 пол. 2026'!AK33,'1 пол. 2025'!AK33)=3,'Фин.показатели 2025'!AK33+'1 пол. 2026'!AK33-'1 пол. 2025'!AK33,"н.д."))</x:f>
        <x:v>н.п.</x:v>
      </x:c>
      <x:c r="AL33" s="64"/>
      <x:c r="AM33" s="80" t="str">
        <x:f>IF(COUNT('Фин.показатели 2025'!AM33,'1 пол. 2026'!AM33,'1 пол. 2025'!AM33)=3,'Фин.показатели 2025'!AM33+'1 пол. 2026'!AM33-'1 пол. 2025'!AM33,"н.д.")</x:f>
        <x:v>н.д.</x:v>
      </x:c>
      <x:c r="AN33" s="64"/>
      <x:c r="AO33" s="64"/>
      <x:c r="AP33" s="80" t="str">
        <x:f>IF(COUNT('Фин.показатели 2025'!AP33,'1 пол. 2026'!AP33,'1 пол. 2025'!AP33)=3,'Фин.показатели 2025'!AP33+'1 пол. 2026'!AP33-'1 пол. 2025'!AP33,"н.д.")</x:f>
        <x:v>н.д.</x:v>
      </x:c>
      <x:c r="AQ33" s="64"/>
      <x:c r="AR33" s="80" t="str">
        <x:f>IF(COUNT('Фин.показатели 2025'!AR33,'1 пол. 2026'!AR33,'1 пол. 2025'!AR33)=3,'Фин.показатели 2025'!AR33+'1 пол. 2026'!AR33-'1 пол. 2025'!AR33,"н.д.")</x:f>
        <x:v>н.д.</x:v>
      </x:c>
      <x:c r="AS33" s="65"/>
      <x:c r="AT33" s="65"/>
      <x:c r="AU33" s="65"/>
      <x:c r="AV33" s="65"/>
      <x:c r="AW33" s="65"/>
      <x:c r="AX33" s="65"/>
      <x:c r="AY33" s="65"/>
      <x:c r="AZ33" s="65"/>
      <x:c r="BA33" s="65"/>
      <x:c r="BB33" s="65"/>
      <x:c r="BC33" s="67" t="str">
        <x:v>1 пол. 2026!BC33</x:v>
      </x:c>
      <x:c r="BD33" s="67" t="str">
        <x:v>1 пол. 2026!BD33</x:v>
      </x:c>
      <x:c r="BE33" s="67" t="str">
        <x:v>1 пол. 2026!BE33</x:v>
      </x:c>
      <x:c r="BF33" s="67" t="str">
        <x:v>Фин.показатели 2025!BF33; 1 пол. 2025!BF33; 1 пол. 2026!BF33</x:v>
      </x:c>
      <x:c r="BG33" s="67" t="str">
        <x:v>Фин.показатели 2025!BG33; 1 пол. 2025!BG33; 1 пол. 2026!BG33</x:v>
      </x:c>
      <x:c r="BH33" s="67" t="str">
        <x:v>Фин.показатели 2025!BH33; 1 пол. 2025!BH33; 1 пол. 2026!BH33</x:v>
      </x:c>
      <x:c r="BI33" s="67" t="str">
        <x:v>Фин.показатели 2025!BI33; 1 пол. 2025!BI33; 1 пол. 2026!BI33</x:v>
      </x:c>
      <x:c r="BJ33" s="67" t="str">
        <x:v>Фин.показатели 2025!BJ33; 1 пол. 2025!BJ33; 1 пол. 2026!BJ33</x:v>
      </x:c>
      <x:c r="BK33" s="67" t="str">
        <x:v>Фин.показатели 2025!BK33; 1 пол. 2025!BK33; 1 пол. 2026!BK33</x:v>
      </x:c>
      <x:c r="BL33" s="67" t="str">
        <x:v>Фин.показатели 2025!BL33; 1 пол. 2025!BL33; 1 пол. 2026!BL33</x:v>
      </x:c>
      <x:c r="BM33" s="67" t="str">
        <x:v>1 пол. 2026!BM33</x:v>
      </x:c>
      <x:c r="BN33" s="65"/>
      <x:c r="BO33" s="65" t="n">
        <x:f>'1 пол. 2026'!BO33</x:f>
        <x:v>41</x:v>
      </x:c>
      <x:c r="BP33" s="65"/>
      <x:c r="BQ33" s="65"/>
      <x:c r="BR33" s="67" t="str">
        <x:v> Банк: обычная выручка и EBITDA неприменимы; банковский аналог выручки не выбран.</x:v>
      </x:c>
      <x:c r="BS33" s="65"/>
      <x:c r="BT33" s="65"/>
      <x:c r="BU33" s="65"/>
      <x:c r="BV33" s="65"/>
      <x:c r="BW33" s="65"/>
      <x:c r="BX33" s="65"/>
      <x:c r="BY33" s="65"/>
      <x:c r="BZ33" s="65"/>
      <x:c r="CA33" s="65"/>
      <x:c r="CB33" s="65"/>
      <x:c r="CC33" s="65"/>
      <x:c r="CD33" s="65"/>
      <x:c r="CE33" s="65"/>
      <x:c r="CF33" s="65"/>
      <x:c r="CG33" s="65"/>
      <x:c r="CH33" s="65"/>
      <x:c r="CI33" s="65"/>
      <x:c r="CJ33" s="65"/>
      <x:c r="CK33" s="65"/>
      <x:c r="CL33" s="65"/>
      <x:c r="CM33" s="65"/>
      <x:c r="CN33" s="65"/>
    </x:row>
    <x:row r="34" ht="16.5">
      <x:c r="B34" s="3">
        <x:v>28</x:v>
      </x:c>
      <x:c r="C34" s="3" t="s">
        <x:v>109</x:v>
      </x:c>
      <x:c r="E34" s="64" t="n">
        <x:f>'1 пол. 2026'!E34</x:f>
        <x:v>112116</x:v>
      </x:c>
      <x:c r="F34" s="64"/>
      <x:c r="G34" s="64"/>
      <x:c r="H34" s="64" t="n">
        <x:f>IF(COUNT('Фин.показатели 2025'!H34,'1 пол. 2026'!H34,'1 пол. 2025'!H34)=3,'Фин.показатели 2025'!H34+'1 пол. 2026'!H34-'1 пол. 2025'!H34,"н.д.")</x:f>
        <x:v>191144</x:v>
      </x:c>
      <x:c r="I34" s="64"/>
      <x:c r="J34" s="64" t="n">
        <x:f>IF(COUNT('Фин.показатели 2025'!J34,'1 пол. 2026'!J34,'1 пол. 2025'!J34)=3,'Фин.показатели 2025'!J34+'1 пол. 2026'!J34-'1 пол. 2025'!J34,"н.д.")</x:f>
        <x:v>35077</x:v>
      </x:c>
      <x:c r="K34" s="64"/>
      <x:c r="L34" s="64"/>
      <x:c r="M34" s="64"/>
      <x:c r="N34" s="64" t="n">
        <x:f>IF(COUNT('Фин.показатели 2025'!N34,'1 пол. 2026'!N34,'1 пол. 2025'!N34)=3,'Фин.показатели 2025'!N34+'1 пол. 2026'!N34-'1 пол. 2025'!N34,"н.д.")</x:f>
        <x:v>-13913</x:v>
      </x:c>
      <x:c r="O34" s="64" t="n">
        <x:f>'1 пол. 2026'!O34</x:f>
        <x:v>396998</x:v>
      </x:c>
      <x:c r="P34" s="65"/>
      <x:c r="Q34" s="65"/>
      <x:c r="R34" s="80" t="str">
        <x:f>IF(ISNUMBER('1 пол. 2026'!R34),'1 пол. 2026'!R34,"н.д.")</x:f>
        <x:v>н.д.</x:v>
      </x:c>
      <x:c r="S34" s="66"/>
      <x:c r="T34" s="66"/>
      <x:c r="U34" s="66"/>
      <x:c r="V34" s="66"/>
      <x:c r="W34" s="80" t="str">
        <x:f>IF(ISNUMBER('1 пол. 2026'!W34),'1 пол. 2026'!W34,"н.д.")</x:f>
        <x:v>н.д.</x:v>
      </x:c>
      <x:c r="X34" s="64"/>
      <x:c r="Y34" s="66" t="str">
        <x:f>'1 пол. 2026'!Y34</x:f>
        <x:v>н.п.</x:v>
      </x:c>
      <x:c r="Z34" s="80" t="str">
        <x:f>IF(COUNT('Фин.показатели 2025'!Z34,'1 пол. 2026'!Z34,'1 пол. 2025'!Z34)=3,'Фин.показатели 2025'!Z34+'1 пол. 2026'!Z34-'1 пол. 2025'!Z34,"н.д.")</x:f>
        <x:v>н.д.</x:v>
      </x:c>
      <x:c r="AA34" s="80" t="str">
        <x:f>IF(COUNT('Фин.показатели 2025'!AA34,'1 пол. 2026'!AA34,'1 пол. 2025'!AA34)=3,'Фин.показатели 2025'!AA34+'1 пол. 2026'!AA34-'1 пол. 2025'!AA34,"н.д.")</x:f>
        <x:v>н.д.</x:v>
      </x:c>
      <x:c r="AB34" s="66"/>
      <x:c r="AC34" s="66"/>
      <x:c r="AD34" s="66"/>
      <x:c r="AE34" s="66"/>
      <x:c r="AF34" s="66"/>
      <x:c r="AG34" s="80" t="str">
        <x:f>IF(COUNT('Фин.показатели 2025'!AG34,'1 пол. 2026'!AG34,'1 пол. 2025'!AG34)=3,'Фин.показатели 2025'!AG34+'1 пол. 2026'!AG34-'1 пол. 2025'!AG34,"н.д.")</x:f>
        <x:v>н.д.</x:v>
      </x:c>
      <x:c r="AH34" s="64"/>
      <x:c r="AI34" s="80" t="str">
        <x:f>IF('1 пол. 2026'!AI34="н.п.","н.п.",IF(COUNT('Фин.показатели 2025'!AI34,'1 пол. 2026'!AI34,'1 пол. 2025'!AI34)=3,'Фин.показатели 2025'!AI34+'1 пол. 2026'!AI34-'1 пол. 2025'!AI34,"н.д."))</x:f>
        <x:v>н.п.</x:v>
      </x:c>
      <x:c r="AJ34" s="64"/>
      <x:c r="AK34" s="80" t="str">
        <x:f>IF('1 пол. 2026'!AK34="н.п.","н.п.",IF(COUNT('Фин.показатели 2025'!AK34,'1 пол. 2026'!AK34,'1 пол. 2025'!AK34)=3,'Фин.показатели 2025'!AK34+'1 пол. 2026'!AK34-'1 пол. 2025'!AK34,"н.д."))</x:f>
        <x:v>н.п.</x:v>
      </x:c>
      <x:c r="AL34" s="64"/>
      <x:c r="AM34" s="80" t="str">
        <x:f>IF(COUNT('Фин.показатели 2025'!AM34,'1 пол. 2026'!AM34,'1 пол. 2025'!AM34)=3,'Фин.показатели 2025'!AM34+'1 пол. 2026'!AM34-'1 пол. 2025'!AM34,"н.д.")</x:f>
        <x:v>н.д.</x:v>
      </x:c>
      <x:c r="AN34" s="64"/>
      <x:c r="AO34" s="64"/>
      <x:c r="AP34" s="80" t="str">
        <x:f>IF(COUNT('Фин.показатели 2025'!AP34,'1 пол. 2026'!AP34,'1 пол. 2025'!AP34)=3,'Фин.показатели 2025'!AP34+'1 пол. 2026'!AP34-'1 пол. 2025'!AP34,"н.д.")</x:f>
        <x:v>н.д.</x:v>
      </x:c>
      <x:c r="AQ34" s="64"/>
      <x:c r="AR34" s="80" t="str">
        <x:f>IF(COUNT('Фин.показатели 2025'!AR34,'1 пол. 2026'!AR34,'1 пол. 2025'!AR34)=3,'Фин.показатели 2025'!AR34+'1 пол. 2026'!AR34-'1 пол. 2025'!AR34,"н.д.")</x:f>
        <x:v>н.д.</x:v>
      </x:c>
      <x:c r="AS34" s="65"/>
      <x:c r="AT34" s="65"/>
      <x:c r="AU34" s="65"/>
      <x:c r="AV34" s="65"/>
      <x:c r="AW34" s="65"/>
      <x:c r="AX34" s="65"/>
      <x:c r="AY34" s="65"/>
      <x:c r="AZ34" s="65"/>
      <x:c r="BA34" s="65"/>
      <x:c r="BB34" s="65"/>
      <x:c r="BC34" s="67" t="str">
        <x:v>1 пол. 2026!BC34</x:v>
      </x:c>
      <x:c r="BD34" s="67" t="str">
        <x:v>1 пол. 2026!BD34</x:v>
      </x:c>
      <x:c r="BE34" s="67" t="str">
        <x:v>1 пол. 2026!BE34</x:v>
      </x:c>
      <x:c r="BF34" s="67" t="str">
        <x:v>Фин.показатели 2025!BF34; 1 пол. 2025!BF34; 1 пол. 2026!BF34</x:v>
      </x:c>
      <x:c r="BG34" s="67" t="str">
        <x:v>Фин.показатели 2025!BG34; 1 пол. 2025!BG34; 1 пол. 2026!BG34</x:v>
      </x:c>
      <x:c r="BH34" s="67" t="str">
        <x:v>Фин.показатели 2025!BH34; 1 пол. 2025!BH34; 1 пол. 2026!BH34</x:v>
      </x:c>
      <x:c r="BI34" s="67" t="str">
        <x:v>Фин.показатели 2025!BI34; 1 пол. 2025!BI34; 1 пол. 2026!BI34</x:v>
      </x:c>
      <x:c r="BJ34" s="67" t="str">
        <x:v>Фин.показатели 2025!BJ34; 1 пол. 2025!BJ34; 1 пол. 2026!BJ34</x:v>
      </x:c>
      <x:c r="BK34" s="67" t="str">
        <x:v>Фин.показатели 2025!BK34; 1 пол. 2025!BK34; 1 пол. 2026!BK34</x:v>
      </x:c>
      <x:c r="BL34" s="67" t="str">
        <x:v>Фин.показатели 2025!BL34; 1 пол. 2025!BL34; 1 пол. 2026!BL34</x:v>
      </x:c>
      <x:c r="BM34" s="67" t="str">
        <x:v>1 пол. 2026!BM34</x:v>
      </x:c>
      <x:c r="BN34" s="65"/>
      <x:c r="BO34" s="65" t="n">
        <x:f>'1 пол. 2026'!BO34</x:f>
        <x:v>259</x:v>
      </x:c>
      <x:c r="BP34" s="65"/>
      <x:c r="BQ34" s="65"/>
      <x:c r="BR34" s="67" t="str"/>
      <x:c r="BS34" s="65"/>
      <x:c r="BT34" s="65"/>
      <x:c r="BU34" s="65"/>
      <x:c r="BV34" s="65"/>
      <x:c r="BW34" s="65"/>
      <x:c r="BX34" s="65"/>
      <x:c r="BY34" s="65"/>
      <x:c r="BZ34" s="65"/>
      <x:c r="CA34" s="65"/>
      <x:c r="CB34" s="65"/>
      <x:c r="CC34" s="65"/>
      <x:c r="CD34" s="65"/>
      <x:c r="CE34" s="65"/>
      <x:c r="CF34" s="65"/>
      <x:c r="CG34" s="65"/>
      <x:c r="CH34" s="65"/>
      <x:c r="CI34" s="65"/>
      <x:c r="CJ34" s="65"/>
      <x:c r="CK34" s="65"/>
      <x:c r="CL34" s="65"/>
      <x:c r="CM34" s="65"/>
      <x:c r="CN34" s="65"/>
    </x:row>
    <x:row r="35" ht="16.5">
      <x:c r="B35" s="3">
        <x:v>29</x:v>
      </x:c>
      <x:c r="C35" s="3" t="s">
        <x:v>110</x:v>
      </x:c>
      <x:c r="E35" s="64"/>
      <x:c r="F35" s="64"/>
      <x:c r="G35" s="64"/>
      <x:c r="H35" s="64" t="n">
        <x:f>IF(COUNT('Фин.показатели 2025'!H35,'1 пол. 2026'!H35,'1 пол. 2025'!H35)=3,'Фин.показатели 2025'!H35+'1 пол. 2026'!H35-'1 пол. 2025'!H35,"н.д.")</x:f>
        <x:v>16570</x:v>
      </x:c>
      <x:c r="I35" s="64"/>
      <x:c r="J35" s="64" t="n">
        <x:f>IF(COUNT('Фин.показатели 2025'!J35,'1 пол. 2026'!J35,'1 пол. 2025'!J35)=3,'Фин.показатели 2025'!J35+'1 пол. 2026'!J35-'1 пол. 2025'!J35,"н.д.")</x:f>
        <x:v>4673</x:v>
      </x:c>
      <x:c r="K35" s="64"/>
      <x:c r="L35" s="64" t="str">
        <x:f>IF(COUNT('Фин.показатели 2025'!L35,'1 пол. 2026'!L35,'1 пол. 2025'!L35)=3,'Фин.показатели 2025'!L35+'1 пол. 2026'!L35-'1 пол. 2025'!L35,"н.д.")</x:f>
        <x:v>н.д.</x:v>
      </x:c>
      <x:c r="M35" s="64"/>
      <x:c r="N35" s="64" t="n">
        <x:f>IF(COUNT('Фин.показатели 2025'!N35,'1 пол. 2026'!N35,'1 пол. 2025'!N35)=3,'Фин.показатели 2025'!N35+'1 пол. 2026'!N35-'1 пол. 2025'!N35,"н.д.")</x:f>
        <x:v>3653</x:v>
      </x:c>
      <x:c r="O35" s="64" t="n">
        <x:f>'1 пол. 2026'!O35</x:f>
        <x:v>3671</x:v>
      </x:c>
      <x:c r="P35" s="65"/>
      <x:c r="Q35" s="65"/>
      <x:c r="R35" s="80" t="str">
        <x:f>IF(ISNUMBER('1 пол. 2026'!R35),'1 пол. 2026'!R35,"н.д.")</x:f>
        <x:v>н.д.</x:v>
      </x:c>
      <x:c r="S35" s="66"/>
      <x:c r="T35" s="66"/>
      <x:c r="U35" s="66"/>
      <x:c r="V35" s="66"/>
      <x:c r="W35" s="80" t="str">
        <x:f>IF(ISNUMBER('1 пол. 2026'!W35),'1 пол. 2026'!W35,"н.д.")</x:f>
        <x:v>н.д.</x:v>
      </x:c>
      <x:c r="X35" s="64"/>
      <x:c r="Y35" s="66" t="str">
        <x:f>'1 пол. 2026'!Y35</x:f>
        <x:v>н.п.</x:v>
      </x:c>
      <x:c r="Z35" s="80" t="str">
        <x:f>IF(COUNT('Фин.показатели 2025'!Z35,'1 пол. 2026'!Z35,'1 пол. 2025'!Z35)=3,'Фин.показатели 2025'!Z35+'1 пол. 2026'!Z35-'1 пол. 2025'!Z35,"н.д.")</x:f>
        <x:v>н.д.</x:v>
      </x:c>
      <x:c r="AA35" s="80" t="str">
        <x:f>IF(COUNT('Фин.показатели 2025'!AA35,'1 пол. 2026'!AA35,'1 пол. 2025'!AA35)=3,'Фин.показатели 2025'!AA35+'1 пол. 2026'!AA35-'1 пол. 2025'!AA35,"н.д.")</x:f>
        <x:v>н.д.</x:v>
      </x:c>
      <x:c r="AB35" s="66"/>
      <x:c r="AC35" s="66"/>
      <x:c r="AD35" s="66"/>
      <x:c r="AE35" s="66"/>
      <x:c r="AF35" s="66" t="n">
        <x:f>IF(COUNT('Фин.показатели 2025'!AF35,'1 пол. 2026'!AF35,'1 пол. 2025'!AF35)=3,'Фин.показатели 2025'!AF35+'1 пол. 2026'!AF35-'1 пол. 2025'!AF35,"н.д.")</x:f>
        <x:v>181</x:v>
      </x:c>
      <x:c r="AG35" s="80" t="n">
        <x:f>IF(COUNT('Фин.показатели 2025'!AG35,'1 пол. 2026'!AG35,'1 пол. 2025'!AG35)=3,'Фин.показатели 2025'!AG35+'1 пол. 2026'!AG35-'1 пол. 2025'!AG35,"н.д.")</x:f>
        <x:v>4673</x:v>
      </x:c>
      <x:c r="AH35" s="64"/>
      <x:c r="AI35" s="80" t="str">
        <x:f>IF('1 пол. 2026'!AI35="н.п.","н.п.",IF(COUNT('Фин.показатели 2025'!AI35,'1 пол. 2026'!AI35,'1 пол. 2025'!AI35)=3,'Фин.показатели 2025'!AI35+'1 пол. 2026'!AI35-'1 пол. 2025'!AI35,"н.д."))</x:f>
        <x:v>н.п.</x:v>
      </x:c>
      <x:c r="AJ35" s="64"/>
      <x:c r="AK35" s="80" t="str">
        <x:f>IF('1 пол. 2026'!AK35="н.п.","н.п.",IF(COUNT('Фин.показатели 2025'!AK35,'1 пол. 2026'!AK35,'1 пол. 2025'!AK35)=3,'Фин.показатели 2025'!AK35+'1 пол. 2026'!AK35-'1 пол. 2025'!AK35,"н.д."))</x:f>
        <x:v>н.д.</x:v>
      </x:c>
      <x:c r="AL35" s="64"/>
      <x:c r="AM35" s="80" t="str">
        <x:f>IF(COUNT('Фин.показатели 2025'!AM35,'1 пол. 2026'!AM35,'1 пол. 2025'!AM35)=3,'Фин.показатели 2025'!AM35+'1 пол. 2026'!AM35-'1 пол. 2025'!AM35,"н.д.")</x:f>
        <x:v>н.д.</x:v>
      </x:c>
      <x:c r="AN35" s="64"/>
      <x:c r="AO35" s="64"/>
      <x:c r="AP35" s="80" t="str">
        <x:f>IF(COUNT('Фин.показатели 2025'!AP35,'1 пол. 2026'!AP35,'1 пол. 2025'!AP35)=3,'Фин.показатели 2025'!AP35+'1 пол. 2026'!AP35-'1 пол. 2025'!AP35,"н.д.")</x:f>
        <x:v>н.д.</x:v>
      </x:c>
      <x:c r="AQ35" s="64"/>
      <x:c r="AR35" s="80" t="str">
        <x:f>IF(COUNT('Фин.показатели 2025'!AR35,'1 пол. 2026'!AR35,'1 пол. 2025'!AR35)=3,'Фин.показатели 2025'!AR35+'1 пол. 2026'!AR35-'1 пол. 2025'!AR35,"н.д.")</x:f>
        <x:v>н.д.</x:v>
      </x:c>
      <x:c r="AS35" s="65"/>
      <x:c r="AT35" s="65"/>
      <x:c r="AU35" s="65"/>
      <x:c r="AV35" s="65"/>
      <x:c r="AW35" s="65"/>
      <x:c r="AX35" s="65"/>
      <x:c r="AY35" s="65"/>
      <x:c r="AZ35" s="65"/>
      <x:c r="BA35" s="65"/>
      <x:c r="BB35" s="65"/>
      <x:c r="BC35" s="67" t="str">
        <x:v>1 пол. 2026!BC35</x:v>
      </x:c>
      <x:c r="BD35" s="67" t="str">
        <x:v>1 пол. 2026!BD35</x:v>
      </x:c>
      <x:c r="BE35" s="67" t="str">
        <x:v>1 пол. 2026!BE35</x:v>
      </x:c>
      <x:c r="BF35" s="67" t="str">
        <x:v>Фин.показатели 2025!BF35; 1 пол. 2025!BF35; 1 пол. 2026!BF35</x:v>
      </x:c>
      <x:c r="BG35" s="67" t="str">
        <x:v>Фин.показатели 2025!BG35; 1 пол. 2025!BG35; 1 пол. 2026!BG35</x:v>
      </x:c>
      <x:c r="BH35" s="67" t="str">
        <x:v>Фин.показатели 2025!BH35; 1 пол. 2025!BH35; 1 пол. 2026!BH35</x:v>
      </x:c>
      <x:c r="BI35" s="67" t="str">
        <x:v>Фин.показатели 2025!BI35; 1 пол. 2025!BI35; 1 пол. 2026!BI35</x:v>
      </x:c>
      <x:c r="BJ35" s="67" t="str">
        <x:v>Фин.показатели 2025!BJ35; 1 пол. 2025!BJ35; 1 пол. 2026!BJ35</x:v>
      </x:c>
      <x:c r="BK35" s="67" t="str">
        <x:v>Фин.показатели 2025!BK35; 1 пол. 2025!BK35; 1 пол. 2026!BK35</x:v>
      </x:c>
      <x:c r="BL35" s="67" t="str">
        <x:v>Фин.показатели 2025!BL35; 1 пол. 2025!BL35; 1 пол. 2026!BL35</x:v>
      </x:c>
      <x:c r="BM35" s="67" t="str">
        <x:v>1 пол. 2026!BM35</x:v>
      </x:c>
      <x:c r="BN35" s="65"/>
      <x:c r="BO35" s="65" t="n">
        <x:f>'1 пол. 2026'!BO35</x:f>
        <x:v>376</x:v>
      </x:c>
      <x:c r="BP35" s="65"/>
      <x:c r="BQ35" s="65"/>
      <x:c r="BR35" s="67" t="str"/>
      <x:c r="BS35" s="65" t="n">
        <x:f>IF(COUNT('Фин.показатели 2025'!BS35,'1 пол. 2026'!BS35,'1 пол. 2025'!BS35)=3,'Фин.показатели 2025'!BS35+'1 пол. 2026'!BS35-'1 пол. 2025'!BS35,"н.д.")</x:f>
        <x:v>251</x:v>
      </x:c>
      <x:c r="BT35" s="65"/>
      <x:c r="BU35" s="65"/>
      <x:c r="BV35" s="65"/>
      <x:c r="BW35" s="65"/>
      <x:c r="BX35" s="65"/>
      <x:c r="BY35" s="65"/>
      <x:c r="BZ35" s="65"/>
      <x:c r="CA35" s="65"/>
      <x:c r="CB35" s="65"/>
      <x:c r="CC35" s="65"/>
      <x:c r="CD35" s="65" t="n">
        <x:f>IF(COUNT('Фин.показатели 2025'!CD35,'1 пол. 2026'!CD35,'1 пол. 2025'!CD35)=3,'Фин.показатели 2025'!CD35+'1 пол. 2026'!CD35-'1 пол. 2025'!CD35,"н.д.")</x:f>
        <x:v>10</x:v>
      </x:c>
      <x:c r="CE35" s="65"/>
      <x:c r="CF35" s="65"/>
      <x:c r="CG35" s="65"/>
      <x:c r="CH35" s="65"/>
      <x:c r="CI35" s="65"/>
      <x:c r="CJ35" s="65"/>
      <x:c r="CK35" s="65"/>
      <x:c r="CL35" s="65"/>
      <x:c r="CM35" s="65" t="str">
        <x:f>IF(COUNT('Фин.показатели 2025'!CM35,'1 пол. 2026'!CM35,'1 пол. 2025'!CM35)=3,'Фин.показатели 2025'!CM35+'1 пол. 2026'!CM35-'1 пол. 2025'!CM35,"н.д.")</x:f>
        <x:v>н.д.</x:v>
      </x:c>
      <x:c r="CN35" s="65"/>
    </x:row>
    <x:row r="36" ht="16.5">
      <x:c r="B36" s="3">
        <x:v>30</x:v>
      </x:c>
      <x:c r="C36" s="3" t="s">
        <x:v>111</x:v>
      </x:c>
      <x:c r="E36" s="64" t="n">
        <x:f>'1 пол. 2026'!E36</x:f>
        <x:v>1639791</x:v>
      </x:c>
      <x:c r="F36" s="64"/>
      <x:c r="G36" s="64"/>
      <x:c r="H36" s="64" t="n">
        <x:f>IF(COUNT('Фин.показатели 2025'!H36,'1 пол. 2026'!H36,'1 пол. 2025'!H36)=3,'Фин.показатели 2025'!H36+'1 пол. 2026'!H36-'1 пол. 2025'!H36,"н.д.")</x:f>
        <x:v>1371269</x:v>
      </x:c>
      <x:c r="I36" s="64"/>
      <x:c r="J36" s="64"/>
      <x:c r="K36" s="64"/>
      <x:c r="L36" s="64"/>
      <x:c r="M36" s="64" t="str">
        <x:f>IF(COUNT('Фин.показатели 2025'!M36,'1 пол. 2026'!M36,'1 пол. 2025'!M36)=3,'Фин.показатели 2025'!M36+'1 пол. 2026'!M36-'1 пол. 2025'!M36,"н.д.")</x:f>
        <x:v>н.д.</x:v>
      </x:c>
      <x:c r="N36" s="64" t="n">
        <x:f>IF(COUNT('Фин.показатели 2025'!N36,'1 пол. 2026'!N36,'1 пол. 2025'!N36)=3,'Фин.показатели 2025'!N36+'1 пол. 2026'!N36-'1 пол. 2025'!N36,"н.д.")</x:f>
        <x:v>-187397</x:v>
      </x:c>
      <x:c r="O36" s="64" t="n">
        <x:f>'1 пол. 2026'!O36</x:f>
        <x:v>-205832</x:v>
      </x:c>
      <x:c r="P36" s="65"/>
      <x:c r="Q36" s="65"/>
      <x:c r="R36" s="80" t="n">
        <x:f>IF(ISNUMBER('1 пол. 2026'!R36),'1 пол. 2026'!R36,"н.д.")</x:f>
        <x:v>1639791</x:v>
      </x:c>
      <x:c r="S36" s="66" t="n">
        <x:f>'1 пол. 2026'!S36</x:f>
        <x:v>830123</x:v>
      </x:c>
      <x:c r="T36" s="66" t="n">
        <x:f>'1 пол. 2026'!T36</x:f>
        <x:v>687238</x:v>
      </x:c>
      <x:c r="U36" s="66" t="n">
        <x:f>'1 пол. 2026'!U36</x:f>
        <x:v>98846</x:v>
      </x:c>
      <x:c r="V36" s="66"/>
      <x:c r="W36" s="80" t="str">
        <x:f>IF(ISNUMBER('1 пол. 2026'!W36),'1 пол. 2026'!W36,"н.д.")</x:f>
        <x:v>н.д.</x:v>
      </x:c>
      <x:c r="X36" s="64"/>
      <x:c r="Y36" s="66" t="str">
        <x:f>'1 пол. 2026'!Y36</x:f>
        <x:v>н.п.</x:v>
      </x:c>
      <x:c r="Z36" s="80" t="str">
        <x:f>IF(COUNT('Фин.показатели 2025'!Z36,'1 пол. 2026'!Z36,'1 пол. 2025'!Z36)=3,'Фин.показатели 2025'!Z36+'1 пол. 2026'!Z36-'1 пол. 2025'!Z36,"н.д.")</x:f>
        <x:v>н.д.</x:v>
      </x:c>
      <x:c r="AA36" s="80" t="str">
        <x:f>IF(COUNT('Фин.показатели 2025'!AA36,'1 пол. 2026'!AA36,'1 пол. 2025'!AA36)=3,'Фин.показатели 2025'!AA36+'1 пол. 2026'!AA36-'1 пол. 2025'!AA36,"н.д.")</x:f>
        <x:v>н.д.</x:v>
      </x:c>
      <x:c r="AB36" s="66"/>
      <x:c r="AC36" s="66"/>
      <x:c r="AD36" s="66"/>
      <x:c r="AE36" s="66"/>
      <x:c r="AF36" s="66"/>
      <x:c r="AG36" s="80" t="str">
        <x:f>IF(COUNT('Фин.показатели 2025'!AG36,'1 пол. 2026'!AG36,'1 пол. 2025'!AG36)=3,'Фин.показатели 2025'!AG36+'1 пол. 2026'!AG36-'1 пол. 2025'!AG36,"н.д.")</x:f>
        <x:v>н.д.</x:v>
      </x:c>
      <x:c r="AH36" s="64"/>
      <x:c r="AI36" s="80" t="str">
        <x:f>IF('1 пол. 2026'!AI36="н.п.","н.п.",IF(COUNT('Фин.показатели 2025'!AI36,'1 пол. 2026'!AI36,'1 пол. 2025'!AI36)=3,'Фин.показатели 2025'!AI36+'1 пол. 2026'!AI36-'1 пол. 2025'!AI36,"н.д."))</x:f>
        <x:v>н.п.</x:v>
      </x:c>
      <x:c r="AJ36" s="64"/>
      <x:c r="AK36" s="80" t="str">
        <x:f>IF('1 пол. 2026'!AK36="н.п.","н.п.",IF(COUNT('Фин.показатели 2025'!AK36,'1 пол. 2026'!AK36,'1 пол. 2025'!AK36)=3,'Фин.показатели 2025'!AK36+'1 пол. 2026'!AK36-'1 пол. 2025'!AK36,"н.д."))</x:f>
        <x:v>н.п.</x:v>
      </x:c>
      <x:c r="AL36" s="64"/>
      <x:c r="AM36" s="80" t="str">
        <x:f>IF(COUNT('Фин.показатели 2025'!AM36,'1 пол. 2026'!AM36,'1 пол. 2025'!AM36)=3,'Фин.показатели 2025'!AM36+'1 пол. 2026'!AM36-'1 пол. 2025'!AM36,"н.д.")</x:f>
        <x:v>н.д.</x:v>
      </x:c>
      <x:c r="AN36" s="64" t="str">
        <x:f>IF(COUNT('Фин.показатели 2025'!AN36,'1 пол. 2026'!AN36,'1 пол. 2025'!AN36)=3,'Фин.показатели 2025'!AN36+'1 пол. 2026'!AN36-'1 пол. 2025'!AN36,"н.д.")</x:f>
        <x:v>н.д.</x:v>
      </x:c>
      <x:c r="AO36" s="64" t="str">
        <x:f>IF(COUNT('Фин.показатели 2025'!AO36,'1 пол. 2026'!AO36,'1 пол. 2025'!AO36)=3,'Фин.показатели 2025'!AO36+'1 пол. 2026'!AO36-'1 пол. 2025'!AO36,"н.д.")</x:f>
        <x:v>н.д.</x:v>
      </x:c>
      <x:c r="AP36" s="80" t="str">
        <x:f>IF(COUNT('Фин.показатели 2025'!AP36,'1 пол. 2026'!AP36,'1 пол. 2025'!AP36)=3,'Фин.показатели 2025'!AP36+'1 пол. 2026'!AP36-'1 пол. 2025'!AP36,"н.д.")</x:f>
        <x:v>н.д.</x:v>
      </x:c>
      <x:c r="AQ36" s="64"/>
      <x:c r="AR36" s="80" t="str">
        <x:f>IF(COUNT('Фин.показатели 2025'!AR36,'1 пол. 2026'!AR36,'1 пол. 2025'!AR36)=3,'Фин.показатели 2025'!AR36+'1 пол. 2026'!AR36-'1 пол. 2025'!AR36,"н.д.")</x:f>
        <x:v>н.д.</x:v>
      </x:c>
      <x:c r="AS36" s="65"/>
      <x:c r="AT36" s="65"/>
      <x:c r="AU36" s="65"/>
      <x:c r="AV36" s="65"/>
      <x:c r="AW36" s="65"/>
      <x:c r="AX36" s="65"/>
      <x:c r="AY36" s="65"/>
      <x:c r="AZ36" s="65"/>
      <x:c r="BA36" s="65"/>
      <x:c r="BB36" s="65"/>
      <x:c r="BC36" s="67" t="str">
        <x:v>1 пол. 2026!BC36</x:v>
      </x:c>
      <x:c r="BD36" s="67" t="str">
        <x:v>1 пол. 2026!BD36</x:v>
      </x:c>
      <x:c r="BE36" s="67" t="str">
        <x:v>1 пол. 2026!BE36</x:v>
      </x:c>
      <x:c r="BF36" s="67" t="str">
        <x:v>Фин.показатели 2025!BF36; 1 пол. 2025!BF36; 1 пол. 2026!BF36</x:v>
      </x:c>
      <x:c r="BG36" s="67" t="str">
        <x:v>Фин.показатели 2025!BG36; 1 пол. 2025!BG36; 1 пол. 2026!BG36</x:v>
      </x:c>
      <x:c r="BH36" s="67" t="str">
        <x:v>Фин.показатели 2025!BH36; 1 пол. 2025!BH36; 1 пол. 2026!BH36</x:v>
      </x:c>
      <x:c r="BI36" s="67" t="str">
        <x:v>Фин.показатели 2025!BI36; 1 пол. 2025!BI36; 1 пол. 2026!BI36</x:v>
      </x:c>
      <x:c r="BJ36" s="67" t="str">
        <x:v>Фин.показатели 2025!BJ36; 1 пол. 2025!BJ36; 1 пол. 2026!BJ36</x:v>
      </x:c>
      <x:c r="BK36" s="67" t="str">
        <x:v>Фин.показатели 2025!BK36; 1 пол. 2025!BK36; 1 пол. 2026!BK36</x:v>
      </x:c>
      <x:c r="BL36" s="67" t="str">
        <x:v>Фин.показатели 2025!BL36; 1 пол. 2025!BL36; 1 пол. 2026!BL36</x:v>
      </x:c>
      <x:c r="BM36" s="67" t="str">
        <x:v>1 пол. 2026!BM36</x:v>
      </x:c>
      <x:c r="BN36" s="65" t="n">
        <x:f>'1 пол. 2026'!BN36</x:f>
        <x:v>221276</x:v>
      </x:c>
      <x:c r="BO36" s="65" t="n">
        <x:f>'1 пол. 2026'!BO36</x:f>
        <x:v>52112</x:v>
      </x:c>
      <x:c r="BP36" s="65"/>
      <x:c r="BQ36" s="65"/>
      <x:c r="BR36" s="67" t="str"/>
      <x:c r="BS36" s="65"/>
      <x:c r="BT36" s="65"/>
      <x:c r="BU36" s="65"/>
      <x:c r="BV36" s="65"/>
      <x:c r="BW36" s="65"/>
      <x:c r="BX36" s="65"/>
      <x:c r="BY36" s="65"/>
      <x:c r="BZ36" s="65"/>
      <x:c r="CA36" s="65"/>
      <x:c r="CB36" s="65"/>
      <x:c r="CC36" s="65"/>
      <x:c r="CD36" s="65"/>
      <x:c r="CE36" s="65"/>
      <x:c r="CF36" s="65"/>
      <x:c r="CG36" s="65"/>
      <x:c r="CH36" s="65"/>
      <x:c r="CI36" s="65"/>
      <x:c r="CJ36" s="65"/>
      <x:c r="CK36" s="65"/>
      <x:c r="CL36" s="65"/>
      <x:c r="CM36" s="65"/>
      <x:c r="CN36" s="65"/>
    </x:row>
    <x:row r="37" ht="16.5">
      <x:c r="B37" s="3">
        <x:v>31</x:v>
      </x:c>
      <x:c r="C37" s="3" t="s">
        <x:v>113</x:v>
      </x:c>
      <x:c r="E37" s="64" t="n">
        <x:f>'1 пол. 2026'!E37</x:f>
        <x:v>69232</x:v>
      </x:c>
      <x:c r="F37" s="64"/>
      <x:c r="G37" s="64"/>
      <x:c r="H37" s="64" t="n">
        <x:f>IF(COUNT('Фин.показатели 2025'!H37,'1 пол. 2026'!H37,'1 пол. 2025'!H37)=3,'Фин.показатели 2025'!H37+'1 пол. 2026'!H37-'1 пол. 2025'!H37,"н.д.")</x:f>
        <x:v>148753</x:v>
      </x:c>
      <x:c r="I37" s="64"/>
      <x:c r="J37" s="64" t="n">
        <x:f>IF(COUNT('Фин.показатели 2025'!J37,'1 пол. 2026'!J37,'1 пол. 2025'!J37)=3,'Фин.показатели 2025'!J37+'1 пол. 2026'!J37-'1 пол. 2025'!J37,"н.д.")</x:f>
        <x:v>65323</x:v>
      </x:c>
      <x:c r="K37" s="64"/>
      <x:c r="L37" s="64"/>
      <x:c r="M37" s="64"/>
      <x:c r="N37" s="64" t="n">
        <x:f>IF(COUNT('Фин.показатели 2025'!N37,'1 пол. 2026'!N37,'1 пол. 2025'!N37)=3,'Фин.показатели 2025'!N37+'1 пол. 2026'!N37-'1 пол. 2025'!N37,"н.д.")</x:f>
        <x:v>23267</x:v>
      </x:c>
      <x:c r="O37" s="64" t="n">
        <x:f>'1 пол. 2026'!O37</x:f>
        <x:v>75382</x:v>
      </x:c>
      <x:c r="P37" s="65"/>
      <x:c r="Q37" s="65"/>
      <x:c r="R37" s="80" t="n">
        <x:f>IF(ISNUMBER('1 пол. 2026'!R37),'1 пол. 2026'!R37,"н.д.")</x:f>
        <x:v>69432</x:v>
      </x:c>
      <x:c r="S37" s="66" t="n">
        <x:f>'1 пол. 2026'!S37</x:f>
        <x:v>46899</x:v>
      </x:c>
      <x:c r="T37" s="66" t="n">
        <x:f>'1 пол. 2026'!T37</x:f>
        <x:v>3512</x:v>
      </x:c>
      <x:c r="U37" s="66" t="n">
        <x:f>'1 пол. 2026'!U37</x:f>
        <x:v>3862</x:v>
      </x:c>
      <x:c r="V37" s="66"/>
      <x:c r="W37" s="80" t="str">
        <x:f>IF(ISNUMBER('1 пол. 2026'!W37),'1 пол. 2026'!W37,"н.д.")</x:f>
        <x:v>н.д.</x:v>
      </x:c>
      <x:c r="X37" s="64"/>
      <x:c r="Y37" s="66" t="str">
        <x:f>'1 пол. 2026'!Y37</x:f>
        <x:v>н.п.</x:v>
      </x:c>
      <x:c r="Z37" s="80" t="str">
        <x:f>IF(COUNT('Фин.показатели 2025'!Z37,'1 пол. 2026'!Z37,'1 пол. 2025'!Z37)=3,'Фин.показатели 2025'!Z37+'1 пол. 2026'!Z37-'1 пол. 2025'!Z37,"н.д.")</x:f>
        <x:v>н.д.</x:v>
      </x:c>
      <x:c r="AA37" s="80" t="str">
        <x:f>IF(COUNT('Фин.показатели 2025'!AA37,'1 пол. 2026'!AA37,'1 пол. 2025'!AA37)=3,'Фин.показатели 2025'!AA37+'1 пол. 2026'!AA37-'1 пол. 2025'!AA37,"н.д.")</x:f>
        <x:v>н.д.</x:v>
      </x:c>
      <x:c r="AB37" s="66"/>
      <x:c r="AC37" s="66"/>
      <x:c r="AD37" s="66"/>
      <x:c r="AE37" s="66"/>
      <x:c r="AF37" s="66" t="n">
        <x:f>IF(COUNT('Фин.показатели 2025'!AF37,'1 пол. 2026'!AF37,'1 пол. 2025'!AF37)=3,'Фин.показатели 2025'!AF37+'1 пол. 2026'!AF37-'1 пол. 2025'!AF37,"н.д.")</x:f>
        <x:v>4096</x:v>
      </x:c>
      <x:c r="AG37" s="80" t="n">
        <x:f>IF(COUNT('Фин.показатели 2025'!AG37,'1 пол. 2026'!AG37,'1 пол. 2025'!AG37)=3,'Фин.показатели 2025'!AG37+'1 пол. 2026'!AG37-'1 пол. 2025'!AG37,"н.д.")</x:f>
        <x:v>65323</x:v>
      </x:c>
      <x:c r="AH37" s="64"/>
      <x:c r="AI37" s="80" t="str">
        <x:f>IF('1 пол. 2026'!AI37="н.п.","н.п.",IF(COUNT('Фин.показатели 2025'!AI37,'1 пол. 2026'!AI37,'1 пол. 2025'!AI37)=3,'Фин.показатели 2025'!AI37+'1 пол. 2026'!AI37-'1 пол. 2025'!AI37,"н.д."))</x:f>
        <x:v>н.п.</x:v>
      </x:c>
      <x:c r="AJ37" s="64"/>
      <x:c r="AK37" s="80" t="str">
        <x:f>IF('1 пол. 2026'!AK37="н.п.","н.п.",IF(COUNT('Фин.показатели 2025'!AK37,'1 пол. 2026'!AK37,'1 пол. 2025'!AK37)=3,'Фин.показатели 2025'!AK37+'1 пол. 2026'!AK37-'1 пол. 2025'!AK37,"н.д."))</x:f>
        <x:v>н.п.</x:v>
      </x:c>
      <x:c r="AL37" s="64"/>
      <x:c r="AM37" s="80" t="str">
        <x:f>IF(COUNT('Фин.показатели 2025'!AM37,'1 пол. 2026'!AM37,'1 пол. 2025'!AM37)=3,'Фин.показатели 2025'!AM37+'1 пол. 2026'!AM37-'1 пол. 2025'!AM37,"н.д.")</x:f>
        <x:v>н.д.</x:v>
      </x:c>
      <x:c r="AN37" s="64"/>
      <x:c r="AO37" s="64"/>
      <x:c r="AP37" s="80" t="str">
        <x:f>IF(COUNT('Фин.показатели 2025'!AP37,'1 пол. 2026'!AP37,'1 пол. 2025'!AP37)=3,'Фин.показатели 2025'!AP37+'1 пол. 2026'!AP37-'1 пол. 2025'!AP37,"н.д.")</x:f>
        <x:v>н.д.</x:v>
      </x:c>
      <x:c r="AQ37" s="64"/>
      <x:c r="AR37" s="80" t="str">
        <x:f>IF(COUNT('Фин.показатели 2025'!AR37,'1 пол. 2026'!AR37,'1 пол. 2025'!AR37)=3,'Фин.показатели 2025'!AR37+'1 пол. 2026'!AR37-'1 пол. 2025'!AR37,"н.д.")</x:f>
        <x:v>н.д.</x:v>
      </x:c>
      <x:c r="AS37" s="65"/>
      <x:c r="AT37" s="65"/>
      <x:c r="AU37" s="65"/>
      <x:c r="AV37" s="65"/>
      <x:c r="AW37" s="65"/>
      <x:c r="AX37" s="65"/>
      <x:c r="AY37" s="65"/>
      <x:c r="AZ37" s="65"/>
      <x:c r="BA37" s="65"/>
      <x:c r="BB37" s="65"/>
      <x:c r="BC37" s="67" t="str">
        <x:v>1 пол. 2026!BC37</x:v>
      </x:c>
      <x:c r="BD37" s="67" t="str">
        <x:v>1 пол. 2026!BD37</x:v>
      </x:c>
      <x:c r="BE37" s="67" t="str">
        <x:v>1 пол. 2026!BE37</x:v>
      </x:c>
      <x:c r="BF37" s="67" t="str">
        <x:v>Фин.показатели 2025!BF37; 1 пол. 2025!BF37; 1 пол. 2026!BF37</x:v>
      </x:c>
      <x:c r="BG37" s="67" t="str">
        <x:v>Фин.показатели 2025!BG37; 1 пол. 2025!BG37; 1 пол. 2026!BG37</x:v>
      </x:c>
      <x:c r="BH37" s="67" t="str">
        <x:v>Фин.показатели 2025!BH37; 1 пол. 2025!BH37; 1 пол. 2026!BH37</x:v>
      </x:c>
      <x:c r="BI37" s="67" t="str">
        <x:v>Фин.показатели 2025!BI37; 1 пол. 2025!BI37; 1 пол. 2026!BI37</x:v>
      </x:c>
      <x:c r="BJ37" s="67" t="str">
        <x:v>Фин.показатели 2025!BJ37; 1 пол. 2025!BJ37; 1 пол. 2026!BJ37</x:v>
      </x:c>
      <x:c r="BK37" s="67" t="str">
        <x:v>Фин.показатели 2025!BK37; 1 пол. 2025!BK37; 1 пол. 2026!BK37</x:v>
      </x:c>
      <x:c r="BL37" s="67" t="str">
        <x:v>Фин.показатели 2025!BL37; 1 пол. 2025!BL37; 1 пол. 2026!BL37</x:v>
      </x:c>
      <x:c r="BM37" s="67" t="str">
        <x:v>1 пол. 2026!BM37</x:v>
      </x:c>
      <x:c r="BN37" s="65" t="n">
        <x:f>'1 пол. 2026'!BN37</x:f>
        <x:v>4391</x:v>
      </x:c>
      <x:c r="BO37" s="65" t="n">
        <x:f>'1 пол. 2026'!BO37</x:f>
        <x:v>126</x:v>
      </x:c>
      <x:c r="BP37" s="65"/>
      <x:c r="BQ37" s="65"/>
      <x:c r="BR37" s="67" t="str">
        <x:v> Кредиты в балансе на 200 млн руб. больше кредитов в расчете компании. ЧД по балансу отличается на 200 млн руб.; оба расчета показаны.</x:v>
      </x:c>
      <x:c r="BS37" s="65"/>
      <x:c r="BT37" s="65"/>
      <x:c r="BU37" s="65"/>
      <x:c r="BV37" s="65" t="n">
        <x:f>IF(COUNT('Фин.показатели 2025'!BV37,'1 пол. 2026'!BV37,'1 пол. 2025'!BV37)=3,'Фин.показатели 2025'!BV37+'1 пол. 2026'!BV37-'1 пол. 2025'!BV37,"н.д.")</x:f>
        <x:v>1154</x:v>
      </x:c>
      <x:c r="BW37" s="65"/>
      <x:c r="BX37" s="65"/>
      <x:c r="BY37" s="65"/>
      <x:c r="BZ37" s="65"/>
      <x:c r="CA37" s="65"/>
      <x:c r="CB37" s="65"/>
      <x:c r="CC37" s="65"/>
      <x:c r="CD37" s="65"/>
      <x:c r="CE37" s="65"/>
      <x:c r="CF37" s="65"/>
      <x:c r="CG37" s="65"/>
      <x:c r="CH37" s="65" t="n">
        <x:f>'1 пол. 2026'!CH37</x:f>
        <x:v>2608</x:v>
      </x:c>
      <x:c r="CI37" s="65" t="n">
        <x:f>'1 пол. 2026'!CI37</x:f>
        <x:v>1783</x:v>
      </x:c>
      <x:c r="CJ37" s="65" t="n">
        <x:f>'1 пол. 2026'!CJ37</x:f>
        <x:v>18492</x:v>
      </x:c>
      <x:c r="CK37" s="65"/>
      <x:c r="CL37" s="65"/>
      <x:c r="CM37" s="65"/>
      <x:c r="CN37" s="65"/>
    </x:row>
    <x:row r="38" ht="16.5">
      <x:c r="B38" s="3">
        <x:v>32</x:v>
      </x:c>
      <x:c r="C38" s="3" t="s">
        <x:v>114</x:v>
      </x:c>
      <x:c r="E38" s="64" t="n">
        <x:f>'1 пол. 2026'!E38</x:f>
        <x:v>12495.42</x:v>
      </x:c>
      <x:c r="F38" s="64"/>
      <x:c r="G38" s="64"/>
      <x:c r="H38" s="64" t="n">
        <x:f>IF(COUNT('Фин.показатели 2025'!H38,'1 пол. 2026'!H38,'1 пол. 2025'!H38)=3,'Фин.показатели 2025'!H38+'1 пол. 2026'!H38-'1 пол. 2025'!H38,"н.д.")</x:f>
        <x:v>33665.622</x:v>
      </x:c>
      <x:c r="I38" s="64"/>
      <x:c r="J38" s="64" t="n">
        <x:f>IF(COUNT('Фин.показатели 2025'!J38,'1 пол. 2026'!J38,'1 пол. 2025'!J38)=3,'Фин.показатели 2025'!J38+'1 пол. 2026'!J38-'1 пол. 2025'!J38,"н.д.")</x:f>
        <x:v>15647.018999999998</x:v>
      </x:c>
      <x:c r="K38" s="64"/>
      <x:c r="L38" s="64" t="n">
        <x:f>IF(COUNT('Фин.показатели 2025'!L38,'1 пол. 2026'!L38,'1 пол. 2025'!L38)=3,'Фин.показатели 2025'!L38+'1 пол. 2026'!L38-'1 пол. 2025'!L38,"н.д.")</x:f>
        <x:v>11085.517</x:v>
      </x:c>
      <x:c r="M38" s="64"/>
      <x:c r="N38" s="64" t="n">
        <x:f>IF(COUNT('Фин.показатели 2025'!N38,'1 пол. 2026'!N38,'1 пол. 2025'!N38)=3,'Фин.показатели 2025'!N38+'1 пол. 2026'!N38-'1 пол. 2025'!N38,"н.д.")</x:f>
        <x:v>10936.732</x:v>
      </x:c>
      <x:c r="O38" s="64" t="n">
        <x:f>'1 пол. 2026'!O38</x:f>
        <x:v>20987.517</x:v>
      </x:c>
      <x:c r="P38" s="65"/>
      <x:c r="Q38" s="65"/>
      <x:c r="R38" s="80" t="str">
        <x:f>IF(ISNUMBER('1 пол. 2026'!R38),'1 пол. 2026'!R38,"н.д.")</x:f>
        <x:v>н.д.</x:v>
      </x:c>
      <x:c r="S38" s="66"/>
      <x:c r="T38" s="66"/>
      <x:c r="U38" s="66"/>
      <x:c r="V38" s="66"/>
      <x:c r="W38" s="80" t="str">
        <x:f>IF(ISNUMBER('1 пол. 2026'!W38),'1 пол. 2026'!W38,"н.д.")</x:f>
        <x:v>н.д.</x:v>
      </x:c>
      <x:c r="X38" s="64"/>
      <x:c r="Y38" s="66" t="str">
        <x:f>'1 пол. 2026'!Y38</x:f>
        <x:v>н.п.</x:v>
      </x:c>
      <x:c r="Z38" s="80" t="str">
        <x:f>IF(COUNT('Фин.показатели 2025'!Z38,'1 пол. 2026'!Z38,'1 пол. 2025'!Z38)=3,'Фин.показатели 2025'!Z38+'1 пол. 2026'!Z38-'1 пол. 2025'!Z38,"н.д.")</x:f>
        <x:v>н.д.</x:v>
      </x:c>
      <x:c r="AA38" s="80" t="str">
        <x:f>IF(COUNT('Фин.показатели 2025'!AA38,'1 пол. 2026'!AA38,'1 пол. 2025'!AA38)=3,'Фин.показатели 2025'!AA38+'1 пол. 2026'!AA38-'1 пол. 2025'!AA38,"н.д.")</x:f>
        <x:v>н.д.</x:v>
      </x:c>
      <x:c r="AB38" s="66"/>
      <x:c r="AC38" s="66"/>
      <x:c r="AD38" s="66"/>
      <x:c r="AE38" s="66"/>
      <x:c r="AF38" s="66"/>
      <x:c r="AG38" s="80" t="str">
        <x:f>IF(COUNT('Фин.показатели 2025'!AG38,'1 пол. 2026'!AG38,'1 пол. 2025'!AG38)=3,'Фин.показатели 2025'!AG38+'1 пол. 2026'!AG38-'1 пол. 2025'!AG38,"н.д.")</x:f>
        <x:v>н.д.</x:v>
      </x:c>
      <x:c r="AH38" s="64"/>
      <x:c r="AI38" s="80" t="str">
        <x:f>IF('1 пол. 2026'!AI38="н.п.","н.п.",IF(COUNT('Фин.показатели 2025'!AI38,'1 пол. 2026'!AI38,'1 пол. 2025'!AI38)=3,'Фин.показатели 2025'!AI38+'1 пол. 2026'!AI38-'1 пол. 2025'!AI38,"н.д."))</x:f>
        <x:v>н.п.</x:v>
      </x:c>
      <x:c r="AJ38" s="64" t="n">
        <x:f>IF(COUNT('Фин.показатели 2025'!AJ38,'1 пол. 2026'!AJ38,'1 пол. 2025'!AJ38)=3,'Фин.показатели 2025'!AJ38+'1 пол. 2026'!AJ38-'1 пол. 2025'!AJ38,"н.д.")</x:f>
        <x:v>5844.267000000001</x:v>
      </x:c>
      <x:c r="AK38" s="80" t="n">
        <x:f>IF('1 пол. 2026'!AK38="н.п.","н.п.",IF(COUNT('Фин.показатели 2025'!AK38,'1 пол. 2026'!AK38,'1 пол. 2025'!AK38)=3,'Фин.показатели 2025'!AK38+'1 пол. 2026'!AK38-'1 пол. 2025'!AK38,"н.д."))</x:f>
        <x:v>9802.752</x:v>
      </x:c>
      <x:c r="AL38" s="64" t="n">
        <x:f>IF(COUNT('Фин.показатели 2025'!AL38,'1 пол. 2026'!AL38,'1 пол. 2025'!AL38)=3,'Фин.показатели 2025'!AL38+'1 пол. 2026'!AL38-'1 пол. 2025'!AL38,"н.д.")</x:f>
        <x:v>1282.765</x:v>
      </x:c>
      <x:c r="AM38" s="80" t="n">
        <x:f>IF(COUNT('Фин.показатели 2025'!AM38,'1 пол. 2026'!AM38,'1 пол. 2025'!AM38)=3,'Фин.показатели 2025'!AM38+'1 пол. 2026'!AM38-'1 пол. 2025'!AM38,"н.д.")</x:f>
        <x:v>11085.517</x:v>
      </x:c>
      <x:c r="AN38" s="64"/>
      <x:c r="AO38" s="64"/>
      <x:c r="AP38" s="80" t="str">
        <x:f>IF(COUNT('Фин.показатели 2025'!AP38,'1 пол. 2026'!AP38,'1 пол. 2025'!AP38)=3,'Фин.показатели 2025'!AP38+'1 пол. 2026'!AP38-'1 пол. 2025'!AP38,"н.д.")</x:f>
        <x:v>н.д.</x:v>
      </x:c>
      <x:c r="AQ38" s="64"/>
      <x:c r="AR38" s="80" t="str">
        <x:f>IF(COUNT('Фин.показатели 2025'!AR38,'1 пол. 2026'!AR38,'1 пол. 2025'!AR38)=3,'Фин.показатели 2025'!AR38+'1 пол. 2026'!AR38-'1 пол. 2025'!AR38,"н.д.")</x:f>
        <x:v>н.д.</x:v>
      </x:c>
      <x:c r="AS38" s="65"/>
      <x:c r="AT38" s="65"/>
      <x:c r="AU38" s="65"/>
      <x:c r="AV38" s="65"/>
      <x:c r="AW38" s="65"/>
      <x:c r="AX38" s="65"/>
      <x:c r="AY38" s="65"/>
      <x:c r="AZ38" s="65"/>
      <x:c r="BA38" s="65"/>
      <x:c r="BB38" s="65"/>
      <x:c r="BC38" s="67" t="str">
        <x:v>1 пол. 2026!BC38</x:v>
      </x:c>
      <x:c r="BD38" s="67" t="str">
        <x:v>1 пол. 2026!BD38</x:v>
      </x:c>
      <x:c r="BE38" s="67" t="str">
        <x:v>1 пол. 2026!BE38</x:v>
      </x:c>
      <x:c r="BF38" s="67" t="str">
        <x:v>Фин.показатели 2025!BF38; 1 пол. 2025!BF38; 1 пол. 2026!BF38</x:v>
      </x:c>
      <x:c r="BG38" s="67" t="str">
        <x:v>Фин.показатели 2025!BG38; 1 пол. 2025!BG38; 1 пол. 2026!BG38</x:v>
      </x:c>
      <x:c r="BH38" s="67" t="str">
        <x:v>Фин.показатели 2025!BH38; 1 пол. 2025!BH38; 1 пол. 2026!BH38</x:v>
      </x:c>
      <x:c r="BI38" s="67" t="str">
        <x:v>Фин.показатели 2025!BI38; 1 пол. 2025!BI38; 1 пол. 2026!BI38</x:v>
      </x:c>
      <x:c r="BJ38" s="67" t="str">
        <x:v>Фин.показатели 2025!BJ38; 1 пол. 2025!BJ38; 1 пол. 2026!BJ38</x:v>
      </x:c>
      <x:c r="BK38" s="67" t="str">
        <x:v>Фин.показатели 2025!BK38; 1 пол. 2025!BK38; 1 пол. 2026!BK38</x:v>
      </x:c>
      <x:c r="BL38" s="67" t="str">
        <x:v>Фин.показатели 2025!BL38; 1 пол. 2025!BL38; 1 пол. 2026!BL38</x:v>
      </x:c>
      <x:c r="BM38" s="67" t="str">
        <x:v>1 пол. 2026!BM38</x:v>
      </x:c>
      <x:c r="BN38" s="65"/>
      <x:c r="BO38" s="65" t="n">
        <x:f>'1 пол. 2026'!BO38</x:f>
        <x:v>-10.018</x:v>
      </x:c>
      <x:c r="BP38" s="65"/>
      <x:c r="BQ38" s="65"/>
      <x:c r="BR38" s="67" t="str">
        <x:v> ЧД компании исключает аренду и вычитает банковские депозиты. EBITDAC включает отгрузки и капитализацию.</x:v>
      </x:c>
      <x:c r="BS38" s="65"/>
      <x:c r="BT38" s="65"/>
      <x:c r="BU38" s="65"/>
      <x:c r="BV38" s="65"/>
      <x:c r="BW38" s="65"/>
      <x:c r="BX38" s="65"/>
      <x:c r="BY38" s="65"/>
      <x:c r="BZ38" s="65"/>
      <x:c r="CA38" s="65"/>
      <x:c r="CB38" s="65"/>
      <x:c r="CC38" s="65"/>
      <x:c r="CD38" s="65"/>
      <x:c r="CE38" s="65"/>
      <x:c r="CF38" s="65" t="n">
        <x:f>IF(COUNT('Фин.показатели 2025'!CF38,'1 пол. 2026'!CF38,'1 пол. 2025'!CF38)=3,'Фин.показатели 2025'!CF38+'1 пол. 2026'!CF38-'1 пол. 2025'!CF38,"н.д.")</x:f>
        <x:v>-5844.267000000001</x:v>
      </x:c>
      <x:c r="CG38" s="65" t="n">
        <x:f>IF(COUNT('Фин.показатели 2025'!CG38,'1 пол. 2026'!CG38,'1 пол. 2025'!CG38)=3,'Фин.показатели 2025'!CG38+'1 пол. 2026'!CG38-'1 пол. 2025'!CG38,"н.д.")</x:f>
        <x:v>1282.765</x:v>
      </x:c>
      <x:c r="CH38" s="65"/>
      <x:c r="CI38" s="65"/>
      <x:c r="CJ38" s="65"/>
      <x:c r="CK38" s="65"/>
      <x:c r="CL38" s="65"/>
      <x:c r="CM38" s="65"/>
      <x:c r="CN38" s="65"/>
    </x:row>
    <x:row r="39" ht="16.5">
      <x:c r="B39" s="3">
        <x:v>33</x:v>
      </x:c>
      <x:c r="C39" s="3" t="s">
        <x:v>115</x:v>
      </x:c>
      <x:c r="E39" s="64"/>
      <x:c r="F39" s="64"/>
      <x:c r="G39" s="64"/>
      <x:c r="H39" s="64" t="n">
        <x:f>IF(COUNT('Фин.показатели 2025'!H39,'1 пол. 2026'!H39,'1 пол. 2025'!H39)=3,'Фин.показатели 2025'!H39+'1 пол. 2026'!H39-'1 пол. 2025'!H39,"н.д.")</x:f>
        <x:v>168436</x:v>
      </x:c>
      <x:c r="I39" s="64"/>
      <x:c r="J39" s="64" t="n">
        <x:f>IF(COUNT('Фин.показатели 2025'!J39,'1 пол. 2026'!J39,'1 пол. 2025'!J39)=3,'Фин.показатели 2025'!J39+'1 пол. 2026'!J39-'1 пол. 2025'!J39,"н.д.")</x:f>
        <x:v>26161</x:v>
      </x:c>
      <x:c r="K39" s="64"/>
      <x:c r="L39" s="64" t="str">
        <x:f>IF(COUNT('Фин.показатели 2025'!L39,'1 пол. 2026'!L39,'1 пол. 2025'!L39)=3,'Фин.показатели 2025'!L39+'1 пол. 2026'!L39-'1 пол. 2025'!L39,"н.д.")</x:f>
        <x:v>н.д.</x:v>
      </x:c>
      <x:c r="M39" s="64"/>
      <x:c r="N39" s="64" t="n">
        <x:f>IF(COUNT('Фин.показатели 2025'!N39,'1 пол. 2026'!N39,'1 пол. 2025'!N39)=3,'Фин.показатели 2025'!N39+'1 пол. 2026'!N39-'1 пол. 2025'!N39,"н.д.")</x:f>
        <x:v>-16165</x:v>
      </x:c>
      <x:c r="O39" s="64" t="n">
        <x:f>'1 пол. 2026'!O39</x:f>
        <x:v>129415</x:v>
      </x:c>
      <x:c r="P39" s="65"/>
      <x:c r="Q39" s="65"/>
      <x:c r="R39" s="80" t="str">
        <x:f>IF(ISNUMBER('1 пол. 2026'!R39),'1 пол. 2026'!R39,"н.д.")</x:f>
        <x:v>н.д.</x:v>
      </x:c>
      <x:c r="S39" s="66"/>
      <x:c r="T39" s="66"/>
      <x:c r="U39" s="66"/>
      <x:c r="V39" s="66"/>
      <x:c r="W39" s="80" t="str">
        <x:f>IF(ISNUMBER('1 пол. 2026'!W39),'1 пол. 2026'!W39,"н.д.")</x:f>
        <x:v>н.д.</x:v>
      </x:c>
      <x:c r="X39" s="64"/>
      <x:c r="Y39" s="66" t="str">
        <x:f>'1 пол. 2026'!Y39</x:f>
        <x:v>н.п.</x:v>
      </x:c>
      <x:c r="Z39" s="80" t="str">
        <x:f>IF(COUNT('Фин.показатели 2025'!Z39,'1 пол. 2026'!Z39,'1 пол. 2025'!Z39)=3,'Фин.показатели 2025'!Z39+'1 пол. 2026'!Z39-'1 пол. 2025'!Z39,"н.д.")</x:f>
        <x:v>н.д.</x:v>
      </x:c>
      <x:c r="AA39" s="80" t="str">
        <x:f>IF(COUNT('Фин.показатели 2025'!AA39,'1 пол. 2026'!AA39,'1 пол. 2025'!AA39)=3,'Фин.показатели 2025'!AA39+'1 пол. 2026'!AA39-'1 пол. 2025'!AA39,"н.д.")</x:f>
        <x:v>н.д.</x:v>
      </x:c>
      <x:c r="AB39" s="66"/>
      <x:c r="AC39" s="66"/>
      <x:c r="AD39" s="66"/>
      <x:c r="AE39" s="66"/>
      <x:c r="AF39" s="66" t="n">
        <x:f>IF(COUNT('Фин.показатели 2025'!AF39,'1 пол. 2026'!AF39,'1 пол. 2025'!AF39)=3,'Фин.показатели 2025'!AF39+'1 пол. 2026'!AF39-'1 пол. 2025'!AF39,"н.д.")</x:f>
        <x:v>-1097</x:v>
      </x:c>
      <x:c r="AG39" s="80" t="n">
        <x:f>IF(COUNT('Фин.показатели 2025'!AG39,'1 пол. 2026'!AG39,'1 пол. 2025'!AG39)=3,'Фин.показатели 2025'!AG39+'1 пол. 2026'!AG39-'1 пол. 2025'!AG39,"н.д.")</x:f>
        <x:v>26161</x:v>
      </x:c>
      <x:c r="AH39" s="64"/>
      <x:c r="AI39" s="80" t="str">
        <x:f>IF('1 пол. 2026'!AI39="н.п.","н.п.",IF(COUNT('Фин.показатели 2025'!AI39,'1 пол. 2026'!AI39,'1 пол. 2025'!AI39)=3,'Фин.показатели 2025'!AI39+'1 пол. 2026'!AI39-'1 пол. 2025'!AI39,"н.д."))</x:f>
        <x:v>н.п.</x:v>
      </x:c>
      <x:c r="AJ39" s="64"/>
      <x:c r="AK39" s="80" t="str">
        <x:f>IF('1 пол. 2026'!AK39="н.п.","н.п.",IF(COUNT('Фин.показатели 2025'!AK39,'1 пол. 2026'!AK39,'1 пол. 2025'!AK39)=3,'Фин.показатели 2025'!AK39+'1 пол. 2026'!AK39-'1 пол. 2025'!AK39,"н.д."))</x:f>
        <x:v>н.д.</x:v>
      </x:c>
      <x:c r="AL39" s="64"/>
      <x:c r="AM39" s="80" t="str">
        <x:f>IF(COUNT('Фин.показатели 2025'!AM39,'1 пол. 2026'!AM39,'1 пол. 2025'!AM39)=3,'Фин.показатели 2025'!AM39+'1 пол. 2026'!AM39-'1 пол. 2025'!AM39,"н.д.")</x:f>
        <x:v>н.д.</x:v>
      </x:c>
      <x:c r="AN39" s="64"/>
      <x:c r="AO39" s="64"/>
      <x:c r="AP39" s="80" t="str">
        <x:f>IF(COUNT('Фин.показатели 2025'!AP39,'1 пол. 2026'!AP39,'1 пол. 2025'!AP39)=3,'Фин.показатели 2025'!AP39+'1 пол. 2026'!AP39-'1 пол. 2025'!AP39,"н.д.")</x:f>
        <x:v>н.д.</x:v>
      </x:c>
      <x:c r="AQ39" s="64"/>
      <x:c r="AR39" s="80" t="str">
        <x:f>IF(COUNT('Фин.показатели 2025'!AR39,'1 пол. 2026'!AR39,'1 пол. 2025'!AR39)=3,'Фин.показатели 2025'!AR39+'1 пол. 2026'!AR39-'1 пол. 2025'!AR39,"н.д.")</x:f>
        <x:v>н.д.</x:v>
      </x:c>
      <x:c r="AS39" s="65"/>
      <x:c r="AT39" s="65"/>
      <x:c r="AU39" s="65"/>
      <x:c r="AV39" s="65"/>
      <x:c r="AW39" s="65"/>
      <x:c r="AX39" s="65"/>
      <x:c r="AY39" s="65"/>
      <x:c r="AZ39" s="65"/>
      <x:c r="BA39" s="65"/>
      <x:c r="BB39" s="65"/>
      <x:c r="BC39" s="67" t="str">
        <x:v>1 пол. 2026!BC39</x:v>
      </x:c>
      <x:c r="BD39" s="67" t="str">
        <x:v>1 пол. 2026!BD39</x:v>
      </x:c>
      <x:c r="BE39" s="67" t="str">
        <x:v>1 пол. 2026!BE39</x:v>
      </x:c>
      <x:c r="BF39" s="67" t="str">
        <x:v>Фин.показатели 2025!BF39; 1 пол. 2025!BF39; 1 пол. 2026!BF39</x:v>
      </x:c>
      <x:c r="BG39" s="67" t="str">
        <x:v>Фин.показатели 2025!BG39; 1 пол. 2025!BG39; 1 пол. 2026!BG39</x:v>
      </x:c>
      <x:c r="BH39" s="67" t="str">
        <x:v>Фин.показатели 2025!BH39; 1 пол. 2025!BH39; 1 пол. 2026!BH39</x:v>
      </x:c>
      <x:c r="BI39" s="67" t="str">
        <x:v>Фин.показатели 2025!BI39; 1 пол. 2025!BI39; 1 пол. 2026!BI39</x:v>
      </x:c>
      <x:c r="BJ39" s="67" t="str">
        <x:v>Фин.показатели 2025!BJ39; 1 пол. 2025!BJ39; 1 пол. 2026!BJ39</x:v>
      </x:c>
      <x:c r="BK39" s="67" t="str">
        <x:v>Фин.показатели 2025!BK39; 1 пол. 2025!BK39; 1 пол. 2026!BK39</x:v>
      </x:c>
      <x:c r="BL39" s="67" t="str">
        <x:v>Фин.показатели 2025!BL39; 1 пол. 2025!BL39; 1 пол. 2026!BL39</x:v>
      </x:c>
      <x:c r="BM39" s="67" t="str">
        <x:v>1 пол. 2026!BM39</x:v>
      </x:c>
      <x:c r="BN39" s="65"/>
      <x:c r="BO39" s="65" t="n">
        <x:f>'1 пол. 2026'!BO39</x:f>
        <x:v>236</x:v>
      </x:c>
      <x:c r="BP39" s="65"/>
      <x:c r="BQ39" s="65"/>
      <x:c r="BR39" s="67" t="str"/>
      <x:c r="BS39" s="65" t="n">
        <x:f>IF(COUNT('Фин.показатели 2025'!BS39,'1 пол. 2026'!BS39,'1 пол. 2025'!BS39)=3,'Фин.показатели 2025'!BS39+'1 пол. 2026'!BS39-'1 пол. 2025'!BS39,"н.д.")</x:f>
        <x:v>2220</x:v>
      </x:c>
      <x:c r="BT39" s="65" t="n">
        <x:f>IF(COUNT('Фин.показатели 2025'!BT39,'1 пол. 2026'!BT39,'1 пол. 2025'!BT39)=3,'Фин.показатели 2025'!BT39+'1 пол. 2026'!BT39-'1 пол. 2025'!BT39,"н.д.")</x:f>
        <x:v>9</x:v>
      </x:c>
      <x:c r="BU39" s="65"/>
      <x:c r="BV39" s="65" t="n">
        <x:f>IF(COUNT('Фин.показатели 2025'!BV39,'1 пол. 2026'!BV39,'1 пол. 2025'!BV39)=3,'Фин.показатели 2025'!BV39+'1 пол. 2026'!BV39-'1 пол. 2025'!BV39,"н.д.")</x:f>
        <x:v>93</x:v>
      </x:c>
      <x:c r="BW39" s="65"/>
      <x:c r="BX39" s="65"/>
      <x:c r="BY39" s="65" t="n">
        <x:f>IF(COUNT('Фин.показатели 2025'!BY39,'1 пол. 2026'!BY39,'1 пол. 2025'!BY39)=3,'Фин.показатели 2025'!BY39+'1 пол. 2026'!BY39-'1 пол. 2025'!BY39,"н.д.")</x:f>
        <x:v>2</x:v>
      </x:c>
      <x:c r="BZ39" s="65" t="n">
        <x:f>IF(COUNT('Фин.показатели 2025'!BZ39,'1 пол. 2026'!BZ39,'1 пол. 2025'!BZ39)=3,'Фин.показатели 2025'!BZ39+'1 пол. 2026'!BZ39-'1 пол. 2025'!BZ39,"н.д.")</x:f>
        <x:v>-2347</x:v>
      </x:c>
      <x:c r="CA39" s="65" t="n">
        <x:f>IF(COUNT('Фин.показатели 2025'!CA39,'1 пол. 2026'!CA39,'1 пол. 2025'!CA39)=3,'Фин.показатели 2025'!CA39+'1 пол. 2026'!CA39-'1 пол. 2025'!CA39,"н.д.")</x:f>
        <x:v>-3528</x:v>
      </x:c>
      <x:c r="CB39" s="65"/>
      <x:c r="CC39" s="65"/>
      <x:c r="CD39" s="65"/>
      <x:c r="CE39" s="65"/>
      <x:c r="CF39" s="65"/>
      <x:c r="CG39" s="65"/>
      <x:c r="CH39" s="65"/>
      <x:c r="CI39" s="65"/>
      <x:c r="CJ39" s="65"/>
      <x:c r="CK39" s="65"/>
      <x:c r="CL39" s="65"/>
      <x:c r="CM39" s="65"/>
      <x:c r="CN39" s="65"/>
    </x:row>
    <x:row r="40" ht="16.5">
      <x:c r="B40" s="3">
        <x:v>34</x:v>
      </x:c>
      <x:c r="C40" s="3" t="s">
        <x:v>116</x:v>
      </x:c>
      <x:c r="E40" s="64"/>
      <x:c r="F40" s="64"/>
      <x:c r="G40" s="64"/>
      <x:c r="H40" s="64" t="n">
        <x:f>IF(COUNT('Фин.показатели 2025'!H40,'1 пол. 2026'!H40,'1 пол. 2025'!H40)=3,'Фин.показатели 2025'!H40+'1 пол. 2026'!H40-'1 пол. 2025'!H40,"н.д.")</x:f>
        <x:v>411715.37999999995</x:v>
      </x:c>
      <x:c r="I40" s="64"/>
      <x:c r="J40" s="64" t="n">
        <x:f>IF(COUNT('Фин.показатели 2025'!J40,'1 пол. 2026'!J40,'1 пол. 2025'!J40)=3,'Фин.показатели 2025'!J40+'1 пол. 2026'!J40-'1 пол. 2025'!J40,"н.д.")</x:f>
        <x:v>48044.81800000001</x:v>
      </x:c>
      <x:c r="K40" s="64"/>
      <x:c r="L40" s="64"/>
      <x:c r="M40" s="64"/>
      <x:c r="N40" s="64" t="n">
        <x:f>IF(COUNT('Фин.показатели 2025'!N40,'1 пол. 2026'!N40,'1 пол. 2025'!N40)=3,'Фин.показатели 2025'!N40+'1 пол. 2026'!N40-'1 пол. 2025'!N40,"н.д.")</x:f>
        <x:v>11480.851</x:v>
      </x:c>
      <x:c r="O40" s="64" t="n">
        <x:f>'1 пол. 2026'!O40</x:f>
        <x:v>238126.417</x:v>
      </x:c>
      <x:c r="P40" s="65"/>
      <x:c r="Q40" s="65"/>
      <x:c r="R40" s="80" t="str">
        <x:f>IF(ISNUMBER('1 пол. 2026'!R40),'1 пол. 2026'!R40,"н.д.")</x:f>
        <x:v>н.д.</x:v>
      </x:c>
      <x:c r="S40" s="66"/>
      <x:c r="T40" s="66"/>
      <x:c r="U40" s="66"/>
      <x:c r="V40" s="66"/>
      <x:c r="W40" s="80" t="str">
        <x:f>IF(ISNUMBER('1 пол. 2026'!W40),'1 пол. 2026'!W40,"н.д.")</x:f>
        <x:v>н.д.</x:v>
      </x:c>
      <x:c r="X40" s="64"/>
      <x:c r="Y40" s="66" t="str">
        <x:f>'1 пол. 2026'!Y40</x:f>
        <x:v>н.п.</x:v>
      </x:c>
      <x:c r="Z40" s="80" t="str">
        <x:f>IF(COUNT('Фин.показатели 2025'!Z40,'1 пол. 2026'!Z40,'1 пол. 2025'!Z40)=3,'Фин.показатели 2025'!Z40+'1 пол. 2026'!Z40-'1 пол. 2025'!Z40,"н.д.")</x:f>
        <x:v>н.д.</x:v>
      </x:c>
      <x:c r="AA40" s="80" t="str">
        <x:f>IF(COUNT('Фин.показатели 2025'!AA40,'1 пол. 2026'!AA40,'1 пол. 2025'!AA40)=3,'Фин.показатели 2025'!AA40+'1 пол. 2026'!AA40-'1 пол. 2025'!AA40,"н.д.")</x:f>
        <x:v>н.д.</x:v>
      </x:c>
      <x:c r="AB40" s="66"/>
      <x:c r="AC40" s="66"/>
      <x:c r="AD40" s="66"/>
      <x:c r="AE40" s="66"/>
      <x:c r="AF40" s="66" t="n">
        <x:f>IF(COUNT('Фин.показатели 2025'!AF40,'1 пол. 2026'!AF40,'1 пол. 2025'!AF40)=3,'Фин.показатели 2025'!AF40+'1 пол. 2026'!AF40-'1 пол. 2025'!AF40,"н.д.")</x:f>
        <x:v>-3022.8500000000004</x:v>
      </x:c>
      <x:c r="AG40" s="80" t="n">
        <x:f>IF(COUNT('Фин.показатели 2025'!AG40,'1 пол. 2026'!AG40,'1 пол. 2025'!AG40)=3,'Фин.показатели 2025'!AG40+'1 пол. 2026'!AG40-'1 пол. 2025'!AG40,"н.д.")</x:f>
        <x:v>48044.81800000001</x:v>
      </x:c>
      <x:c r="AH40" s="64"/>
      <x:c r="AI40" s="80" t="str">
        <x:f>IF('1 пол. 2026'!AI40="н.п.","н.п.",IF(COUNT('Фин.показатели 2025'!AI40,'1 пол. 2026'!AI40,'1 пол. 2025'!AI40)=3,'Фин.показатели 2025'!AI40+'1 пол. 2026'!AI40-'1 пол. 2025'!AI40,"н.д."))</x:f>
        <x:v>н.п.</x:v>
      </x:c>
      <x:c r="AJ40" s="64"/>
      <x:c r="AK40" s="80" t="str">
        <x:f>IF('1 пол. 2026'!AK40="н.п.","н.п.",IF(COUNT('Фин.показатели 2025'!AK40,'1 пол. 2026'!AK40,'1 пол. 2025'!AK40)=3,'Фин.показатели 2025'!AK40+'1 пол. 2026'!AK40-'1 пол. 2025'!AK40,"н.д."))</x:f>
        <x:v>н.п.</x:v>
      </x:c>
      <x:c r="AL40" s="64"/>
      <x:c r="AM40" s="80" t="str">
        <x:f>IF(COUNT('Фин.показатели 2025'!AM40,'1 пол. 2026'!AM40,'1 пол. 2025'!AM40)=3,'Фин.показатели 2025'!AM40+'1 пол. 2026'!AM40-'1 пол. 2025'!AM40,"н.д.")</x:f>
        <x:v>н.д.</x:v>
      </x:c>
      <x:c r="AN40" s="64"/>
      <x:c r="AO40" s="64"/>
      <x:c r="AP40" s="80" t="str">
        <x:f>IF(COUNT('Фин.показатели 2025'!AP40,'1 пол. 2026'!AP40,'1 пол. 2025'!AP40)=3,'Фин.показатели 2025'!AP40+'1 пол. 2026'!AP40-'1 пол. 2025'!AP40,"н.д.")</x:f>
        <x:v>н.д.</x:v>
      </x:c>
      <x:c r="AQ40" s="64"/>
      <x:c r="AR40" s="80" t="str">
        <x:f>IF(COUNT('Фин.показатели 2025'!AR40,'1 пол. 2026'!AR40,'1 пол. 2025'!AR40)=3,'Фин.показатели 2025'!AR40+'1 пол. 2026'!AR40-'1 пол. 2025'!AR40,"н.д.")</x:f>
        <x:v>н.д.</x:v>
      </x:c>
      <x:c r="AS40" s="65"/>
      <x:c r="AT40" s="65"/>
      <x:c r="AU40" s="65"/>
      <x:c r="AV40" s="65"/>
      <x:c r="AW40" s="65"/>
      <x:c r="AX40" s="65"/>
      <x:c r="AY40" s="65"/>
      <x:c r="AZ40" s="65"/>
      <x:c r="BA40" s="65"/>
      <x:c r="BB40" s="65"/>
      <x:c r="BC40" s="67" t="str">
        <x:v>1 пол. 2026!BC40</x:v>
      </x:c>
      <x:c r="BD40" s="67" t="str">
        <x:v>1 пол. 2026!BD40</x:v>
      </x:c>
      <x:c r="BE40" s="67" t="str">
        <x:v>1 пол. 2026!BE40</x:v>
      </x:c>
      <x:c r="BF40" s="67" t="str">
        <x:v>Фин.показатели 2025!BF40; 1 пол. 2025!BF40; 1 пол. 2026!BF40</x:v>
      </x:c>
      <x:c r="BG40" s="67" t="str">
        <x:v>Фин.показатели 2025!BG40; 1 пол. 2025!BG40; 1 пол. 2026!BG40</x:v>
      </x:c>
      <x:c r="BH40" s="67" t="str">
        <x:v>Фин.показатели 2025!BH40; 1 пол. 2025!BH40; 1 пол. 2026!BH40</x:v>
      </x:c>
      <x:c r="BI40" s="67" t="str">
        <x:v>Фин.показатели 2025!BI40; 1 пол. 2025!BI40; 1 пол. 2026!BI40</x:v>
      </x:c>
      <x:c r="BJ40" s="67" t="str">
        <x:v>Фин.показатели 2025!BJ40; 1 пол. 2025!BJ40; 1 пол. 2026!BJ40</x:v>
      </x:c>
      <x:c r="BK40" s="67" t="str">
        <x:v>Фин.показатели 2025!BK40; 1 пол. 2025!BK40; 1 пол. 2026!BK40</x:v>
      </x:c>
      <x:c r="BL40" s="67" t="str">
        <x:v>Фин.показатели 2025!BL40; 1 пол. 2025!BL40; 1 пол. 2026!BL40</x:v>
      </x:c>
      <x:c r="BM40" s="67" t="str">
        <x:v>1 пол. 2026!BM40</x:v>
      </x:c>
      <x:c r="BN40" s="65"/>
      <x:c r="BO40" s="65" t="n">
        <x:f>'1 пол. 2026'!BO40</x:f>
        <x:v>22308.132</x:v>
      </x:c>
      <x:c r="BP40" s="65"/>
      <x:c r="BQ40" s="65"/>
      <x:c r="BR40" s="67" t="str"/>
      <x:c r="BS40" s="65"/>
      <x:c r="BT40" s="65"/>
      <x:c r="BU40" s="65"/>
      <x:c r="BV40" s="65"/>
      <x:c r="BW40" s="65" t="n">
        <x:f>IF(COUNT('Фин.показатели 2025'!BW40,'1 пол. 2026'!BW40,'1 пол. 2025'!BW40)=3,'Фин.показатели 2025'!BW40+'1 пол. 2026'!BW40-'1 пол. 2025'!BW40,"н.д.")</x:f>
        <x:v>-9199.331</x:v>
      </x:c>
      <x:c r="BX40" s="65" t="n">
        <x:f>IF(COUNT('Фин.показатели 2025'!BX40,'1 пол. 2026'!BX40,'1 пол. 2025'!BX40)=3,'Фин.показатели 2025'!BX40+'1 пол. 2026'!BX40-'1 пол. 2025'!BX40,"н.д.")</x:f>
        <x:v>6176.481</x:v>
      </x:c>
      <x:c r="BY40" s="65"/>
      <x:c r="BZ40" s="65"/>
      <x:c r="CA40" s="65"/>
      <x:c r="CB40" s="65"/>
      <x:c r="CC40" s="65"/>
      <x:c r="CD40" s="65"/>
      <x:c r="CE40" s="65"/>
      <x:c r="CF40" s="65"/>
      <x:c r="CG40" s="65"/>
      <x:c r="CH40" s="65"/>
      <x:c r="CI40" s="65"/>
      <x:c r="CJ40" s="65"/>
      <x:c r="CK40" s="65"/>
      <x:c r="CL40" s="65"/>
      <x:c r="CM40" s="65"/>
      <x:c r="CN40" s="65"/>
    </x:row>
  </x:sheetData>
  <x:mergeCells>
    <x:mergeCell ref="AT5:BA5"/>
    <x:mergeCell ref="E5:O5"/>
    <x:mergeCell ref="BC5:BM5"/>
    <x:mergeCell ref="B5:C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xSplit="3" ySplit="6" topLeftCell="D7" activePane="bottomRight" state="frozen"/>
    </x:sheetView>
  </x:sheetViews>
  <x:sheetFormatPr defaultRowHeight="15"/>
  <x:cols>
    <x:col min="3" max="3" width="17.85546875" customWidth="1"/>
    <x:col min="8" max="8" width="20" hidden="0" customWidth="1"/>
    <x:col min="9" max="9" width="20" hidden="0" customWidth="1"/>
    <x:col min="10" max="10" width="20" hidden="0" customWidth="1"/>
    <x:col min="14" max="14" width="20" hidden="0" customWidth="1"/>
    <x:col min="15" max="15" width="20" hidden="0" customWidth="1"/>
    <x:col min="16" max="16" width="8.42578125" customWidth="1"/>
    <x:col min="17" max="17" width="6.7109375" customWidth="1"/>
    <x:col min="18" max="18" width="22.85546875" customWidth="1"/>
    <x:col min="19" max="19" width="20.85546875" customWidth="1"/>
    <x:col min="20" max="20" width="20.85546875" customWidth="1"/>
    <x:col min="21" max="21" width="20.42578125" customWidth="1"/>
    <x:col min="22" max="22" width="34.42578125" customWidth="1"/>
    <x:col min="23" max="23" width="22.7109375" customWidth="1"/>
    <x:col min="24" max="24" width="12.140625" customWidth="1"/>
    <x:col min="45" max="45" width="8.7109375" customWidth="1"/>
    <x:col min="46" max="46" width="13.42578125" customWidth="1"/>
    <x:col min="66" max="66" width="25" hidden="0" customWidth="1"/>
    <x:col min="67" max="67" width="25" hidden="0" customWidth="1"/>
    <x:col min="68" max="68" width="25" hidden="0" customWidth="1"/>
    <x:col min="69" max="69" width="25" hidden="0" customWidth="1"/>
    <x:col min="70" max="70" width="70" hidden="0" customWidth="1"/>
    <x:col min="71" max="71" width="25" hidden="0" customWidth="1"/>
    <x:col min="72" max="72" width="25" hidden="0" customWidth="1"/>
    <x:col min="73" max="73" width="25" hidden="0" customWidth="1"/>
    <x:col min="74" max="74" width="25" hidden="0" customWidth="1"/>
    <x:col min="75" max="75" width="25" hidden="0" customWidth="1"/>
    <x:col min="76" max="76" width="25" hidden="0" customWidth="1"/>
    <x:col min="77" max="77" width="25" hidden="0" customWidth="1"/>
    <x:col min="78" max="78" width="25" hidden="0" customWidth="1"/>
    <x:col min="79" max="79" width="25" hidden="0" customWidth="1"/>
    <x:col min="80" max="80" width="25" hidden="0" customWidth="1"/>
    <x:col min="81" max="81" width="25" hidden="0" customWidth="1"/>
    <x:col min="82" max="82" width="25" hidden="0" customWidth="1"/>
    <x:col min="83" max="83" width="25" hidden="0" customWidth="1"/>
    <x:col min="84" max="84" width="25" hidden="0" customWidth="1"/>
    <x:col min="85" max="85" width="25" hidden="0" customWidth="1"/>
    <x:col min="86" max="86" width="25" hidden="0" customWidth="1"/>
    <x:col min="87" max="87" width="25" hidden="0" customWidth="1"/>
    <x:col min="88" max="88" width="25" hidden="0" customWidth="1"/>
    <x:col min="89" max="89" width="25" hidden="0" customWidth="1"/>
    <x:col min="90" max="90" width="25" hidden="0" customWidth="1"/>
    <x:col min="91" max="91" width="25" hidden="0" customWidth="1"/>
    <x:col min="92" max="92" width="25" hidden="0" customWidth="1"/>
    <x:col min="55" max="55" width="38" hidden="0" customWidth="1"/>
    <x:col min="56" max="56" width="38" hidden="0" customWidth="1"/>
    <x:col min="57" max="57" width="38" hidden="0" customWidth="1"/>
    <x:col min="58" max="58" width="38" hidden="0" customWidth="1"/>
    <x:col min="59" max="59" width="38" hidden="0" customWidth="1"/>
    <x:col min="60" max="60" width="38" hidden="0" customWidth="1"/>
    <x:col min="61" max="61" width="38" hidden="0" customWidth="1"/>
    <x:col min="62" max="62" width="38" hidden="0" customWidth="1"/>
    <x:col min="63" max="63" width="38" hidden="0" customWidth="1"/>
    <x:col min="64" max="64" width="38" hidden="0" customWidth="1"/>
    <x:col min="65" max="65" width="38" hidden="0" customWidth="1"/>
    <x:col min="5" max="5" width="20" hidden="0" customWidth="1"/>
    <x:col min="6" max="6" width="20" hidden="0" customWidth="1"/>
    <x:col min="7" max="7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/>
      <x:c r="B1"/>
      <x:c r="C1"/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  <x:c r="AA1"/>
      <x:c r="AB1"/>
      <x:c r="AC1"/>
      <x:c r="AD1"/>
      <x:c r="AE1"/>
      <x:c r="AF1"/>
      <x:c r="AG1"/>
      <x:c r="AH1"/>
      <x:c r="AI1"/>
      <x:c r="AJ1"/>
      <x:c r="AK1"/>
      <x:c r="AL1"/>
      <x:c r="AM1"/>
      <x:c r="AN1"/>
      <x:c r="AO1"/>
      <x:c r="AP1"/>
      <x:c r="AQ1"/>
      <x:c r="AR1"/>
      <x:c r="AS1"/>
      <x:c r="AT1"/>
      <x:c r="AU1"/>
      <x:c r="AV1"/>
      <x:c r="AW1"/>
      <x:c r="AX1"/>
      <x:c r="AY1"/>
      <x:c r="AZ1"/>
      <x:c r="BA1"/>
      <x:c r="BB1"/>
      <x:c r="BC1"/>
      <x:c r="BD1"/>
      <x:c r="BE1"/>
      <x:c r="BF1"/>
      <x:c r="BG1"/>
      <x:c r="BH1"/>
      <x:c r="BI1"/>
      <x:c r="BJ1"/>
      <x:c r="BK1"/>
      <x:c r="BL1"/>
      <x:c r="BM1"/>
    </x:row>
    <x:row r="2">
      <x:c r="A2"/>
      <x:c r="B2" t="str">
        <x:v>Год 2025</x:v>
      </x:c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  <x:c r="AD2"/>
      <x:c r="AE2"/>
      <x:c r="AF2"/>
      <x:c r="AG2"/>
      <x:c r="AH2"/>
      <x:c r="AI2"/>
      <x:c r="AJ2"/>
      <x:c r="AK2"/>
      <x:c r="AL2"/>
      <x:c r="AM2"/>
      <x:c r="AN2"/>
      <x:c r="AO2"/>
      <x:c r="AP2"/>
      <x:c r="AQ2"/>
      <x:c r="AR2"/>
      <x:c r="AS2"/>
      <x:c r="AT2"/>
      <x:c r="AU2"/>
      <x:c r="AV2"/>
      <x:c r="AW2"/>
      <x:c r="AX2"/>
      <x:c r="AY2"/>
      <x:c r="AZ2"/>
      <x:c r="BA2"/>
      <x:c r="BB2"/>
      <x:c r="BC2"/>
      <x:c r="BD2"/>
      <x:c r="BE2"/>
      <x:c r="BF2"/>
      <x:c r="BG2"/>
      <x:c r="BH2"/>
      <x:c r="BI2"/>
      <x:c r="BJ2"/>
      <x:c r="BK2"/>
      <x:c r="BL2"/>
      <x:c r="BM2"/>
    </x:row>
    <x:row r="3">
      <x:c r="A3"/>
      <x:c r="B3"/>
      <x:c r="C3"/>
      <x:c r="D3"/>
      <x:c r="E3" t="str">
        <x:v>Все суммы в млн руб. Источники и подробные расчеты — на листе «Расчетные показатели».</x:v>
      </x:c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  <x:c r="AC3"/>
      <x:c r="AD3"/>
      <x:c r="AE3"/>
      <x:c r="AF3"/>
      <x:c r="AG3"/>
      <x:c r="AH3"/>
      <x:c r="AI3"/>
      <x:c r="AJ3"/>
      <x:c r="AK3"/>
      <x:c r="AL3"/>
      <x:c r="AM3"/>
      <x:c r="AN3"/>
      <x:c r="AO3"/>
      <x:c r="AP3"/>
      <x:c r="AQ3"/>
      <x:c r="AR3"/>
      <x:c r="AS3"/>
      <x:c r="AT3"/>
      <x:c r="AU3"/>
      <x:c r="AV3"/>
      <x:c r="AW3"/>
      <x:c r="AX3"/>
      <x:c r="AY3"/>
      <x:c r="AZ3"/>
      <x:c r="BA3"/>
      <x:c r="BB3"/>
      <x:c r="BC3"/>
      <x:c r="BD3"/>
      <x:c r="BE3"/>
      <x:c r="BF3"/>
      <x:c r="BG3"/>
      <x:c r="BH3"/>
      <x:c r="BI3"/>
      <x:c r="BJ3"/>
      <x:c r="BK3"/>
      <x:c r="BL3"/>
      <x:c r="BM3"/>
    </x:row>
    <x:row r="4">
      <x:c r="A4"/>
      <x:c r="B4"/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/>
      <x:c r="AB4"/>
      <x:c r="AC4"/>
      <x:c r="AD4"/>
      <x:c r="AE4"/>
      <x:c r="AF4"/>
      <x:c r="AG4"/>
      <x:c r="AH4"/>
      <x:c r="AI4"/>
      <x:c r="AJ4"/>
      <x:c r="AK4"/>
      <x:c r="AL4"/>
      <x:c r="AM4"/>
      <x:c r="AN4"/>
      <x:c r="AO4"/>
      <x:c r="AP4"/>
      <x:c r="AQ4"/>
      <x:c r="AR4"/>
      <x:c r="AS4"/>
      <x:c r="AT4"/>
      <x:c r="AU4"/>
      <x:c r="AV4"/>
      <x:c r="AW4"/>
      <x:c r="AX4"/>
      <x:c r="AY4"/>
      <x:c r="AZ4"/>
      <x:c r="BA4"/>
      <x:c r="BB4"/>
      <x:c r="BC4"/>
      <x:c r="BD4"/>
      <x:c r="BE4"/>
      <x:c r="BF4"/>
      <x:c r="BG4"/>
      <x:c r="BH4"/>
      <x:c r="BI4"/>
      <x:c r="BJ4"/>
      <x:c r="BK4"/>
      <x:c r="BL4"/>
      <x:c r="BM4"/>
    </x:row>
    <x:row r="5">
      <x:c r="A5"/>
      <x:c r="B5" s="20" t="s">
        <x:v>120</x:v>
      </x:c>
      <x:c r="C5" s="20"/>
      <x:c r="D5"/>
      <x:c r="E5" s="20" t="str">
        <x:v>Финансовые показатели: раскрытые и расчетные</x:v>
      </x:c>
      <x:c r="F5" s="20"/>
      <x:c r="G5" s="20"/>
      <x:c r="H5" s="20"/>
      <x:c r="I5" s="20"/>
      <x:c r="J5" s="20"/>
      <x:c r="K5" s="20"/>
      <x:c r="L5" s="20"/>
      <x:c r="M5" s="20"/>
      <x:c r="N5" s="20"/>
      <x:c r="O5" s="20"/>
      <x:c r="P5"/>
      <x:c r="Q5"/>
      <x:c r="R5" s="29" t="s">
        <x:v>121</x:v>
      </x:c>
      <x:c r="S5" s="29"/>
      <x:c r="T5" s="29"/>
      <x:c r="U5" s="29"/>
      <x:c r="V5" s="29"/>
      <x:c r="W5" s="29"/>
      <x:c r="X5" s="29"/>
      <x:c r="Y5" s="29"/>
      <x:c r="Z5" s="29"/>
      <x:c r="AA5" s="29"/>
      <x:c r="AB5" s="29"/>
      <x:c r="AC5" s="29"/>
      <x:c r="AD5" s="29"/>
      <x:c r="AE5" s="29"/>
      <x:c r="AF5" s="29"/>
      <x:c r="AG5" s="29"/>
      <x:c r="AH5" s="29"/>
      <x:c r="AI5" s="29"/>
      <x:c r="AJ5" s="29"/>
      <x:c r="AK5" s="29"/>
      <x:c r="AL5" s="29"/>
      <x:c r="AM5" s="29"/>
      <x:c r="AN5" s="29"/>
      <x:c r="AO5" s="29"/>
      <x:c r="AP5" s="29"/>
      <x:c r="AQ5" s="54"/>
      <x:c r="AR5" s="54"/>
      <x:c r="AS5"/>
      <x:c r="AT5" s="41" t="s">
        <x:v>122</x:v>
      </x:c>
      <x:c r="AU5" s="41"/>
      <x:c r="AV5" s="41"/>
      <x:c r="AW5" s="41"/>
      <x:c r="AX5" s="41"/>
      <x:c r="AY5" s="41"/>
      <x:c r="AZ5" s="41"/>
      <x:c r="BA5" s="41"/>
      <x:c r="BB5"/>
      <x:c r="BC5" s="20" t="s">
        <x:v>123</x:v>
      </x:c>
      <x:c r="BD5" s="20"/>
      <x:c r="BE5" s="20"/>
      <x:c r="BF5" s="20"/>
      <x:c r="BG5" s="20"/>
      <x:c r="BH5" s="20"/>
      <x:c r="BI5" s="20"/>
      <x:c r="BJ5" s="20"/>
      <x:c r="BK5" s="20"/>
      <x:c r="BL5" s="20"/>
      <x:c r="BM5" s="20"/>
    </x:row>
    <x:row r="6" ht="42.75">
      <x:c r="A6"/>
      <x:c r="B6" s="20" t="s">
        <x:v>33</x:v>
      </x:c>
      <x:c r="C6" s="20" t="s">
        <x:v>34</x:v>
      </x:c>
      <x:c r="D6"/>
      <x:c r="E6" s="21" t="s">
        <x:v>54</x:v>
      </x:c>
      <x:c r="F6" s="21" t="s">
        <x:v>55</x:v>
      </x:c>
      <x:c r="G6" s="21" t="s">
        <x:v>56</x:v>
      </x:c>
      <x:c r="H6" s="21" t="s">
        <x:v>62</x:v>
      </x:c>
      <x:c r="I6" s="20" t="s">
        <x:v>63</x:v>
      </x:c>
      <x:c r="J6" s="21" t="s">
        <x:v>64</x:v>
      </x:c>
      <x:c r="K6" s="20" t="s">
        <x:v>65</x:v>
      </x:c>
      <x:c r="L6" s="20" t="s">
        <x:v>66</x:v>
      </x:c>
      <x:c r="M6" s="20" t="s">
        <x:v>67</x:v>
      </x:c>
      <x:c r="N6" s="21" t="s">
        <x:v>68</x:v>
      </x:c>
      <x:c r="O6" s="20" t="s">
        <x:v>69</x:v>
      </x:c>
      <x:c r="P6"/>
      <x:c r="Q6"/>
      <x:c r="R6" s="21" t="s">
        <x:v>54</x:v>
      </x:c>
      <x:c r="S6" s="21" t="s">
        <x:v>124</x:v>
      </x:c>
      <x:c r="T6" s="21" t="s">
        <x:v>125</x:v>
      </x:c>
      <x:c r="U6" s="21" t="s">
        <x:v>126</x:v>
      </x:c>
      <x:c r="V6" s="21" t="s">
        <x:v>127</x:v>
      </x:c>
      <x:c r="W6" s="21" t="s">
        <x:v>55</x:v>
      </x:c>
      <x:c r="X6" s="21" t="s">
        <x:v>128</x:v>
      </x:c>
      <x:c r="Y6" s="21" t="s">
        <x:v>56</x:v>
      </x:c>
      <x:c r="Z6" s="20" t="s">
        <x:v>63</x:v>
      </x:c>
      <x:c r="AA6" s="20" t="s">
        <x:v>68</x:v>
      </x:c>
      <x:c r="AB6" s="20" t="s">
        <x:v>129</x:v>
      </x:c>
      <x:c r="AC6" s="21" t="s">
        <x:v>130</x:v>
      </x:c>
      <x:c r="AD6" s="21" t="s">
        <x:v>131</x:v>
      </x:c>
      <x:c r="AE6" s="20" t="s">
        <x:v>132</x:v>
      </x:c>
      <x:c r="AF6" s="21" t="s">
        <x:v>133</x:v>
      </x:c>
      <x:c r="AG6" s="21" t="s">
        <x:v>64</x:v>
      </x:c>
      <x:c r="AH6" s="21" t="s">
        <x:v>128</x:v>
      </x:c>
      <x:c r="AI6" s="20" t="s">
        <x:v>65</x:v>
      </x:c>
      <x:c r="AJ6" s="20" t="s">
        <x:v>134</x:v>
      </x:c>
      <x:c r="AK6" s="20" t="s">
        <x:v>66</x:v>
      </x:c>
      <x:c r="AL6" s="21" t="s">
        <x:v>135</x:v>
      </x:c>
      <x:c r="AM6" s="21" t="s">
        <x:v>136</x:v>
      </x:c>
      <x:c r="AN6" s="21" t="s">
        <x:v>137</x:v>
      </x:c>
      <x:c r="AO6" s="21" t="s">
        <x:v>132</x:v>
      </x:c>
      <x:c r="AP6" s="20" t="s">
        <x:v>67</x:v>
      </x:c>
      <x:c r="AQ6" s="21" t="s">
        <x:v>138</x:v>
      </x:c>
      <x:c r="AR6" s="21" t="s">
        <x:v>139</x:v>
      </x:c>
      <x:c r="AS6"/>
      <x:c r="AT6" s="21" t="s">
        <x:v>54</x:v>
      </x:c>
      <x:c r="AU6" s="21" t="s">
        <x:v>55</x:v>
      </x:c>
      <x:c r="AV6" s="21" t="s">
        <x:v>56</x:v>
      </x:c>
      <x:c r="AW6" s="21" t="s">
        <x:v>64</x:v>
      </x:c>
      <x:c r="AX6" s="21" t="s">
        <x:v>65</x:v>
      </x:c>
      <x:c r="AY6" s="20" t="s">
        <x:v>63</x:v>
      </x:c>
      <x:c r="AZ6" s="20" t="s">
        <x:v>66</x:v>
      </x:c>
      <x:c r="BA6" s="20" t="s">
        <x:v>67</x:v>
      </x:c>
      <x:c r="BB6"/>
      <x:c r="BC6" s="21" t="s">
        <x:v>54</x:v>
      </x:c>
      <x:c r="BD6" s="21" t="s">
        <x:v>55</x:v>
      </x:c>
      <x:c r="BE6" s="21" t="s">
        <x:v>56</x:v>
      </x:c>
      <x:c r="BF6" s="21" t="s">
        <x:v>62</x:v>
      </x:c>
      <x:c r="BG6" s="21" t="s">
        <x:v>64</x:v>
      </x:c>
      <x:c r="BH6" s="20" t="s">
        <x:v>65</x:v>
      </x:c>
      <x:c r="BI6" s="20" t="s">
        <x:v>63</x:v>
      </x:c>
      <x:c r="BJ6" s="20" t="s">
        <x:v>66</x:v>
      </x:c>
      <x:c r="BK6" s="20" t="s">
        <x:v>67</x:v>
      </x:c>
      <x:c r="BL6" s="21" t="s">
        <x:v>68</x:v>
      </x:c>
      <x:c r="BM6" s="20" t="s">
        <x:v>69</x:v>
      </x:c>
      <x:c r="BN6" s="63" t="str">
        <x:v>Обязательства по аренде вне кредитов</x:v>
      </x:c>
      <x:c r="BO6" s="63" t="str">
        <x:v>Неконтролирующие доли</x:v>
      </x:c>
      <x:c r="BP6" s="63" t="str">
        <x:v>Скорр. EBITDA IAS 17</x:v>
      </x:c>
      <x:c r="BQ6" s="63" t="str">
        <x:v>Капитал группы, включая НКД</x:v>
      </x:c>
      <x:c r="BR6" s="63" t="str">
        <x:v>Метод / ограничения</x:v>
      </x:c>
      <x:c r="BS6" s="63" t="str">
        <x:v>Вознаграждения акциями</x:v>
      </x:c>
      <x:c r="BT6" s="63" t="str">
        <x:v>Прочие внеоперационные расходы</x:v>
      </x:c>
      <x:c r="BU6" s="63" t="str">
        <x:v>Минус доход от продажи Авто.ру</x:v>
      </x:c>
      <x:c r="BV6" s="63" t="str">
        <x:v>Курсовые разницы</x:v>
      </x:c>
      <x:c r="BW6" s="63" t="str">
        <x:v>Разовые операционные корректировки</x:v>
      </x:c>
      <x:c r="BX6" s="63" t="str">
        <x:v>Переоценка биологических активов</x:v>
      </x:c>
      <x:c r="BY6" s="63" t="str">
        <x:v>Результат прочих инвестиций</x:v>
      </x:c>
      <x:c r="BZ6" s="63" t="str">
        <x:v>Доля в прибыли инвестиций</x:v>
      </x:c>
      <x:c r="CA6" s="63" t="str">
        <x:v>Прибыль от продажи инвестиций</x:v>
      </x:c>
      <x:c r="CB6" s="63" t="str">
        <x:v>Резервы</x:v>
      </x:c>
      <x:c r="CC6" s="63" t="str">
        <x:v>Обесценение нефинансовых активов</x:v>
      </x:c>
      <x:c r="CD6" s="63" t="str">
        <x:v>Курсовые убытки</x:v>
      </x:c>
      <x:c r="CE6" s="63" t="str">
        <x:v>Фиксированные расходы по аренде</x:v>
      </x:c>
      <x:c r="CF6" s="63" t="str">
        <x:v>Капитализированные расходы и прочее</x:v>
      </x:c>
      <x:c r="CG6" s="63" t="str">
        <x:v>Корректировка отгрузок</x:v>
      </x:c>
      <x:c r="CH6" s="63" t="str">
        <x:v>Краткосрочная аренда</x:v>
      </x:c>
      <x:c r="CI6" s="63" t="str">
        <x:v>Долгосрочная аренда</x:v>
      </x:c>
      <x:c r="CJ6" s="63" t="str">
        <x:v>Облигации</x:v>
      </x:c>
      <x:c r="CK6" s="63" t="str">
        <x:v>Переоценка инвестиций в Яндекс</x:v>
      </x:c>
      <x:c r="CL6" s="63" t="str">
        <x:v>Минус банковские депозиты</x:v>
      </x:c>
      <x:c r="CM6" s="63" t="str">
        <x:v>Расходы на реструктуризацию</x:v>
      </x:c>
      <x:c r="CN6" s="63" t="str">
        <x:v>Операционные курсовые убытки</x:v>
      </x:c>
    </x:row>
    <x:row r="7" ht="16.5">
      <x:c r="A7"/>
      <x:c r="B7" s="3">
        <x:v>1</x:v>
      </x:c>
      <x:c r="C7" s="3" t="s">
        <x:v>70</x:v>
      </x:c>
      <x:c r="D7"/>
      <x:c r="E7" s="64" t="n">
        <x:f>R7</x:f>
        <x:v>-225803</x:v>
      </x:c>
      <x:c r="F7" s="64"/>
      <x:c r="G7" s="64"/>
      <x:c r="H7" s="64" t="n">
        <x:f>'Расчетные показатели'!E2</x:f>
        <x:v>3767768</x:v>
      </x:c>
      <x:c r="I7" s="64" t="n">
        <x:f>Z7</x:f>
        <x:v>892086</x:v>
      </x:c>
      <x:c r="J7" s="64"/>
      <x:c r="K7" s="64"/>
      <x:c r="L7" s="64"/>
      <x:c r="M7" s="64"/>
      <x:c r="N7" s="64" t="n">
        <x:f>'Расчетные показатели'!E4</x:f>
        <x:v>-1064269</x:v>
      </x:c>
      <x:c r="O7" s="64" t="n">
        <x:f>'Расчетные показатели'!E5</x:f>
        <x:v>3358003</x:v>
      </x:c>
      <x:c r="P7" s="65"/>
      <x:c r="Q7" s="65"/>
      <x:c r="R7" s="64" t="n">
        <x:f>S7+T7-U7+BN7</x:f>
        <x:v>-225803</x:v>
      </x:c>
      <x:c r="S7" s="66" t="n">
        <x:f>'Расчетные показатели'!E6</x:f>
        <x:v>80890</x:v>
      </x:c>
      <x:c r="T7" s="66" t="n">
        <x:f>'Расчетные показатели'!E7</x:f>
        <x:v>237122</x:v>
      </x:c>
      <x:c r="U7" s="66" t="n">
        <x:f>'Расчетные показатели'!E8</x:f>
        <x:v>543815</x:v>
      </x:c>
      <x:c r="V7" s="66"/>
      <x:c r="W7" s="64"/>
      <x:c r="X7" s="64"/>
      <x:c r="Y7" s="66" t="str">
        <x:v>н.п.</x:v>
      </x:c>
      <x:c r="Z7" s="64" t="n">
        <x:f>AN7+AO7</x:f>
        <x:v>892086</x:v>
      </x:c>
      <x:c r="AA7" s="64"/>
      <x:c r="AB7" s="66"/>
      <x:c r="AC7" s="66"/>
      <x:c r="AD7" s="66"/>
      <x:c r="AE7" s="66"/>
      <x:c r="AF7" s="66"/>
      <x:c r="AG7" s="64"/>
      <x:c r="AH7" s="64"/>
      <x:c r="AI7" s="64" t="str">
        <x:v>н.п.</x:v>
      </x:c>
      <x:c r="AJ7" s="64"/>
      <x:c r="AK7" s="64" t="str">
        <x:v>н.п.</x:v>
      </x:c>
      <x:c r="AL7" s="64"/>
      <x:c r="AM7" s="64"/>
      <x:c r="AN7" s="64" t="n">
        <x:f>'Расчетные показатели'!E9</x:f>
        <x:v>526646</x:v>
      </x:c>
      <x:c r="AO7" s="64" t="n">
        <x:f>'Расчетные показатели'!E10</x:f>
        <x:v>365440</x:v>
      </x:c>
      <x:c r="AP7" s="64"/>
      <x:c r="AQ7" s="64"/>
      <x:c r="AR7" s="64"/>
      <x:c r="AS7" s="65"/>
      <x:c r="AT7" s="65" t="n">
        <x:f>IF(COUNT(E7,R7)=2,E7-R7,"не сверено")</x:f>
        <x:v>0</x:v>
      </x:c>
      <x:c r="AU7" s="65" t="str">
        <x:f>IF(COUNT(F7,W7)=2,F7-W7,"не сверено")</x:f>
        <x:v>не сверено</x:v>
      </x:c>
      <x:c r="AV7" s="65" t="str">
        <x:f>IF(COUNT(G7,Y7)=2,G7-Y7,"не сверено")</x:f>
        <x:v>не сверено</x:v>
      </x:c>
      <x:c r="AW7" s="65" t="str">
        <x:f>IF(COUNT(J7,AG7)=2,J7-AG7,"не сверено")</x:f>
        <x:v>не сверено</x:v>
      </x:c>
      <x:c r="AX7" s="65" t="str">
        <x:f>IF(COUNT(K7,AI7)=2,K7-AI7,"не сверено")</x:f>
        <x:v>не сверено</x:v>
      </x:c>
      <x:c r="AY7" s="65" t="n">
        <x:f>IF(COUNT(I7,Z7)=2,I7-Z7,"не сверено")</x:f>
        <x:v>0</x:v>
      </x:c>
      <x:c r="AZ7" s="65" t="str">
        <x:f>IF(COUNT(L7,AM7)=2,L7-AM7,"не сверено")</x:f>
        <x:v>не сверено</x:v>
      </x:c>
      <x:c r="BA7" s="65" t="str">
        <x:f>IF(COUNT(M7,AP7)=2,M7-AP7,"не сверено")</x:f>
        <x:v>не сверено</x:v>
      </x:c>
      <x:c r="BB7" s="65"/>
      <x:c r="BC7" s="67" t="str">
        <x:v>Лукойл_МСФО_2025.pdf; PDF стр. 6, 33; кредиты + аренда − деньги</x:v>
      </x:c>
      <x:c r="BD7" s="67"/>
      <x:c r="BE7" s="67"/>
      <x:c r="BF7" s="67" t="str">
        <x:v>Лукойл_МСФО_2025.pdf; PDF стр. 7, 46, 47</x:v>
      </x:c>
      <x:c r="BG7" s="67"/>
      <x:c r="BH7" s="67"/>
      <x:c r="BI7" s="67" t="str">
        <x:v>Лукойл_МСФО_2025.pdf; PDF стр. 7; операционная прибыль + амортизация</x:v>
      </x:c>
      <x:c r="BJ7" s="67"/>
      <x:c r="BK7" s="67"/>
      <x:c r="BL7" s="67" t="str">
        <x:v>Лукойл_МСФО_2025.pdf; PDF стр. 7, 8, 9, 38</x:v>
      </x:c>
      <x:c r="BM7" s="67" t="str">
        <x:v>Лукойл_МСФО_2025.pdf; PDF стр. 6, 8</x:v>
      </x:c>
      <x:c r="BN7" s="65" t="n">
        <x:f>'Расчетные показатели'!E11</x:f>
        <x:v>0</x:v>
      </x:c>
      <x:c r="BO7" s="65"/>
      <x:c r="BP7" s="65"/>
      <x:c r="BQ7" s="65"/>
      <x:c r="BR7" s="67" t="str">
        <x:v>Перенос из v3. Полная сверка всех показателей не завершена. ЧП включает прекращенную деятельность; выручка и EBITDA — продолжающуюся.</x:v>
      </x:c>
      <x:c r="BS7" s="65"/>
      <x:c r="BT7" s="65"/>
      <x:c r="BU7" s="65"/>
      <x:c r="BV7" s="65"/>
      <x:c r="BW7" s="65"/>
      <x:c r="BX7" s="65"/>
      <x:c r="BY7" s="65"/>
      <x:c r="BZ7" s="65"/>
      <x:c r="CA7" s="65"/>
      <x:c r="CB7" s="65"/>
      <x:c r="CC7" s="65"/>
      <x:c r="CD7" s="65"/>
      <x:c r="CE7" s="65"/>
      <x:c r="CF7" s="65"/>
      <x:c r="CG7" s="65"/>
      <x:c r="CH7" s="65"/>
      <x:c r="CI7" s="65"/>
      <x:c r="CJ7" s="65"/>
      <x:c r="CK7" s="65"/>
      <x:c r="CL7" s="65"/>
      <x:c r="CM7" s="65"/>
      <x:c r="CN7" s="65"/>
    </x:row>
    <x:row r="8" ht="16.5">
      <x:c r="A8"/>
      <x:c r="B8" s="3">
        <x:v>2</x:v>
      </x:c>
      <x:c r="C8" s="3" t="s">
        <x:v>72</x:v>
      </x:c>
      <x:c r="D8"/>
      <x:c r="E8" s="64" t="n">
        <x:f>'Расчетные показатели'!I1246</x:f>
        <x:v>6104462</x:v>
      </x:c>
      <x:c r="F8" s="64"/>
      <x:c r="G8" s="64"/>
      <x:c r="H8" s="64" t="n">
        <x:f>'Расчетные показатели'!E12</x:f>
        <x:v>9770671</x:v>
      </x:c>
      <x:c r="I8" s="64" t="str">
        <x:v>н.д.</x:v>
      </x:c>
      <x:c r="J8" s="64" t="n">
        <x:f>'Расчетные показатели'!I1220</x:f>
        <x:v>2917332</x:v>
      </x:c>
      <x:c r="K8" s="64"/>
      <x:c r="L8" s="64"/>
      <x:c r="M8" s="64"/>
      <x:c r="N8" s="64" t="n">
        <x:f>'Расчетные показатели'!E14</x:f>
        <x:v>1306777</x:v>
      </x:c>
      <x:c r="O8" s="64" t="n">
        <x:f>'Расчетные показатели'!E15</x:f>
        <x:v>17382464</x:v>
      </x:c>
      <x:c r="P8" s="65"/>
      <x:c r="Q8" s="65"/>
      <x:c r="R8" s="68" t="n">
        <x:f>S8+T8-U8</x:f>
        <x:v>6104462</x:v>
      </x:c>
      <x:c r="S8" s="66" t="n">
        <x:f>'Расчетные показатели'!E1243</x:f>
        <x:v>1499165</x:v>
      </x:c>
      <x:c r="T8" s="66" t="n">
        <x:f>'Расчетные показатели'!E1244</x:f>
        <x:v>5238487</x:v>
      </x:c>
      <x:c r="U8" s="66" t="n">
        <x:f>'Расчетные показатели'!E1245</x:f>
        <x:v>633190</x:v>
      </x:c>
      <x:c r="V8" s="66"/>
      <x:c r="W8" s="64"/>
      <x:c r="X8" s="64"/>
      <x:c r="Y8" s="66" t="str">
        <x:v>н.п.</x:v>
      </x:c>
      <x:c r="Z8" s="68" t="n">
        <x:f>'Расчетные показатели'!K1220</x:f>
        <x:v>2743556</x:v>
      </x:c>
      <x:c r="AA8" s="64"/>
      <x:c r="AB8" s="66"/>
      <x:c r="AC8" s="66"/>
      <x:c r="AD8" s="66"/>
      <x:c r="AE8" s="66"/>
      <x:c r="AF8" s="68" t="n">
        <x:f>'Расчетные показатели'!E1220-'Расчетные показатели'!K1220</x:f>
        <x:v>173776</x:v>
      </x:c>
      <x:c r="AG8" s="68" t="n">
        <x:f>Z8+AF8</x:f>
        <x:v>2917332</x:v>
      </x:c>
      <x:c r="AH8" s="64"/>
      <x:c r="AI8" s="64" t="str">
        <x:v>н.п.</x:v>
      </x:c>
      <x:c r="AJ8" s="64"/>
      <x:c r="AK8" s="64" t="str">
        <x:v>н.п.</x:v>
      </x:c>
      <x:c r="AL8" s="64"/>
      <x:c r="AM8" s="64"/>
      <x:c r="AN8" s="64"/>
      <x:c r="AO8" s="64"/>
      <x:c r="AP8" s="64"/>
      <x:c r="AQ8" s="64"/>
      <x:c r="AR8" s="64"/>
      <x:c r="AS8" s="65"/>
      <x:c r="AT8" s="65" t="n">
        <x:f>IF(COUNT(E8,R8)=2,E8-R8,"не сверено")</x:f>
        <x:v>0</x:v>
      </x:c>
      <x:c r="AU8" s="65" t="str">
        <x:f>IF(COUNT(F8,W8)=2,F8-W8,"не сверено")</x:f>
        <x:v>не сверено</x:v>
      </x:c>
      <x:c r="AV8" s="65" t="str">
        <x:f>IF(COUNT(G8,Y8)=2,G8-Y8,"не сверено")</x:f>
        <x:v>не сверено</x:v>
      </x:c>
      <x:c r="AW8" s="65" t="n">
        <x:f>IF(COUNT(J8,AG8)=2,J8-AG8,"не сверено")</x:f>
        <x:v>0</x:v>
      </x:c>
      <x:c r="AX8" s="65" t="str">
        <x:f>IF(COUNT(K8,AI8)=2,K8-AI8,"не сверено")</x:f>
        <x:v>не сверено</x:v>
      </x:c>
      <x:c r="AY8" s="65" t="str">
        <x:f>IF(COUNT(I8,Z8)=2,I8-Z8,"не сверено")</x:f>
        <x:v>не сверено</x:v>
      </x:c>
      <x:c r="AZ8" s="65" t="str">
        <x:f>IF(COUNT(L8,AM8)=2,L8-AM8,"не сверено")</x:f>
        <x:v>не сверено</x:v>
      </x:c>
      <x:c r="BA8" s="65" t="str">
        <x:f>IF(COUNT(M8,AP8)=2,M8-AP8,"не сверено")</x:f>
        <x:v>не сверено</x:v>
      </x:c>
      <x:c r="BB8" s="65"/>
      <x:c r="BC8" s="67"/>
      <x:c r="BD8" s="67"/>
      <x:c r="BE8" s="67"/>
      <x:c r="BF8" s="67" t="str">
        <x:v>МСФО_Газпром_2025.pdf; PDF стр. 28, 29, 51</x:v>
      </x:c>
      <x:c r="BG8" s="67"/>
      <x:c r="BH8" s="67"/>
      <x:c r="BI8" s="67" t="str">
        <x:v>МСФО_Газпром_2025.pdf; страница не подтверждена</x:v>
      </x:c>
      <x:c r="BJ8" s="67"/>
      <x:c r="BK8" s="67"/>
      <x:c r="BL8" s="67" t="str">
        <x:v>МСФО_Газпром_2025.pdf; PDF стр. 52</x:v>
      </x:c>
      <x:c r="BM8" s="67" t="str">
        <x:v>МСФО_Газпром_2025.pdf; страница не подтверждена</x:v>
      </x:c>
      <x:c r="BN8" s="65"/>
      <x:c r="BO8" s="65"/>
      <x:c r="BP8" s="65"/>
      <x:c r="BQ8" s="65"/>
      <x:c r="BR8" s="67" t="str">
        <x:v>Перенос из v3. Полная сверка всех показателей не завершена. Book Value исключает бессрочные облигации.</x:v>
      </x:c>
      <x:c r="BS8" s="65"/>
      <x:c r="BT8" s="65"/>
      <x:c r="BU8" s="65"/>
      <x:c r="BV8" s="65"/>
      <x:c r="BW8" s="65"/>
      <x:c r="BX8" s="65"/>
      <x:c r="BY8" s="65"/>
      <x:c r="BZ8" s="65"/>
      <x:c r="CA8" s="65"/>
      <x:c r="CB8" s="65"/>
      <x:c r="CC8" s="65"/>
      <x:c r="CD8" s="65"/>
      <x:c r="CE8" s="65"/>
      <x:c r="CF8" s="65"/>
      <x:c r="CG8" s="65"/>
      <x:c r="CH8" s="65"/>
      <x:c r="CI8" s="65"/>
      <x:c r="CJ8" s="65"/>
      <x:c r="CK8" s="65"/>
      <x:c r="CL8" s="65"/>
      <x:c r="CM8" s="65"/>
      <x:c r="CN8" s="65"/>
    </x:row>
    <x:row r="9" ht="16.5">
      <x:c r="A9"/>
      <x:c r="B9" s="3">
        <x:v>3</x:v>
      </x:c>
      <x:c r="C9" s="3" t="s">
        <x:v>73</x:v>
      </x:c>
      <x:c r="D9"/>
      <x:c r="E9" s="64" t="n">
        <x:f>R9</x:f>
        <x:v>110005</x:v>
      </x:c>
      <x:c r="F9" s="64" t="n">
        <x:f>'Расчетные показатели'!E16</x:f>
        <x:v>47705</x:v>
      </x:c>
      <x:c r="G9" s="64"/>
      <x:c r="H9" s="64" t="n">
        <x:f>'Расчетные показатели'!E17</x:f>
        <x:v>1441098</x:v>
      </x:c>
      <x:c r="I9" s="64"/>
      <x:c r="J9" s="64" t="n">
        <x:f>'Расчетные показатели'!E584</x:f>
        <x:v>280834</x:v>
      </x:c>
      <x:c r="K9" s="64"/>
      <x:c r="L9" s="64" t="str">
        <x:f>AK9</x:f>
        <x:v>н.д.</x:v>
      </x:c>
      <x:c r="M9" s="64"/>
      <x:c r="N9" s="64" t="n">
        <x:f>'Расчетные показатели'!E19</x:f>
        <x:v>79579</x:v>
      </x:c>
      <x:c r="O9" s="64" t="n">
        <x:f>'Расчетные показатели'!E20</x:f>
        <x:v>351216</x:v>
      </x:c>
      <x:c r="P9" s="65"/>
      <x:c r="Q9" s="65"/>
      <x:c r="R9" s="64" t="n">
        <x:f>'Расчетные показатели'!E1001</x:f>
        <x:v>110005</x:v>
      </x:c>
      <x:c r="S9" s="66" t="n">
        <x:f>'Расчетные показатели'!E21</x:f>
        <x:v>90051</x:v>
      </x:c>
      <x:c r="T9" s="66" t="n">
        <x:f>'Расчетные показатели'!E22</x:f>
        <x:v>179621</x:v>
      </x:c>
      <x:c r="U9" s="66" t="n">
        <x:f>'Расчетные показатели'!E23</x:f>
        <x:v>250210</x:v>
      </x:c>
      <x:c r="V9" s="66"/>
      <x:c r="W9" s="64"/>
      <x:c r="X9" s="64"/>
      <x:c r="Y9" s="66" t="str">
        <x:v>н.п.</x:v>
      </x:c>
      <x:c r="Z9" s="64"/>
      <x:c r="AA9" s="64"/>
      <x:c r="AB9" s="66"/>
      <x:c r="AC9" s="66"/>
      <x:c r="AD9" s="66"/>
      <x:c r="AE9" s="66"/>
      <x:c r="AF9" s="66" t="n">
        <x:f>SUM('Расчетные показатели'!E577:E583)</x:f>
        <x:v>41977</x:v>
      </x:c>
      <x:c r="AG9" s="64" t="n">
        <x:f>'Расчетные показатели'!E584</x:f>
        <x:v>280834</x:v>
      </x:c>
      <x:c r="AH9" s="64"/>
      <x:c r="AI9" s="64" t="str">
        <x:v>н.п.</x:v>
      </x:c>
      <x:c r="AJ9" s="64"/>
      <x:c r="AK9" s="64" t="str">
        <x:v>н.д.</x:v>
      </x:c>
      <x:c r="AL9" s="64"/>
      <x:c r="AM9" s="64"/>
      <x:c r="AN9" s="64"/>
      <x:c r="AO9" s="64"/>
      <x:c r="AP9" s="64"/>
      <x:c r="AQ9" s="64"/>
      <x:c r="AR9" s="64"/>
      <x:c r="AS9" s="65"/>
      <x:c r="AT9" s="65" t="n">
        <x:f>IF(COUNT(E9,R9)=2,E9-R9,"не сверено")</x:f>
        <x:v>0</x:v>
      </x:c>
      <x:c r="AU9" s="65" t="str">
        <x:f>IF(COUNT(F9,W9)=2,F9-W9,"не сверено")</x:f>
        <x:v>не сверено</x:v>
      </x:c>
      <x:c r="AV9" s="65" t="str">
        <x:f>IF(COUNT(G9,Y9)=2,G9-Y9,"не сверено")</x:f>
        <x:v>не сверено</x:v>
      </x:c>
      <x:c r="AW9" s="65" t="n">
        <x:f>IF(COUNT(J9,AG9)=2,J9-AG9,"не сверено")</x:f>
        <x:v>0</x:v>
      </x:c>
      <x:c r="AX9" s="65" t="str">
        <x:f>IF(COUNT(K9,AI9)=2,K9-AI9,"не сверено")</x:f>
        <x:v>не сверено</x:v>
      </x:c>
      <x:c r="AY9" s="65" t="str">
        <x:f>IF(COUNT(I9,Z9)=2,I9-Z9,"не сверено")</x:f>
        <x:v>не сверено</x:v>
      </x:c>
      <x:c r="AZ9" s="65" t="str">
        <x:f>IF(COUNT(L9,AM9)=2,L9-AM9,"не сверено")</x:f>
        <x:v>не сверено</x:v>
      </x:c>
      <x:c r="BA9" s="65" t="str">
        <x:f>IF(COUNT(M9,AP9)=2,M9-AP9,"не сверено")</x:f>
        <x:v>не сверено</x:v>
      </x:c>
      <x:c r="BB9" s="65"/>
      <x:c r="BC9" s="67" t="str">
        <x:v>YDEX_2026H1.pdf; PDF стр. 4; кредиты + аренда − деньги</x:v>
      </x:c>
      <x:c r="BD9" s="67" t="str">
        <x:v>МСФО_Яндекс_2025.pdf; страница не подтверждена</x:v>
      </x:c>
      <x:c r="BE9" s="67"/>
      <x:c r="BF9" s="67" t="str">
        <x:v>МСФО_Яндекс_2025.pdf; PDF стр. 8, 28, 34</x:v>
      </x:c>
      <x:c r="BG9" s="67" t="str">
        <x:v>МСФО_Яндекс_2025.pdf; PDF стр. 28; расчет: строки 573–584</x:v>
      </x:c>
      <x:c r="BH9" s="67"/>
      <x:c r="BI9" s="67"/>
      <x:c r="BJ9" s="67" t="str">
        <x:v>Нужны раскрытые капитализированные затраты для аналитического EBITDAC. Нули не подставлены.</x:v>
      </x:c>
      <x:c r="BK9" s="67"/>
      <x:c r="BL9" s="67" t="str">
        <x:v>МСФО_Яндекс_2025.pdf; PDF стр. 8, 9, 10, 11, 26</x:v>
      </x:c>
      <x:c r="BM9" s="67" t="str">
        <x:v>МСФО_Яндекс_2025.pdf; PDF стр. 11</x:v>
      </x:c>
      <x:c r="BN9" s="65" t="n">
        <x:f>'Расчетные показатели'!E994</x:f>
        <x:v>90543</x:v>
      </x:c>
      <x:c r="BO9" s="65"/>
      <x:c r="BP9" s="65"/>
      <x:c r="BQ9" s="65"/>
      <x:c r="BR9" s="67" t="str">
        <x:v>Перенос из v3. Полная сверка всех показателей не завершена.</x:v>
      </x:c>
      <x:c r="BS9" s="65" t="n">
        <x:f>'Расчетные показатели'!E577</x:f>
        <x:v>48116</x:v>
      </x:c>
      <x:c r="BT9" s="65" t="n">
        <x:f>'Расчетные показатели'!E580</x:f>
        <x:v>15380</x:v>
      </x:c>
      <x:c r="BU9" s="65" t="n">
        <x:f>'Расчетные показатели'!E581</x:f>
        <x:v>0</x:v>
      </x:c>
      <x:c r="BV9" s="65"/>
      <x:c r="BW9" s="65"/>
      <x:c r="BX9" s="65"/>
      <x:c r="BY9" s="65"/>
      <x:c r="BZ9" s="65"/>
      <x:c r="CA9" s="65"/>
      <x:c r="CB9" s="65"/>
      <x:c r="CC9" s="65"/>
      <x:c r="CD9" s="65"/>
      <x:c r="CE9" s="65"/>
      <x:c r="CF9" s="65"/>
      <x:c r="CG9" s="65"/>
      <x:c r="CH9" s="65" t="n">
        <x:f>'Расчетные показатели'!E999</x:f>
        <x:v>18340</x:v>
      </x:c>
      <x:c r="CI9" s="65" t="n">
        <x:f>'Расчетные показатели'!E1000</x:f>
        <x:v>72203</x:v>
      </x:c>
      <x:c r="CJ9" s="65"/>
      <x:c r="CK9" s="65"/>
      <x:c r="CL9" s="65"/>
      <x:c r="CM9" s="65"/>
      <x:c r="CN9" s="65"/>
    </x:row>
    <x:row r="10" ht="16.5">
      <x:c r="A10"/>
      <x:c r="B10" s="3">
        <x:v>4</x:v>
      </x:c>
      <x:c r="C10" s="3" t="s">
        <x:v>75</x:v>
      </x:c>
      <x:c r="D10"/>
      <x:c r="E10" s="66" t="str">
        <x:v>н.п.</x:v>
      </x:c>
      <x:c r="F10" s="64"/>
      <x:c r="G10" s="64"/>
      <x:c r="H10" s="64" t="n">
        <x:f>'Расчетные показатели'!E25</x:f>
        <x:v>1434494</x:v>
      </x:c>
      <x:c r="I10" s="64" t="n">
        <x:f>'Расчетные показатели'!E1255</x:f>
        <x:v>313343</x:v>
      </x:c>
      <x:c r="J10" s="64" t="n">
        <x:f>'Расчетные показатели'!E1260</x:f>
        <x:v>309905</x:v>
      </x:c>
      <x:c r="K10" s="64"/>
      <x:c r="L10" s="64"/>
      <x:c r="M10" s="64" t="n">
        <x:f>'Расчетные показатели'!E26</x:f>
        <x:v>295253</x:v>
      </x:c>
      <x:c r="N10" s="64" t="n">
        <x:f>'Расчетные показатели'!E27</x:f>
        <x:v>177018</x:v>
      </x:c>
      <x:c r="O10" s="64" t="n">
        <x:f>'Расчетные показатели'!E28</x:f>
        <x:v>683631</x:v>
      </x:c>
      <x:c r="P10" s="65"/>
      <x:c r="Q10" s="65"/>
      <x:c r="R10" s="66" t="str">
        <x:v>н.п.</x:v>
      </x:c>
      <x:c r="S10" s="66"/>
      <x:c r="T10" s="66"/>
      <x:c r="U10" s="66"/>
      <x:c r="V10" s="66"/>
      <x:c r="W10" s="64"/>
      <x:c r="X10" s="64"/>
      <x:c r="Y10" s="66" t="str">
        <x:v>н.п.</x:v>
      </x:c>
      <x:c r="Z10" s="64" t="n">
        <x:f>'Расчетные показатели'!E1255</x:f>
        <x:v>313343</x:v>
      </x:c>
      <x:c r="AA10" s="64"/>
      <x:c r="AB10" s="66"/>
      <x:c r="AC10" s="66"/>
      <x:c r="AD10" s="66"/>
      <x:c r="AE10" s="66"/>
      <x:c r="AF10" s="64" t="n">
        <x:f>SUM('Расчетные показатели'!E1258:E1259)</x:f>
        <x:v>-3438</x:v>
      </x:c>
      <x:c r="AG10" s="64" t="n">
        <x:f>'Расчетные показатели'!E1260</x:f>
        <x:v>309905</x:v>
      </x:c>
      <x:c r="AH10" s="64"/>
      <x:c r="AI10" s="64" t="str">
        <x:v>н.п.</x:v>
      </x:c>
      <x:c r="AJ10" s="64"/>
      <x:c r="AK10" s="64" t="str">
        <x:v>н.п.</x:v>
      </x:c>
      <x:c r="AL10" s="64"/>
      <x:c r="AM10" s="64"/>
      <x:c r="AN10" s="64"/>
      <x:c r="AO10" s="64"/>
      <x:c r="AP10" s="64"/>
      <x:c r="AQ10" s="64"/>
      <x:c r="AR10" s="64"/>
      <x:c r="AS10" s="65"/>
      <x:c r="AT10" s="65" t="str">
        <x:f>IF(COUNT(E10,R10)=2,E10-R10,"не сверено")</x:f>
        <x:v>не сверено</x:v>
      </x:c>
      <x:c r="AU10" s="65" t="str">
        <x:f>IF(COUNT(F10,W10)=2,F10-W10,"не сверено")</x:f>
        <x:v>не сверено</x:v>
      </x:c>
      <x:c r="AV10" s="65" t="str">
        <x:f>IF(COUNT(G10,Y10)=2,G10-Y10,"не сверено")</x:f>
        <x:v>не сверено</x:v>
      </x:c>
      <x:c r="AW10" s="65" t="n">
        <x:f>IF(COUNT(J10,AG10)=2,J10-AG10,"не сверено")</x:f>
        <x:v>0</x:v>
      </x:c>
      <x:c r="AX10" s="65" t="str">
        <x:f>IF(COUNT(K10,AI10)=2,K10-AI10,"не сверено")</x:f>
        <x:v>не сверено</x:v>
      </x:c>
      <x:c r="AY10" s="65" t="n">
        <x:f>IF(COUNT(I10,Z10)=2,I10-Z10,"не сверено")</x:f>
        <x:v>0</x:v>
      </x:c>
      <x:c r="AZ10" s="65" t="str">
        <x:f>IF(COUNT(L10,AM10)=2,L10-AM10,"не сверено")</x:f>
        <x:v>не сверено</x:v>
      </x:c>
      <x:c r="BA10" s="65" t="str">
        <x:f>IF(COUNT(M10,AP10)=2,M10-AP10,"не сверено")</x:f>
        <x:v>не сверено</x:v>
      </x:c>
      <x:c r="BB10" s="65"/>
      <x:c r="BC10" s="67"/>
      <x:c r="BD10" s="67"/>
      <x:c r="BE10" s="67"/>
      <x:c r="BF10" s="67" t="str">
        <x:v>Т-Технологии_МСФО_2025.pdf; PDF стр. 27 (выручка), 10-11 (ЧП акционеров), 8 (капитал)</x:v>
      </x:c>
      <x:c r="BG10" s="67" t="str">
        <x:v>Т-Технологии_МСФО_2025.pdf; T_2026H1.pdf; аналитический EBITDA/скорр. EBITDA по методике компании; расчет строки 1248–1260</x:v>
      </x:c>
      <x:c r="BH10" s="67"/>
      <x:c r="BI10" s="67"/>
      <x:c r="BJ10" s="67"/>
      <x:c r="BK10" s="67" t="str">
        <x:v>Т-Технологии_МСФО_2025.pdf; страница не подтверждена</x:v>
      </x:c>
      <x:c r="BL10" s="67" t="str">
        <x:v>Т-Технологии_МСФО_2025.pdf; PDF стр. 10, 11, 85</x:v>
      </x:c>
      <x:c r="BM10" s="67" t="str">
        <x:v>T_2026H1.pdf; PDF стр. 6</x:v>
      </x:c>
      <x:c r="BN10" s="65"/>
      <x:c r="BO10" s="65"/>
      <x:c r="BP10" s="65"/>
      <x:c r="BQ10" s="65"/>
      <x:c r="BR10" s="67" t="str">
        <x:v>Перенос из v3. Полная сверка всех показателей не завершена.</x:v>
      </x:c>
      <x:c r="BS10" s="65"/>
      <x:c r="BT10" s="65"/>
      <x:c r="BU10" s="65"/>
      <x:c r="BV10" s="65"/>
      <x:c r="BW10" s="65"/>
      <x:c r="BX10" s="65"/>
      <x:c r="BY10" s="65"/>
      <x:c r="BZ10" s="65"/>
      <x:c r="CA10" s="65"/>
      <x:c r="CB10" s="65"/>
      <x:c r="CC10" s="65"/>
      <x:c r="CD10" s="65"/>
      <x:c r="CE10" s="65"/>
      <x:c r="CF10" s="65"/>
      <x:c r="CG10" s="65"/>
      <x:c r="CH10" s="65"/>
      <x:c r="CI10" s="65"/>
      <x:c r="CJ10" s="65"/>
      <x:c r="CK10" s="65"/>
      <x:c r="CL10" s="65"/>
      <x:c r="CM10" s="65"/>
      <x:c r="CN10" s="65"/>
    </x:row>
    <x:row r="11" ht="16.5">
      <x:c r="A11"/>
      <x:c r="B11" s="3">
        <x:v>5</x:v>
      </x:c>
      <x:c r="C11" s="3" t="s">
        <x:v>77</x:v>
      </x:c>
      <x:c r="D11"/>
      <x:c r="E11" s="64" t="n">
        <x:f>'Расчетные показатели'!E1264</x:f>
        <x:v>-31993</x:v>
      </x:c>
      <x:c r="F11" s="64"/>
      <x:c r="G11" s="64"/>
      <x:c r="H11" s="64" t="n">
        <x:f>'Расчетные показатели'!E29</x:f>
        <x:v>1818134</x:v>
      </x:c>
      <x:c r="I11" s="64" t="n">
        <x:f>'Расчетные показатели'!E30</x:f>
        <x:v>332877</x:v>
      </x:c>
      <x:c r="J11" s="64" t="n">
        <x:f>'Расчетные показатели'!E1269</x:f>
        <x:v>360724</x:v>
      </x:c>
      <x:c r="K11" s="64"/>
      <x:c r="L11" s="64"/>
      <x:c r="M11" s="64"/>
      <x:c r="N11" s="64" t="n">
        <x:f>'Расчетные показатели'!E31</x:f>
        <x:v>158623</x:v>
      </x:c>
      <x:c r="O11" s="64" t="n">
        <x:f>'Расчетные показатели'!E32</x:f>
        <x:v>1322402</x:v>
      </x:c>
      <x:c r="P11" s="65"/>
      <x:c r="Q11" s="65"/>
      <x:c r="R11" s="64" t="n">
        <x:f>S11+T11-U11</x:f>
        <x:v>-31993</x:v>
      </x:c>
      <x:c r="S11" s="66" t="n">
        <x:f>'Расчетные показатели'!E1261</x:f>
        <x:v>24904</x:v>
      </x:c>
      <x:c r="T11" s="66" t="n">
        <x:f>'Расчетные показатели'!E1262</x:f>
        <x:v>10052</x:v>
      </x:c>
      <x:c r="U11" s="66" t="n">
        <x:f>'Расчетные показатели'!E1263</x:f>
        <x:v>66949</x:v>
      </x:c>
      <x:c r="V11" s="66"/>
      <x:c r="W11" s="64"/>
      <x:c r="X11" s="64"/>
      <x:c r="Y11" s="66" t="str">
        <x:v>н.п.</x:v>
      </x:c>
      <x:c r="Z11" s="64" t="n">
        <x:f>'Расчетные показатели'!E30</x:f>
        <x:v>332877</x:v>
      </x:c>
      <x:c r="AA11" s="64"/>
      <x:c r="AB11" s="66"/>
      <x:c r="AC11" s="66"/>
      <x:c r="AD11" s="66"/>
      <x:c r="AE11" s="66"/>
      <x:c r="AF11" s="66" t="n">
        <x:f>SUM('Расчетные показатели'!E1267:E1268)</x:f>
        <x:v>27847</x:v>
      </x:c>
      <x:c r="AG11" s="64" t="n">
        <x:f>'Расчетные показатели'!E1269</x:f>
        <x:v>360724</x:v>
      </x:c>
      <x:c r="AH11" s="64"/>
      <x:c r="AI11" s="64" t="str">
        <x:v>н.п.</x:v>
      </x:c>
      <x:c r="AJ11" s="64"/>
      <x:c r="AK11" s="64" t="str">
        <x:v>н.п.</x:v>
      </x:c>
      <x:c r="AL11" s="64"/>
      <x:c r="AM11" s="64"/>
      <x:c r="AN11" s="64"/>
      <x:c r="AO11" s="64"/>
      <x:c r="AP11" s="64"/>
      <x:c r="AQ11" s="64"/>
      <x:c r="AR11" s="64"/>
      <x:c r="AS11" s="65"/>
      <x:c r="AT11" s="65" t="n">
        <x:f>IF(COUNT(E11,R11)=2,E11-R11,"не сверено")</x:f>
        <x:v>0</x:v>
      </x:c>
      <x:c r="AU11" s="65" t="str">
        <x:f>IF(COUNT(F11,W11)=2,F11-W11,"не сверено")</x:f>
        <x:v>не сверено</x:v>
      </x:c>
      <x:c r="AV11" s="65" t="str">
        <x:f>IF(COUNT(G11,Y11)=2,G11-Y11,"не сверено")</x:f>
        <x:v>не сверено</x:v>
      </x:c>
      <x:c r="AW11" s="65" t="n">
        <x:f>IF(COUNT(J11,AG11)=2,J11-AG11,"не сверено")</x:f>
        <x:v>0</x:v>
      </x:c>
      <x:c r="AX11" s="65" t="str">
        <x:f>IF(COUNT(K11,AI11)=2,K11-AI11,"не сверено")</x:f>
        <x:v>не сверено</x:v>
      </x:c>
      <x:c r="AY11" s="65" t="n">
        <x:f>IF(COUNT(I11,Z11)=2,I11-Z11,"не сверено")</x:f>
        <x:v>0</x:v>
      </x:c>
      <x:c r="AZ11" s="65" t="str">
        <x:f>IF(COUNT(L11,AM11)=2,L11-AM11,"не сверено")</x:f>
        <x:v>не сверено</x:v>
      </x:c>
      <x:c r="BA11" s="65" t="str">
        <x:f>IF(COUNT(M11,AP11)=2,M11-AP11,"не сверено")</x:f>
        <x:v>не сверено</x:v>
      </x:c>
      <x:c r="BB11" s="65"/>
      <x:c r="BC11" s="67"/>
      <x:c r="BD11" s="67"/>
      <x:c r="BE11" s="67"/>
      <x:c r="BF11" s="67" t="str">
        <x:v>Татнефть_МСФО_2025.pdf, PDF стр. 7-10; Татнефть FY2025 MD&amp;A, стр. 8 и 10</x:v>
      </x:c>
      <x:c r="BG11" s="67" t="str">
        <x:v>ЧД -31 993; EBITDA 332 877; скорр. EBITDA 360 724 млн руб.; ECL 11 310 и обесценение 16 537 показаны отдельно</x:v>
      </x:c>
      <x:c r="BH11" s="67"/>
      <x:c r="BI11" s="67" t="str">
        <x:v>Татнефть_МСФО_2025.pdf; страница не подтверждена</x:v>
      </x:c>
      <x:c r="BJ11" s="67"/>
      <x:c r="BK11" s="67"/>
      <x:c r="BL11" s="67" t="str">
        <x:v>Татнефть_МСФО_2025.pdf; PDF стр. 9, 10, 27</x:v>
      </x:c>
      <x:c r="BM11" s="67" t="str">
        <x:v>Татнефть_МСФО_2025.pdf; PDF стр. 10, 47</x:v>
      </x:c>
      <x:c r="BN11" s="65"/>
      <x:c r="BO11" s="65"/>
      <x:c r="BP11" s="65"/>
      <x:c r="BQ11" s="65"/>
      <x:c r="BR11" s="67" t="str">
        <x:v>Выручка TTM в историческом периметре: год 2025 + 1П2026 − 1П2025 до пересмотра (878148). В TTM остается выручка выбывших обществ за 2П2025. Не является pro forma продолжающегося бизнеса.</x:v>
      </x:c>
      <x:c r="BS11" s="65"/>
      <x:c r="BT11" s="65"/>
      <x:c r="BU11" s="65"/>
      <x:c r="BV11" s="65"/>
      <x:c r="BW11" s="65"/>
      <x:c r="BX11" s="65"/>
      <x:c r="BY11" s="65"/>
      <x:c r="BZ11" s="65"/>
      <x:c r="CA11" s="65"/>
      <x:c r="CB11" s="65"/>
      <x:c r="CC11" s="65"/>
      <x:c r="CD11" s="65"/>
      <x:c r="CE11" s="65"/>
      <x:c r="CF11" s="65"/>
      <x:c r="CG11" s="65"/>
      <x:c r="CH11" s="65"/>
      <x:c r="CI11" s="65"/>
      <x:c r="CJ11" s="65"/>
      <x:c r="CK11" s="65"/>
      <x:c r="CL11" s="65"/>
      <x:c r="CM11" s="65"/>
      <x:c r="CN11" s="65"/>
    </x:row>
    <x:row r="12" ht="16.5">
      <x:c r="A12"/>
      <x:c r="B12" s="3">
        <x:v>6</x:v>
      </x:c>
      <x:c r="C12" s="3" t="s">
        <x:v>78</x:v>
      </x:c>
      <x:c r="D12"/>
      <x:c r="E12" s="80" t="n">
        <x:f>'Расчетные показатели'!E33</x:f>
        <x:v>-39270</x:v>
      </x:c>
      <x:c r="F12" s="64"/>
      <x:c r="G12" s="64"/>
      <x:c r="H12" s="64" t="n">
        <x:f>'Расчетные показатели'!E34</x:f>
        <x:v>1445593</x:v>
      </x:c>
      <x:c r="I12" s="82" t="str">
        <x:v>н.д.</x:v>
      </x:c>
      <x:c r="J12" s="80" t="n">
        <x:f>'Расчетные показатели'!E35</x:f>
        <x:v>859306</x:v>
      </x:c>
      <x:c r="K12" s="64"/>
      <x:c r="L12" s="64"/>
      <x:c r="M12" s="64"/>
      <x:c r="N12" s="64" t="n">
        <x:f>'Расчетные показатели'!E36</x:f>
        <x:v>183027</x:v>
      </x:c>
      <x:c r="O12" s="64" t="n">
        <x:f>'Расчетные показатели'!E37</x:f>
        <x:v>2828671</x:v>
      </x:c>
      <x:c r="P12" s="65"/>
      <x:c r="Q12" s="65"/>
      <x:c r="R12" s="78" t="n">
        <x:f>S12+T12-U12</x:f>
        <x:v>-39270</x:v>
      </x:c>
      <x:c r="S12" s="81" t="n">
        <x:f>'Расчетные показатели'!E1284</x:f>
        <x:v>81740</x:v>
      </x:c>
      <x:c r="T12" s="81" t="n">
        <x:f>'Расчетные показатели'!E1285</x:f>
        <x:v>216915</x:v>
      </x:c>
      <x:c r="U12" s="81" t="n">
        <x:f>'Расчетные показатели'!E1286</x:f>
        <x:v>337925</x:v>
      </x:c>
      <x:c r="V12" s="66"/>
      <x:c r="W12" s="64"/>
      <x:c r="X12" s="64"/>
      <x:c r="Y12" s="66" t="str">
        <x:v>н.п.</x:v>
      </x:c>
      <x:c r="Z12" s="82" t="str">
        <x:v>н.д.</x:v>
      </x:c>
      <x:c r="AA12" s="64"/>
      <x:c r="AB12" s="66"/>
      <x:c r="AC12" s="66"/>
      <x:c r="AD12" s="66"/>
      <x:c r="AE12" s="66"/>
      <x:c r="AF12" s="66"/>
      <x:c r="AG12" s="80" t="n">
        <x:f>'Расчетные показатели'!E35</x:f>
        <x:v>859306</x:v>
      </x:c>
      <x:c r="AH12" s="64"/>
      <x:c r="AI12" s="64" t="str">
        <x:v>н.п.</x:v>
      </x:c>
      <x:c r="AJ12" s="64"/>
      <x:c r="AK12" s="64" t="str">
        <x:v>н.п.</x:v>
      </x:c>
      <x:c r="AL12" s="64"/>
      <x:c r="AM12" s="64"/>
      <x:c r="AN12" s="64"/>
      <x:c r="AO12" s="64"/>
      <x:c r="AP12" s="64"/>
      <x:c r="AQ12" s="64"/>
      <x:c r="AR12" s="64"/>
      <x:c r="AS12" s="65"/>
      <x:c r="AT12" s="65" t="n">
        <x:f>IF(COUNT(E12,R12)=2,E12-R12,"не сверено")</x:f>
        <x:v>0</x:v>
      </x:c>
      <x:c r="AU12" s="65" t="str">
        <x:f>IF(COUNT(F12,W12)=2,F12-W12,"не сверено")</x:f>
        <x:v>не сверено</x:v>
      </x:c>
      <x:c r="AV12" s="65" t="str">
        <x:f>IF(COUNT(G12,Y12)=2,G12-Y12,"не сверено")</x:f>
        <x:v>не сверено</x:v>
      </x:c>
      <x:c r="AW12" s="65" t="n">
        <x:f>IF(COUNT(J12,AG12)=2,J12-AG12,"не сверено")</x:f>
        <x:v>0</x:v>
      </x:c>
      <x:c r="AX12" s="65" t="str">
        <x:f>IF(COUNT(K12,AI12)=2,K12-AI12,"не сверено")</x:f>
        <x:v>не сверено</x:v>
      </x:c>
      <x:c r="AY12" s="65" t="str">
        <x:f>IF(COUNT(I12,Z12)=2,I12-Z12,"не сверено")</x:f>
        <x:v>не сверено</x:v>
      </x:c>
      <x:c r="AZ12" s="65" t="str">
        <x:f>IF(COUNT(L12,AM12)=2,L12-AM12,"не сверено")</x:f>
        <x:v>не сверено</x:v>
      </x:c>
      <x:c r="BA12" s="65" t="str">
        <x:f>IF(COUNT(M12,AP12)=2,M12-AP12,"не сверено")</x:f>
        <x:v>не сверено</x:v>
      </x:c>
      <x:c r="BB12" s="65"/>
      <x:c r="BC12" s="67" t="str">
        <x:v>Novatek FS 12m2025 RUS (disclosable).pdf; страница не подтверждена</x:v>
      </x:c>
      <x:c r="BD12" s="67"/>
      <x:c r="BE12" s="67"/>
      <x:c r="BF12" s="67" t="str">
        <x:v>Novatek FS 12m2025 RUS (disclosable).pdf, PDF стр. 7-8; Отчет эмитента 2025 год для раскрытия.pdf, PDF стр. 9</x:v>
      </x:c>
      <x:c r="BG12" s="67" t="str">
        <x:v>ЧД -39 270 подтвержден мостом 81 740 + 216 915 − 337 925; нормализованная EBITDA 859 306 классифицирована как скорректированная; обычная EBITDA отдельно не раскрыта</x:v>
      </x:c>
      <x:c r="BH12" s="67"/>
      <x:c r="BI12" s="67"/>
      <x:c r="BJ12" s="67"/>
      <x:c r="BK12" s="67"/>
      <x:c r="BL12" s="67" t="str">
        <x:v>Novatek FS 12m2025 RUS (disclosable).pdf; PDF стр. 8, 11</x:v>
      </x:c>
      <x:c r="BM12" s="67" t="str">
        <x:v>Novatek FS 12m2025 RUS (disclosable).pdf; PDF стр. 11</x:v>
      </x:c>
      <x:c r="BN12" s="65"/>
      <x:c r="BO12" s="65"/>
      <x:c r="BP12" s="65"/>
      <x:c r="BQ12" s="65"/>
      <x:c r="BR12" s="67" t="str">
        <x:v>Перенос из v3. Полная сверка всех показателей не завершена.</x:v>
      </x:c>
      <x:c r="BS12" s="65"/>
      <x:c r="BT12" s="65"/>
      <x:c r="BU12" s="65"/>
      <x:c r="BV12" s="65"/>
      <x:c r="BW12" s="65"/>
      <x:c r="BX12" s="65"/>
      <x:c r="BY12" s="65"/>
      <x:c r="BZ12" s="65"/>
      <x:c r="CA12" s="65"/>
      <x:c r="CB12" s="65"/>
      <x:c r="CC12" s="65"/>
      <x:c r="CD12" s="65"/>
      <x:c r="CE12" s="65"/>
      <x:c r="CF12" s="65"/>
      <x:c r="CG12" s="65"/>
      <x:c r="CH12" s="65"/>
      <x:c r="CI12" s="65"/>
      <x:c r="CJ12" s="65"/>
      <x:c r="CK12" s="65"/>
      <x:c r="CL12" s="65"/>
      <x:c r="CM12" s="65"/>
      <x:c r="CN12" s="65"/>
    </x:row>
    <x:row r="13" ht="16.5">
      <x:c r="A13"/>
      <x:c r="B13" s="3">
        <x:v>7</x:v>
      </x:c>
      <x:c r="C13" s="3" t="s">
        <x:v>79</x:v>
      </x:c>
      <x:c r="D13"/>
      <x:c r="E13" s="80" t="n">
        <x:f>'Расчетные показатели'!E1301</x:f>
        <x:v>714850</x:v>
      </x:c>
      <x:c r="F13" s="64"/>
      <x:c r="G13" s="64"/>
      <x:c r="H13" s="64" t="n">
        <x:f>'Расчетные показатели'!E38</x:f>
        <x:v>1150866.773356164</x:v>
      </x:c>
      <x:c r="I13" s="82" t="str">
        <x:v>н.д.</x:v>
      </x:c>
      <x:c r="J13" s="64" t="n">
        <x:f>'Расчетные показатели'!E841</x:f>
        <x:v>473960.10109589004</x:v>
      </x:c>
      <x:c r="K13" s="64"/>
      <x:c r="L13" s="64"/>
      <x:c r="M13" s="64"/>
      <x:c r="N13" s="64" t="n">
        <x:f>'Расчетные показатели'!E40</x:f>
        <x:v>162808.806780822</x:v>
      </x:c>
      <x:c r="O13" s="64" t="n">
        <x:f>'Расчетные показатели'!E41</x:f>
        <x:v>885377</x:v>
      </x:c>
      <x:c r="P13" s="65"/>
      <x:c r="Q13" s="65"/>
      <x:c r="R13" s="78" t="n">
        <x:f>S13+T13-U13</x:f>
        <x:v>714850</x:v>
      </x:c>
      <x:c r="S13" s="81" t="n">
        <x:f>SUM('Расчетные показатели'!E1296:E1297)</x:f>
        <x:v>254684</x:v>
      </x:c>
      <x:c r="T13" s="81" t="n">
        <x:f>SUM('Расчетные показатели'!E1298:E1299)</x:f>
        <x:v>624910</x:v>
      </x:c>
      <x:c r="U13" s="81" t="n">
        <x:f>'Расчетные показатели'!E1300</x:f>
        <x:v>164744</x:v>
      </x:c>
      <x:c r="V13" s="66"/>
      <x:c r="W13" s="64"/>
      <x:c r="X13" s="64"/>
      <x:c r="Y13" s="66" t="str">
        <x:v>н.п.</x:v>
      </x:c>
      <x:c r="Z13" s="82" t="str">
        <x:v>н.д.</x:v>
      </x:c>
      <x:c r="AA13" s="64"/>
      <x:c r="AB13" s="66"/>
      <x:c r="AC13" s="66"/>
      <x:c r="AD13" s="66"/>
      <x:c r="AE13" s="66"/>
      <x:c r="AF13" s="66" t="n">
        <x:f>SUM('Расчетные показатели'!E837:E840)</x:f>
        <x:v>3093.952671232877</x:v>
      </x:c>
      <x:c r="AG13" s="64" t="n">
        <x:f>'Расчетные показатели'!E841</x:f>
        <x:v>473960.10109589004</x:v>
      </x:c>
      <x:c r="AH13" s="64"/>
      <x:c r="AI13" s="64" t="str">
        <x:v>н.п.</x:v>
      </x:c>
      <x:c r="AJ13" s="64"/>
      <x:c r="AK13" s="64" t="str">
        <x:v>н.п.</x:v>
      </x:c>
      <x:c r="AL13" s="64"/>
      <x:c r="AM13" s="64"/>
      <x:c r="AN13" s="64"/>
      <x:c r="AO13" s="64"/>
      <x:c r="AP13" s="64"/>
      <x:c r="AQ13" s="64"/>
      <x:c r="AR13" s="64"/>
      <x:c r="AS13" s="65"/>
      <x:c r="AT13" s="65" t="n">
        <x:f>IF(COUNT(E13,R13)=2,E13-R13,"не сверено")</x:f>
        <x:v>0</x:v>
      </x:c>
      <x:c r="AU13" s="65" t="str">
        <x:f>IF(COUNT(F13,W13)=2,F13-W13,"не сверено")</x:f>
        <x:v>не сверено</x:v>
      </x:c>
      <x:c r="AV13" s="65" t="str">
        <x:f>IF(COUNT(G13,Y13)=2,G13-Y13,"не сверено")</x:f>
        <x:v>не сверено</x:v>
      </x:c>
      <x:c r="AW13" s="65" t="n">
        <x:f>IF(COUNT(J13,AG13)=2,J13-AG13,"не сверено")</x:f>
        <x:v>0</x:v>
      </x:c>
      <x:c r="AX13" s="65" t="str">
        <x:f>IF(COUNT(K13,AI13)=2,K13-AI13,"не сверено")</x:f>
        <x:v>не сверено</x:v>
      </x:c>
      <x:c r="AY13" s="65" t="str">
        <x:f>IF(COUNT(I13,Z13)=2,I13-Z13,"не сверено")</x:f>
        <x:v>не сверено</x:v>
      </x:c>
      <x:c r="AZ13" s="65" t="str">
        <x:f>IF(COUNT(L13,AM13)=2,L13-AM13,"не сверено")</x:f>
        <x:v>не сверено</x:v>
      </x:c>
      <x:c r="BA13" s="65" t="str">
        <x:f>IF(COUNT(M13,AP13)=2,M13-AP13,"не сверено")</x:f>
        <x:v>не сверено</x:v>
      </x:c>
      <x:c r="BB13" s="65"/>
      <x:c r="BC13" s="67"/>
      <x:c r="BD13" s="67"/>
      <x:c r="BE13" s="67"/>
      <x:c r="BF13" s="67" t="str">
        <x:v>Норникель_МСФО_2025.pdf, PDF стр. 4, 6, 29; Норникель_отчет_эмитента_2025.pdf, PDF стр. 14; GMKN_2026H1.pdf, PDF стр. 6, 20, 24</x:v>
      </x:c>
      <x:c r="BG13" s="67" t="str">
        <x:v>ЧД 714 850 подтвержден мостом с арендой. Выбрана EBITDA МСФО 5 668 млн долл. в пересчете по среднему курсу ЦБ; альтернативное рублевое раскрытие 475 066 сохранено отдельно. Обычная EBITDA отдельно не раскрыта.</x:v>
      </x:c>
      <x:c r="BH13" s="67"/>
      <x:c r="BI13" s="67"/>
      <x:c r="BJ13" s="67"/>
      <x:c r="BK13" s="67"/>
      <x:c r="BL13" s="67" t="str">
        <x:v>Норникель_МСФО_2025.pdf; страница не подтверждена</x:v>
      </x:c>
      <x:c r="BM13" s="67" t="str">
        <x:v>GMKN_2026H1.pdf; PDF стр. 11</x:v>
      </x:c>
      <x:c r="BN13" s="65"/>
      <x:c r="BO13" s="65"/>
      <x:c r="BP13" s="65"/>
      <x:c r="BQ13" s="65"/>
      <x:c r="BR13" s="67" t="str">
        <x:v>Компания называет EBITDA; содержит дополнительные корректировки, в базе — скорр. EBITDA. Перенос из v3. Полная сверка всех показателей не завершена. Годовые потоки пересчитаны из USD; полугодовые раскрыты в RUB. TTM содержит курсовую погрешность.</x:v>
      </x:c>
      <x:c r="BS13" s="65"/>
      <x:c r="BT13" s="65"/>
      <x:c r="BU13" s="65"/>
      <x:c r="BV13" s="65"/>
      <x:c r="BW13" s="65"/>
      <x:c r="BX13" s="65"/>
      <x:c r="BY13" s="65"/>
      <x:c r="BZ13" s="65"/>
      <x:c r="CA13" s="65"/>
      <x:c r="CB13" s="65"/>
      <x:c r="CC13" s="65" t="n">
        <x:f>'Расчетные показатели'!E837</x:f>
        <x:v>26674.88924657532</x:v>
      </x:c>
      <x:c r="CD13" s="65"/>
      <x:c r="CE13" s="65"/>
      <x:c r="CF13" s="65"/>
      <x:c r="CG13" s="65"/>
      <x:c r="CH13" s="65"/>
      <x:c r="CI13" s="65"/>
      <x:c r="CJ13" s="65"/>
      <x:c r="CK13" s="65"/>
      <x:c r="CL13" s="65"/>
      <x:c r="CM13" s="65"/>
      <x:c r="CN13" s="65"/>
    </x:row>
    <x:row r="14" ht="16.5">
      <x:c r="A14"/>
      <x:c r="B14" s="3">
        <x:v>8</x:v>
      </x:c>
      <x:c r="C14" s="3" t="s">
        <x:v>81</x:v>
      </x:c>
      <x:c r="D14"/>
      <x:c r="E14" s="64" t="n">
        <x:f>R14</x:f>
        <x:v>-243358</x:v>
      </x:c>
      <x:c r="F14" s="64"/>
      <x:c r="G14" s="64" t="n">
        <x:f>Y14</x:f>
        <x:v>-569318</x:v>
      </x:c>
      <x:c r="H14" s="64" t="n">
        <x:f>'Расчетные показатели'!E42</x:f>
        <x:v>997989</x:v>
      </x:c>
      <x:c r="I14" s="64" t="str">
        <x:v>н.д.</x:v>
      </x:c>
      <x:c r="J14" s="64" t="n">
        <x:f>'Расчетные показатели'!E691</x:f>
        <x:v>156381</x:v>
      </x:c>
      <x:c r="K14" s="64" t="str">
        <x:f>AI14</x:f>
        <x:v>н.д.</x:v>
      </x:c>
      <x:c r="L14" s="64" t="str">
        <x:f>AK14</x:f>
        <x:v>н.д.</x:v>
      </x:c>
      <x:c r="M14" s="64"/>
      <x:c r="N14" s="64" t="n">
        <x:f>'Расчетные показатели'!E44</x:f>
        <x:v>-938</x:v>
      </x:c>
      <x:c r="O14" s="64" t="n">
        <x:f>'Расчетные показатели'!E45</x:f>
        <x:v>-148406</x:v>
      </x:c>
      <x:c r="P14" s="65"/>
      <x:c r="Q14" s="65"/>
      <x:c r="R14" s="64" t="n">
        <x:f>S14+T14-U14+BN14</x:f>
        <x:v>-243358</x:v>
      </x:c>
      <x:c r="S14" s="66" t="n">
        <x:f>'Расчетные показатели'!E46</x:f>
        <x:v>80380</x:v>
      </x:c>
      <x:c r="T14" s="66" t="n">
        <x:f>'Расчетные показатели'!E47</x:f>
        <x:v>1032</x:v>
      </x:c>
      <x:c r="U14" s="66" t="n">
        <x:f>'Расчетные показатели'!E48</x:f>
        <x:v>650730</x:v>
      </x:c>
      <x:c r="V14" s="66"/>
      <x:c r="W14" s="64"/>
      <x:c r="X14" s="64" t="n">
        <x:f>-BN14</x:f>
        <x:v>-325960</x:v>
      </x:c>
      <x:c r="Y14" s="66" t="n">
        <x:f>R14+X14</x:f>
        <x:v>-569318</x:v>
      </x:c>
      <x:c r="Z14" s="64" t="str">
        <x:v>н.д.</x:v>
      </x:c>
      <x:c r="AA14" s="64"/>
      <x:c r="AB14" s="66"/>
      <x:c r="AC14" s="66"/>
      <x:c r="AD14" s="66"/>
      <x:c r="AE14" s="66"/>
      <x:c r="AF14" s="66" t="n">
        <x:f>SUM('Расчетные показатели'!E689:E690)</x:f>
        <x:v>22804</x:v>
      </x:c>
      <x:c r="AG14" s="64" t="n">
        <x:f>'Расчетные показатели'!E691</x:f>
        <x:v>156381</x:v>
      </x:c>
      <x:c r="AH14" s="64"/>
      <x:c r="AI14" s="64" t="str">
        <x:v>н.д.</x:v>
      </x:c>
      <x:c r="AJ14" s="64"/>
      <x:c r="AK14" s="64" t="str">
        <x:v>н.д.</x:v>
      </x:c>
      <x:c r="AL14" s="64"/>
      <x:c r="AM14" s="64"/>
      <x:c r="AN14" s="64"/>
      <x:c r="AO14" s="64"/>
      <x:c r="AP14" s="64"/>
      <x:c r="AQ14" s="64"/>
      <x:c r="AR14" s="64"/>
      <x:c r="AS14" s="65"/>
      <x:c r="AT14" s="65" t="n">
        <x:f>IF(COUNT(E14,R14)=2,E14-R14,"не сверено")</x:f>
        <x:v>0</x:v>
      </x:c>
      <x:c r="AU14" s="65" t="str">
        <x:f>IF(COUNT(F14,W14)=2,F14-W14,"не сверено")</x:f>
        <x:v>не сверено</x:v>
      </x:c>
      <x:c r="AV14" s="65" t="n">
        <x:f>IF(COUNT(G14,Y14)=2,G14-Y14,"не сверено")</x:f>
        <x:v>0</x:v>
      </x:c>
      <x:c r="AW14" s="65" t="n">
        <x:f>IF(COUNT(J14,AG14)=2,J14-AG14,"не сверено")</x:f>
        <x:v>0</x:v>
      </x:c>
      <x:c r="AX14" s="65" t="str">
        <x:f>IF(COUNT(K14,AI14)=2,K14-AI14,"не сверено")</x:f>
        <x:v>не сверено</x:v>
      </x:c>
      <x:c r="AY14" s="65" t="str">
        <x:f>IF(COUNT(I14,Z14)=2,I14-Z14,"не сверено")</x:f>
        <x:v>не сверено</x:v>
      </x:c>
      <x:c r="AZ14" s="65" t="str">
        <x:f>IF(COUNT(L14,AM14)=2,L14-AM14,"не сверено")</x:f>
        <x:v>не сверено</x:v>
      </x:c>
      <x:c r="BA14" s="65" t="str">
        <x:f>IF(COUNT(M14,AP14)=2,M14-AP14,"не сверено")</x:f>
        <x:v>не сверено</x:v>
      </x:c>
      <x:c r="BB14" s="65"/>
      <x:c r="BC14" s="67" t="str">
        <x:v>Озон_МСФО_2025.pdf; PDF стр. 9, 42; кредиты + аренда − деньги</x:v>
      </x:c>
      <x:c r="BD14" s="67"/>
      <x:c r="BE14" s="67" t="str">
        <x:v>Озон_МСФО_2025.pdf; PDF стр. 34, 49, 56; ЧД IFRS16 − аренда</x:v>
      </x:c>
      <x:c r="BF14" s="67" t="str">
        <x:v>Озон_МСФО_2025.pdf; PDF стр. 28-30, 39, 41</x:v>
      </x:c>
      <x:c r="BG14" s="67" t="str">
        <x:v>Компания раскрывает только скорректированную EBITDA 156 381 млн руб.; обычная EBITDA отдельно не раскрыта и отмечена н.д.</x:v>
      </x:c>
      <x:c r="BH14" s="67" t="str">
        <x:v>EBITDA IAS17: не раскрыта фиксированная аренда; проценты по аренде ее не заменяют. EBITDAC: капитализированные затраты на разработку отдельно не раскрыты; приобретение НМА не использовано как замена.</x:v>
      </x:c>
      <x:c r="BI14" s="67"/>
      <x:c r="BJ14" s="67" t="str">
        <x:v>Нужны раскрытые капитализированные затраты для аналитического EBITDAC. Нули не подставлены.</x:v>
      </x:c>
      <x:c r="BK14" s="67"/>
      <x:c r="BL14" s="67" t="str">
        <x:v>Озон_МСФО_2025.pdf; PDF стр. 10, 28, 33, 51, 54</x:v>
      </x:c>
      <x:c r="BM14" s="67" t="str">
        <x:v>Озон_МСФО_2025.pdf; PDF стр. 9, 10, 13</x:v>
      </x:c>
      <x:c r="BN14" s="65" t="n">
        <x:f>'Расчетные показатели'!E49</x:f>
        <x:v>325960</x:v>
      </x:c>
      <x:c r="BO14" s="65" t="n">
        <x:f>'Расчетные показатели'!E50</x:f>
        <x:v>0</x:v>
      </x:c>
      <x:c r="BP14" s="65"/>
      <x:c r="BQ14" s="65"/>
      <x:c r="BR14" s="67" t="str">
        <x:v>Перенос из v3. Полная сверка всех показателей не завершена.</x:v>
      </x:c>
      <x:c r="BS14" s="65" t="n">
        <x:f>'Расчетные показатели'!E689</x:f>
        <x:v>22269</x:v>
      </x:c>
      <x:c r="BT14" s="65"/>
      <x:c r="BU14" s="65"/>
      <x:c r="BV14" s="65"/>
      <x:c r="BW14" s="65"/>
      <x:c r="BX14" s="65"/>
      <x:c r="BY14" s="65"/>
      <x:c r="BZ14" s="65"/>
      <x:c r="CA14" s="65"/>
      <x:c r="CB14" s="65"/>
      <x:c r="CC14" s="65"/>
      <x:c r="CD14" s="65"/>
      <x:c r="CE14" s="65"/>
      <x:c r="CF14" s="65"/>
      <x:c r="CG14" s="65"/>
      <x:c r="CH14" s="65"/>
      <x:c r="CI14" s="65"/>
      <x:c r="CJ14" s="65"/>
      <x:c r="CK14" s="65"/>
      <x:c r="CL14" s="65"/>
      <x:c r="CM14" s="65"/>
      <x:c r="CN14" s="65"/>
    </x:row>
    <x:row r="15" ht="16.5">
      <x:c r="A15"/>
      <x:c r="B15" s="3">
        <x:v>9</x:v>
      </x:c>
      <x:c r="C15" s="3" t="s">
        <x:v>83</x:v>
      </x:c>
      <x:c r="D15"/>
      <x:c r="E15" s="64" t="n">
        <x:f>R15</x:f>
        <x:v>938745</x:v>
      </x:c>
      <x:c r="F15" s="64" t="n">
        <x:f>W15</x:f>
        <x:v>938745</x:v>
      </x:c>
      <x:c r="G15" s="64" t="n">
        <x:f>Y15</x:f>
        <x:v>228508</x:v>
      </x:c>
      <x:c r="H15" s="64" t="n">
        <x:f>'Расчетные показатели'!E52</x:f>
        <x:v>4642034</x:v>
      </x:c>
      <x:c r="I15" s="64" t="n">
        <x:f>'Расчетные показатели'!E906</x:f>
        <x:v>440676</x:v>
      </x:c>
      <x:c r="J15" s="64" t="n">
        <x:f>'Расчетные показатели'!E927</x:f>
        <x:v>453035</x:v>
      </x:c>
      <x:c r="K15" s="64" t="n">
        <x:f>'Расчетные показатели'!E942</x:f>
        <x:v>273109</x:v>
      </x:c>
      <x:c r="L15" s="64"/>
      <x:c r="M15" s="64"/>
      <x:c r="N15" s="64" t="n">
        <x:f>'Расчетные показатели'!E56</x:f>
        <x:v>83080</x:v>
      </x:c>
      <x:c r="O15" s="64" t="n">
        <x:f>'Расчетные показатели'!E57</x:f>
        <x:v>96911</x:v>
      </x:c>
      <x:c r="P15" s="65"/>
      <x:c r="Q15" s="65"/>
      <x:c r="R15" s="64" t="n">
        <x:f>S15+T15-U15+BN15</x:f>
        <x:v>938745</x:v>
      </x:c>
      <x:c r="S15" s="66" t="n">
        <x:f>'Расчетные показатели'!E58</x:f>
        <x:v>120981</x:v>
      </x:c>
      <x:c r="T15" s="66" t="n">
        <x:f>'Расчетные показатели'!E59</x:f>
        <x:v>285981</x:v>
      </x:c>
      <x:c r="U15" s="66" t="n">
        <x:f>'Расчетные показатели'!E60</x:f>
        <x:v>178454</x:v>
      </x:c>
      <x:c r="V15" s="66" t="n">
        <x:f>BN15</x:f>
        <x:v>710237</x:v>
      </x:c>
      <x:c r="W15" s="64" t="n">
        <x:f>S15+T15-U15+V15</x:f>
        <x:v>938745</x:v>
      </x:c>
      <x:c r="X15" s="64" t="n">
        <x:f>-BN15</x:f>
        <x:v>-710237</x:v>
      </x:c>
      <x:c r="Y15" s="66" t="n">
        <x:f>R15+X15</x:f>
        <x:v>228508</x:v>
      </x:c>
      <x:c r="Z15" s="64" t="n">
        <x:f>'Расчетные показатели'!E906</x:f>
        <x:v>440676</x:v>
      </x:c>
      <x:c r="AA15" s="64"/>
      <x:c r="AB15" s="66"/>
      <x:c r="AC15" s="66"/>
      <x:c r="AD15" s="66"/>
      <x:c r="AE15" s="66"/>
      <x:c r="AF15" s="66" t="n">
        <x:f>SUM('Расчетные показатели'!E925:E926)</x:f>
        <x:v>12359</x:v>
      </x:c>
      <x:c r="AG15" s="64" t="n">
        <x:f>'Расчетные показатели'!E927</x:f>
        <x:v>453035</x:v>
      </x:c>
      <x:c r="AH15" s="64"/>
      <x:c r="AI15" s="64" t="n">
        <x:f>'Расчетные показатели'!E942</x:f>
        <x:v>273109</x:v>
      </x:c>
      <x:c r="AJ15" s="64"/>
      <x:c r="AK15" s="64" t="str">
        <x:v>н.п.</x:v>
      </x:c>
      <x:c r="AL15" s="64"/>
      <x:c r="AM15" s="64"/>
      <x:c r="AN15" s="64"/>
      <x:c r="AO15" s="64"/>
      <x:c r="AP15" s="64"/>
      <x:c r="AQ15" s="64"/>
      <x:c r="AR15" s="64"/>
      <x:c r="AS15" s="65"/>
      <x:c r="AT15" s="65" t="n">
        <x:f>IF(COUNT(E15,R15)=2,E15-R15,"не сверено")</x:f>
        <x:v>0</x:v>
      </x:c>
      <x:c r="AU15" s="65" t="n">
        <x:f>IF(COUNT(F15,W15)=2,F15-W15,"не сверено")</x:f>
        <x:v>0</x:v>
      </x:c>
      <x:c r="AV15" s="65" t="n">
        <x:f>IF(COUNT(G15,Y15)=2,G15-Y15,"не сверено")</x:f>
        <x:v>0</x:v>
      </x:c>
      <x:c r="AW15" s="65" t="n">
        <x:f>IF(COUNT(J15,AG15)=2,J15-AG15,"не сверено")</x:f>
        <x:v>0</x:v>
      </x:c>
      <x:c r="AX15" s="65" t="n">
        <x:f>IF(COUNT(K15,AI15)=2,K15-AI15,"не сверено")</x:f>
        <x:v>0</x:v>
      </x:c>
      <x:c r="AY15" s="65" t="n">
        <x:f>IF(COUNT(I15,Z15)=2,I15-Z15,"не сверено")</x:f>
        <x:v>0</x:v>
      </x:c>
      <x:c r="AZ15" s="65" t="str">
        <x:f>IF(COUNT(L15,AM15)=2,L15-AM15,"не сверено")</x:f>
        <x:v>не сверено</x:v>
      </x:c>
      <x:c r="BA15" s="65" t="str">
        <x:f>IF(COUNT(M15,AP15)=2,M15-AP15,"не сверено")</x:f>
        <x:v>не сверено</x:v>
      </x:c>
      <x:c r="BB15" s="65"/>
      <x:c r="BC15" s="67" t="str">
        <x:v>X5_IR_2026H1.pdf; PDF стр. 12; 120 981 + 285 981 + 710 237 − 178 454 = 938 745</x:v>
      </x:c>
      <x:c r="BD15" s="67" t="str">
        <x:v>ЧД IFRS 16 938 745 млн руб.; аренда 710 237 млн руб. включена и отдельно показана в V15</x:v>
      </x:c>
      <x:c r="BE15" s="67" t="str">
        <x:v>X5_IR_2026H1.pdf; PDF стр. 12; раскрытый ЧД до IFRS 16 — 228 508 млн руб.</x:v>
      </x:c>
      <x:c r="BF15" s="67" t="str">
        <x:v>КЦ_Икс_5_МСФО_2025.pdf; PDF стр. 9–10; выручка, прибыль акционеров и капитал</x:v>
      </x:c>
      <x:c r="BG15" s="67" t="str">
        <x:v>X5_IR_FY_2026H1.pdf; PDF стр. 16; скорр. EBITDA IFRS 16 — 453 035; дополнительно скорр. EBITDA до IFRS 16 — 285 468 (стр. 3; расчетные строки 954–957)</x:v>
      </x:c>
      <x:c r="BH15" s="67" t="str">
        <x:v>X5_IR_FY_2026H1.pdf; PDF стр. 3, 17; EBITDA до IFRS 16 — 273 109</x:v>
      </x:c>
      <x:c r="BI15" s="67" t="str">
        <x:v>X5_IR_FY_2026H1.pdf; PDF стр. 16; EBITDA IFRS 16 — 440 676</x:v>
      </x:c>
      <x:c r="BJ15" s="67"/>
      <x:c r="BK15" s="67"/>
      <x:c r="BL15" s="67" t="str">
        <x:v>КЦ_Икс_5_МСФО_2025.pdf; PDF стр. 43</x:v>
      </x:c>
      <x:c r="BM15" s="67" t="str">
        <x:v>КЦ_Икс_5_МСФО_2025.pdf; страница не подтверждена</x:v>
      </x:c>
      <x:c r="BN15" s="65" t="n">
        <x:f>'Расчетные показатели'!E61</x:f>
        <x:v>710237</x:v>
      </x:c>
      <x:c r="BO15" s="65"/>
      <x:c r="BP15" s="65" t="n">
        <x:f>'Расчетные показатели'!E957</x:f>
        <x:v>285468</x:v>
      </x:c>
      <x:c r="BQ15" s="65"/>
      <x:c r="BR15" s="67" t="str">
        <x:v>Перенос из v3. Полная сверка всех показателей не завершена.</x:v>
      </x:c>
      <x:c r="BS15" s="65"/>
      <x:c r="BT15" s="65"/>
      <x:c r="BU15" s="65"/>
      <x:c r="BV15" s="65"/>
      <x:c r="BW15" s="65"/>
      <x:c r="BX15" s="65"/>
      <x:c r="BY15" s="65"/>
      <x:c r="BZ15" s="65"/>
      <x:c r="CA15" s="65"/>
      <x:c r="CB15" s="65"/>
      <x:c r="CC15" s="65"/>
      <x:c r="CD15" s="65"/>
      <x:c r="CE15" s="65" t="n">
        <x:f>'Расчетные показатели'!E940</x:f>
        <x:v>-165382</x:v>
      </x:c>
      <x:c r="CF15" s="65"/>
      <x:c r="CG15" s="65"/>
      <x:c r="CH15" s="65"/>
      <x:c r="CI15" s="65"/>
      <x:c r="CJ15" s="65"/>
      <x:c r="CK15" s="65"/>
      <x:c r="CL15" s="65"/>
      <x:c r="CM15" s="65"/>
      <x:c r="CN15" s="65"/>
    </x:row>
    <x:row r="16" ht="16.5">
      <x:c r="A16"/>
      <x:c r="B16" s="3">
        <x:v>10</x:v>
      </x:c>
      <x:c r="C16" s="3" t="s">
        <x:v>85</x:v>
      </x:c>
      <x:c r="D16"/>
      <x:c r="E16" s="64" t="str">
        <x:v>н.д.</x:v>
      </x:c>
      <x:c r="F16" s="64"/>
      <x:c r="G16" s="64"/>
      <x:c r="H16" s="64" t="n">
        <x:f>'Расчетные показатели'!E63</x:f>
        <x:v>8236000</x:v>
      </x:c>
      <x:c r="I16" s="64" t="n">
        <x:f>'Расчетные показатели'!E64</x:f>
        <x:v>2173000</x:v>
      </x:c>
      <x:c r="J16" s="64"/>
      <x:c r="K16" s="64"/>
      <x:c r="L16" s="64"/>
      <x:c r="M16" s="64"/>
      <x:c r="N16" s="64" t="n">
        <x:f>'Расчетные показатели'!E65</x:f>
        <x:v>293000</x:v>
      </x:c>
      <x:c r="O16" s="64" t="str">
        <x:v>н.д.</x:v>
      </x:c>
      <x:c r="P16" s="65"/>
      <x:c r="Q16" s="65"/>
      <x:c r="R16" s="64" t="str">
        <x:v>н.д.</x:v>
      </x:c>
      <x:c r="S16" s="66"/>
      <x:c r="T16" s="66"/>
      <x:c r="U16" s="66"/>
      <x:c r="V16" s="66"/>
      <x:c r="W16" s="64"/>
      <x:c r="X16" s="64"/>
      <x:c r="Y16" s="66" t="str">
        <x:v>н.п.</x:v>
      </x:c>
      <x:c r="Z16" s="64" t="n">
        <x:f>'Расчетные показатели'!E64</x:f>
        <x:v>2173000</x:v>
      </x:c>
      <x:c r="AA16" s="64"/>
      <x:c r="AB16" s="66"/>
      <x:c r="AC16" s="66"/>
      <x:c r="AD16" s="66"/>
      <x:c r="AE16" s="66"/>
      <x:c r="AF16" s="66"/>
      <x:c r="AG16" s="64"/>
      <x:c r="AH16" s="64"/>
      <x:c r="AI16" s="64" t="str">
        <x:v>н.п.</x:v>
      </x:c>
      <x:c r="AJ16" s="64"/>
      <x:c r="AK16" s="64" t="str">
        <x:v>н.п.</x:v>
      </x:c>
      <x:c r="AL16" s="64"/>
      <x:c r="AM16" s="64"/>
      <x:c r="AN16" s="64"/>
      <x:c r="AO16" s="64"/>
      <x:c r="AP16" s="64"/>
      <x:c r="AQ16" s="64"/>
      <x:c r="AR16" s="64"/>
      <x:c r="AS16" s="65"/>
      <x:c r="AT16" s="65" t="str">
        <x:f>IF(COUNT(E16,R16)=2,E16-R16,"не сверено")</x:f>
        <x:v>не сверено</x:v>
      </x:c>
      <x:c r="AU16" s="65" t="str">
        <x:f>IF(COUNT(F16,W16)=2,F16-W16,"не сверено")</x:f>
        <x:v>не сверено</x:v>
      </x:c>
      <x:c r="AV16" s="65" t="str">
        <x:f>IF(COUNT(G16,Y16)=2,G16-Y16,"не сверено")</x:f>
        <x:v>не сверено</x:v>
      </x:c>
      <x:c r="AW16" s="65" t="str">
        <x:f>IF(COUNT(J16,AG16)=2,J16-AG16,"не сверено")</x:f>
        <x:v>не сверено</x:v>
      </x:c>
      <x:c r="AX16" s="65" t="str">
        <x:f>IF(COUNT(K16,AI16)=2,K16-AI16,"не сверено")</x:f>
        <x:v>не сверено</x:v>
      </x:c>
      <x:c r="AY16" s="65" t="n">
        <x:f>IF(COUNT(I16,Z16)=2,I16-Z16,"не сверено")</x:f>
        <x:v>0</x:v>
      </x:c>
      <x:c r="AZ16" s="65" t="str">
        <x:f>IF(COUNT(L16,AM16)=2,L16-AM16,"не сверено")</x:f>
        <x:v>не сверено</x:v>
      </x:c>
      <x:c r="BA16" s="65" t="str">
        <x:f>IF(COUNT(M16,AP16)=2,M16-AP16,"не сверено")</x:f>
        <x:v>не сверено</x:v>
      </x:c>
      <x:c r="BB16" s="65"/>
      <x:c r="BC16" s="67" t="str">
        <x:v>Официальный IR-релиз Роснефти от 31.03.2026: раскрыт только ЧД/EBITDA 1,5x; точная сумма и компоненты ЧД не раскрыты — н.д.</x:v>
      </x:c>
      <x:c r="BD16" s="67"/>
      <x:c r="BE16" s="67"/>
      <x:c r="BF16" s="67" t="str">
        <x:v>Роснефть_МСФО_2025.pdf; PDF стр. 6; выручка и прибыль акционеров</x:v>
      </x:c>
      <x:c r="BG16" s="67"/>
      <x:c r="BH16" s="67"/>
      <x:c r="BI16" s="67" t="str">
        <x:v>Роснефть_отчет_эмитента_2025.pdf; PDF стр. 7; EBITDA — 2 173 000 млн руб.</x:v>
      </x:c>
      <x:c r="BJ16" s="67"/>
      <x:c r="BK16" s="67"/>
      <x:c r="BL16" s="67" t="str">
        <x:v>Роснефть_МСФО_2025.pdf; PDF стр. 6; прибыль акционеров — 293 000 млн руб.</x:v>
      </x:c>
      <x:c r="BM16" s="67" t="str">
        <x:v>Роснефть_МСФО_2025.pdf; PDF стр. 5; раскрыт только общий капитал 9 078 000 млн руб.; капитал акционеров — н.д.</x:v>
      </x:c>
      <x:c r="BN16" s="65"/>
      <x:c r="BO16" s="65"/>
      <x:c r="BP16" s="65"/>
      <x:c r="BQ16" s="65" t="n">
        <x:f>'Расчетные показатели'!E66</x:f>
        <x:v>9078000</x:v>
      </x:c>
      <x:c r="BR16" s="67" t="str">
        <x:v>ЧД не рассчитан из округлённого ЧД/EBITDA 1,5x. Точный ЧД и его компоненты не раскрыты. Общий капитал 9 078 000 млн руб. показан отдельно в BQ; доля акционеров и НКД не выделены.</x:v>
      </x:c>
      <x:c r="BS16" s="65"/>
      <x:c r="BT16" s="65"/>
      <x:c r="BU16" s="65"/>
      <x:c r="BV16" s="65"/>
      <x:c r="BW16" s="65"/>
      <x:c r="BX16" s="65"/>
      <x:c r="BY16" s="65"/>
      <x:c r="BZ16" s="65"/>
      <x:c r="CA16" s="65"/>
      <x:c r="CB16" s="65"/>
      <x:c r="CC16" s="65"/>
      <x:c r="CD16" s="65"/>
      <x:c r="CE16" s="65"/>
      <x:c r="CF16" s="65"/>
      <x:c r="CG16" s="65"/>
      <x:c r="CH16" s="65"/>
      <x:c r="CI16" s="65"/>
      <x:c r="CJ16" s="65"/>
      <x:c r="CK16" s="65"/>
      <x:c r="CL16" s="65"/>
      <x:c r="CM16" s="65"/>
      <x:c r="CN16" s="65"/>
    </x:row>
    <x:row r="17" ht="16.5">
      <x:c r="A17"/>
      <x:c r="B17" s="3">
        <x:v>11</x:v>
      </x:c>
      <x:c r="C17" s="3" t="s">
        <x:v>86</x:v>
      </x:c>
      <x:c r="D17"/>
      <x:c r="E17" s="64" t="n">
        <x:f>'Расчетные показатели'!E1325</x:f>
        <x:v>555322</x:v>
      </x:c>
      <x:c r="F17" s="64"/>
      <x:c r="G17" s="64"/>
      <x:c r="H17" s="64" t="n">
        <x:f>'Расчетные показатели'!E67</x:f>
        <x:v>712773</x:v>
      </x:c>
      <x:c r="I17" s="64" t="str">
        <x:v>н.д.</x:v>
      </x:c>
      <x:c r="J17" s="64" t="n">
        <x:f>'Расчетные показатели'!E68</x:f>
        <x:v>517793</x:v>
      </x:c>
      <x:c r="K17" s="64"/>
      <x:c r="L17" s="64"/>
      <x:c r="M17" s="64"/>
      <x:c r="N17" s="64" t="n">
        <x:f>'Расчетные показатели'!E69</x:f>
        <x:v>314206</x:v>
      </x:c>
      <x:c r="O17" s="64" t="n">
        <x:f>'Расчетные показатели'!E70</x:f>
        <x:v>271883</x:v>
      </x:c>
      <x:c r="P17" s="65"/>
      <x:c r="Q17" s="65"/>
      <x:c r="R17" s="64" t="n">
        <x:f>S17+T17-U17</x:f>
        <x:v>555322</x:v>
      </x:c>
      <x:c r="S17" s="66" t="n">
        <x:f>'Расчетные показатели'!E1317</x:f>
        <x:v>9222</x:v>
      </x:c>
      <x:c r="T17" s="66" t="n">
        <x:f>'Расчетные показатели'!E1318+'Расчетные показатели'!E1319</x:f>
        <x:v>779847</x:v>
      </x:c>
      <x:c r="U17" s="66" t="n">
        <x:f>'Расчетные показатели'!E1323</x:f>
        <x:v>233747</x:v>
      </x:c>
      <x:c r="V17" s="66"/>
      <x:c r="W17" s="64"/>
      <x:c r="X17" s="64"/>
      <x:c r="Y17" s="66" t="str">
        <x:v>н.п.</x:v>
      </x:c>
      <x:c r="Z17" s="64" t="str">
        <x:v>н.д.</x:v>
      </x:c>
      <x:c r="AA17" s="64"/>
      <x:c r="AB17" s="66"/>
      <x:c r="AC17" s="66"/>
      <x:c r="AD17" s="66"/>
      <x:c r="AE17" s="66"/>
      <x:c r="AF17" s="66"/>
      <x:c r="AG17" s="64" t="n">
        <x:f>'Расчетные показатели'!E1332</x:f>
        <x:v>517793</x:v>
      </x:c>
      <x:c r="AH17" s="64"/>
      <x:c r="AI17" s="64" t="str">
        <x:v>н.п.</x:v>
      </x:c>
      <x:c r="AJ17" s="64"/>
      <x:c r="AK17" s="64" t="str">
        <x:v>н.п.</x:v>
      </x:c>
      <x:c r="AL17" s="64"/>
      <x:c r="AM17" s="64"/>
      <x:c r="AN17" s="64"/>
      <x:c r="AO17" s="64"/>
      <x:c r="AP17" s="64"/>
      <x:c r="AQ17" s="64"/>
      <x:c r="AR17" s="64"/>
      <x:c r="AS17" s="65"/>
      <x:c r="AT17" s="65" t="n">
        <x:f>IF(COUNT(E17,R17)=2,E17-R17,"не сверено")</x:f>
        <x:v>0</x:v>
      </x:c>
      <x:c r="AU17" s="65" t="str">
        <x:f>IF(COUNT(F17,W17)=2,F17-W17,"не сверено")</x:f>
        <x:v>не сверено</x:v>
      </x:c>
      <x:c r="AV17" s="65" t="str">
        <x:f>IF(COUNT(G17,Y17)=2,G17-Y17,"не сверено")</x:f>
        <x:v>не сверено</x:v>
      </x:c>
      <x:c r="AW17" s="65" t="n">
        <x:f>IF(COUNT(J17,AG17)=2,J17-AG17,"не сверено")</x:f>
        <x:v>0</x:v>
      </x:c>
      <x:c r="AX17" s="65" t="str">
        <x:f>IF(COUNT(K17,AI17)=2,K17-AI17,"не сверено")</x:f>
        <x:v>не сверено</x:v>
      </x:c>
      <x:c r="AY17" s="65" t="str">
        <x:f>IF(COUNT(I17,Z17)=2,I17-Z17,"не сверено")</x:f>
        <x:v>не сверено</x:v>
      </x:c>
      <x:c r="AZ17" s="65" t="str">
        <x:f>IF(COUNT(L17,AM17)=2,L17-AM17,"не сверено")</x:f>
        <x:v>не сверено</x:v>
      </x:c>
      <x:c r="BA17" s="65" t="str">
        <x:f>IF(COUNT(M17,AP17)=2,M17-AP17,"не сверено")</x:f>
        <x:v>не сверено</x:v>
      </x:c>
      <x:c r="BB17" s="65"/>
      <x:c r="BC17" s="67" t="str">
        <x:v>Полюс_отчет_эмитента_2025.pdf; PDF стр. 10; опубликованный ЧД 555 322 млн руб.; методика включает кредиты, займы и деривативы за вычетом денежных средств и краткосрочных депозитов.</x:v>
      </x:c>
      <x:c r="BD17" s="67"/>
      <x:c r="BE17" s="67"/>
      <x:c r="BF17" s="67" t="str">
        <x:v>Полюс_МСФО_2025.pdf; PDF стр. 9</x:v>
      </x:c>
      <x:c r="BG17" s="67" t="str">
        <x:v>Полюс_МСФО_2025.pdf; PDF стр. 28; обычная EBITDA отдельно не раскрыта — н.д.</x:v>
      </x:c>
      <x:c r="BH17" s="67" t="str">
        <x:v>Полюс_МСФО_2025.pdf; PDF стр. 28; скорректированная EBITDA 517 793 млн руб.</x:v>
      </x:c>
      <x:c r="BI17" s="67" t="str">
        <x:v>Расчётные показатели!E1327:E1334; раскрытый мост скорректированной EBITDA, проверка 0.</x:v>
      </x:c>
      <x:c r="BJ17" s="67"/>
      <x:c r="BK17" s="67"/>
      <x:c r="BL17" s="67" t="str">
        <x:v>Полюс_МСФО_2025.pdf; PDF стр. 9, 12, 40</x:v>
      </x:c>
      <x:c r="BM17" s="67" t="str">
        <x:v>Полюс_МСФО_2025.pdf; PDF стр. 11, 12</x:v>
      </x:c>
      <x:c r="BN17" s="65"/>
      <x:c r="BO17" s="65"/>
      <x:c r="BP17" s="65"/>
      <x:c r="BQ17" s="65"/>
      <x:c r="BR17" s="67" t="str">
        <x:v>Сверено. ЧД 555 322 млн руб. и скорректированная EBITDA 517 793 млн руб. воспроизведены по методике эмитента. Обычная EBITDA отдельно не раскрыта.</x:v>
      </x:c>
      <x:c r="BS17" s="65"/>
      <x:c r="BT17" s="65"/>
      <x:c r="BU17" s="65"/>
      <x:c r="BV17" s="65"/>
      <x:c r="BW17" s="65"/>
      <x:c r="BX17" s="65"/>
      <x:c r="BY17" s="65"/>
      <x:c r="BZ17" s="65"/>
      <x:c r="CA17" s="65"/>
      <x:c r="CB17" s="65"/>
      <x:c r="CC17" s="65"/>
      <x:c r="CD17" s="65"/>
      <x:c r="CE17" s="65"/>
      <x:c r="CF17" s="65"/>
      <x:c r="CG17" s="65"/>
      <x:c r="CH17" s="65"/>
      <x:c r="CI17" s="65"/>
      <x:c r="CJ17" s="65"/>
      <x:c r="CK17" s="65"/>
      <x:c r="CL17" s="65"/>
      <x:c r="CM17" s="65"/>
      <x:c r="CN17" s="65"/>
    </x:row>
    <x:row r="18" ht="16.5">
      <x:c r="A18"/>
      <x:c r="B18" s="3">
        <x:v>12</x:v>
      </x:c>
      <x:c r="C18" s="3" t="s">
        <x:v>87</x:v>
      </x:c>
      <x:c r="D18"/>
      <x:c r="E18" s="64"/>
      <x:c r="F18" s="64"/>
      <x:c r="G18" s="64"/>
      <x:c r="H18" s="64"/>
      <x:c r="I18" s="64"/>
      <x:c r="J18" s="64"/>
      <x:c r="K18" s="64"/>
      <x:c r="L18" s="64"/>
      <x:c r="M18" s="64"/>
      <x:c r="N18" s="64"/>
      <x:c r="O18" s="64"/>
      <x:c r="P18" s="65"/>
      <x:c r="Q18" s="65"/>
      <x:c r="R18" s="64"/>
      <x:c r="S18" s="66"/>
      <x:c r="T18" s="66"/>
      <x:c r="U18" s="66"/>
      <x:c r="V18" s="66"/>
      <x:c r="W18" s="64"/>
      <x:c r="X18" s="64"/>
      <x:c r="Y18" s="66" t="str">
        <x:v>н.п.</x:v>
      </x:c>
      <x:c r="Z18" s="64"/>
      <x:c r="AA18" s="64"/>
      <x:c r="AB18" s="66"/>
      <x:c r="AC18" s="66"/>
      <x:c r="AD18" s="66"/>
      <x:c r="AE18" s="66"/>
      <x:c r="AF18" s="66"/>
      <x:c r="AG18" s="64"/>
      <x:c r="AH18" s="64"/>
      <x:c r="AI18" s="64" t="str">
        <x:v>н.п.</x:v>
      </x:c>
      <x:c r="AJ18" s="64"/>
      <x:c r="AK18" s="64" t="str">
        <x:v>н.п.</x:v>
      </x:c>
      <x:c r="AL18" s="64"/>
      <x:c r="AM18" s="64"/>
      <x:c r="AN18" s="64"/>
      <x:c r="AO18" s="64"/>
      <x:c r="AP18" s="64"/>
      <x:c r="AQ18" s="64"/>
      <x:c r="AR18" s="64"/>
      <x:c r="AS18" s="65"/>
      <x:c r="AT18" s="65" t="str">
        <x:f>IF(COUNT(E18,R18)=2,E18-R18,"не сверено")</x:f>
        <x:v>не сверено</x:v>
      </x:c>
      <x:c r="AU18" s="65" t="str">
        <x:f>IF(COUNT(F18,W18)=2,F18-W18,"не сверено")</x:f>
        <x:v>не сверено</x:v>
      </x:c>
      <x:c r="AV18" s="65" t="str">
        <x:f>IF(COUNT(G18,Y18)=2,G18-Y18,"не сверено")</x:f>
        <x:v>не сверено</x:v>
      </x:c>
      <x:c r="AW18" s="65" t="str">
        <x:f>IF(COUNT(J18,AG18)=2,J18-AG18,"не сверено")</x:f>
        <x:v>не сверено</x:v>
      </x:c>
      <x:c r="AX18" s="65" t="str">
        <x:f>IF(COUNT(K18,AI18)=2,K18-AI18,"не сверено")</x:f>
        <x:v>не сверено</x:v>
      </x:c>
      <x:c r="AY18" s="65" t="str">
        <x:f>IF(COUNT(I18,Z18)=2,I18-Z18,"не сверено")</x:f>
        <x:v>не сверено</x:v>
      </x:c>
      <x:c r="AZ18" s="65" t="str">
        <x:f>IF(COUNT(L18,AM18)=2,L18-AM18,"не сверено")</x:f>
        <x:v>не сверено</x:v>
      </x:c>
      <x:c r="BA18" s="65" t="str">
        <x:f>IF(COUNT(M18,AP18)=2,M18-AP18,"не сверено")</x:f>
        <x:v>не сверено</x:v>
      </x:c>
      <x:c r="BB18" s="65"/>
      <x:c r="BC18" s="67"/>
      <x:c r="BD18" s="67"/>
      <x:c r="BE18" s="67"/>
      <x:c r="BF18" s="67"/>
      <x:c r="BG18" s="67"/>
      <x:c r="BH18" s="67"/>
      <x:c r="BI18" s="67"/>
      <x:c r="BJ18" s="67"/>
      <x:c r="BK18" s="67"/>
      <x:c r="BL18" s="67"/>
      <x:c r="BM18" s="67"/>
      <x:c r="BN18" s="65"/>
      <x:c r="BO18" s="65"/>
      <x:c r="BP18" s="65"/>
      <x:c r="BQ18" s="65"/>
      <x:c r="BR18" s="67" t="str">
        <x:v>Перенос из v3. Полная сверка всех показателей не завершена.</x:v>
      </x:c>
      <x:c r="BS18" s="65"/>
      <x:c r="BT18" s="65"/>
      <x:c r="BU18" s="65"/>
      <x:c r="BV18" s="65"/>
      <x:c r="BW18" s="65"/>
      <x:c r="BX18" s="65"/>
      <x:c r="BY18" s="65"/>
      <x:c r="BZ18" s="65"/>
      <x:c r="CA18" s="65"/>
      <x:c r="CB18" s="65"/>
      <x:c r="CC18" s="65"/>
      <x:c r="CD18" s="65"/>
      <x:c r="CE18" s="65"/>
      <x:c r="CF18" s="65"/>
      <x:c r="CG18" s="65"/>
      <x:c r="CH18" s="65"/>
      <x:c r="CI18" s="65"/>
      <x:c r="CJ18" s="65"/>
      <x:c r="CK18" s="65"/>
      <x:c r="CL18" s="65"/>
      <x:c r="CM18" s="65"/>
      <x:c r="CN18" s="65"/>
    </x:row>
    <x:row r="19" ht="16.5">
      <x:c r="A19"/>
      <x:c r="B19" s="3">
        <x:v>13</x:v>
      </x:c>
      <x:c r="C19" s="3" t="s">
        <x:v>88</x:v>
      </x:c>
      <x:c r="D19"/>
      <x:c r="E19" s="64" t="n">
        <x:f>'Расчетные показатели'!E1339</x:f>
        <x:v>-14686.736</x:v>
      </x:c>
      <x:c r="F19" s="64" t="n">
        <x:f>'Расчетные показатели'!E1342</x:f>
        <x:v>-11555.709</x:v>
      </x:c>
      <x:c r="G19" s="64"/>
      <x:c r="H19" s="64" t="n">
        <x:f>'Расчетные показатели'!E71</x:f>
        <x:v>41203.402</x:v>
      </x:c>
      <x:c r="I19" s="64" t="n">
        <x:f>'Расчетные показатели'!E1355</x:f>
        <x:v>20348.17</x:v>
      </x:c>
      <x:c r="J19" s="64" t="n">
        <x:f>'Расчетные показатели'!E869</x:f>
        <x:v>22761.895</x:v>
      </x:c>
      <x:c r="K19" s="64"/>
      <x:c r="L19" s="64" t="str">
        <x:f>AK19</x:f>
        <x:v>н.д.</x:v>
      </x:c>
      <x:c r="M19" s="64"/>
      <x:c r="N19" s="64" t="n">
        <x:f>'Расчетные показатели'!E73</x:f>
        <x:v>15245.646</x:v>
      </x:c>
      <x:c r="O19" s="64" t="n">
        <x:f>'Расчетные показатели'!E74</x:f>
        <x:v>3787.44</x:v>
      </x:c>
      <x:c r="P19" s="65"/>
      <x:c r="Q19" s="65"/>
      <x:c r="R19" s="64" t="n">
        <x:f>'Расчетные показатели'!E1338</x:f>
        <x:v>-14686.736</x:v>
      </x:c>
      <x:c r="S19" s="66" t="n">
        <x:f>'Расчетные показатели'!E75</x:f>
        <x:v>4.507</x:v>
      </x:c>
      <x:c r="T19" s="66" t="n">
        <x:f>'Расчетные показатели'!E76</x:f>
        <x:v>0</x:v>
      </x:c>
      <x:c r="U19" s="66" t="n">
        <x:f>'Расчетные показатели'!E77</x:f>
        <x:v>14501.243</x:v>
      </x:c>
      <x:c r="V19" s="66" t="n">
        <x:f>'Расчетные показатели'!E1341</x:f>
        <x:v>3131.027</x:v>
      </x:c>
      <x:c r="W19" s="64" t="n">
        <x:f>R19+V19</x:f>
        <x:v>-11555.709</x:v>
      </x:c>
      <x:c r="X19" s="64"/>
      <x:c r="Y19" s="66" t="str">
        <x:v>н.п.</x:v>
      </x:c>
      <x:c r="Z19" s="64" t="n">
        <x:f>'Расчетные показатели'!E1354</x:f>
        <x:v>20348.17</x:v>
      </x:c>
      <x:c r="AA19" s="64"/>
      <x:c r="AB19" s="66"/>
      <x:c r="AC19" s="66"/>
      <x:c r="AD19" s="66" t="n">
        <x:f>'Расчетные показатели'!E78</x:f>
        <x:v>1299.673</x:v>
      </x:c>
      <x:c r="AE19" s="66" t="n">
        <x:f>'Расчетные показатели'!E79</x:f>
        <x:v>1651.18</x:v>
      </x:c>
      <x:c r="AF19" s="66" t="n">
        <x:f>SUM('Расчетные показатели'!E864:E868)</x:f>
        <x:v>2413.7249999999995</x:v>
      </x:c>
      <x:c r="AG19" s="64" t="n">
        <x:f>'Расчетные показатели'!E869</x:f>
        <x:v>22761.895</x:v>
      </x:c>
      <x:c r="AH19" s="64"/>
      <x:c r="AI19" s="64" t="str">
        <x:v>н.п.</x:v>
      </x:c>
      <x:c r="AJ19" s="64"/>
      <x:c r="AK19" s="64" t="str">
        <x:v>н.д.</x:v>
      </x:c>
      <x:c r="AL19" s="64"/>
      <x:c r="AM19" s="64"/>
      <x:c r="AN19" s="64"/>
      <x:c r="AO19" s="64"/>
      <x:c r="AP19" s="64"/>
      <x:c r="AQ19" s="64"/>
      <x:c r="AR19" s="64"/>
      <x:c r="AS19" s="65"/>
      <x:c r="AT19" s="65" t="n">
        <x:f>IF(COUNT(E19,R19)=2,E19-R19,"не сверено")</x:f>
        <x:v>0</x:v>
      </x:c>
      <x:c r="AU19" s="65" t="n">
        <x:f>IF(COUNT(F19,W19)=2,F19-W19,"не сверено")</x:f>
        <x:v>0</x:v>
      </x:c>
      <x:c r="AV19" s="65" t="str">
        <x:f>IF(COUNT(G19,Y19)=2,G19-Y19,"не сверено")</x:f>
        <x:v>не сверено</x:v>
      </x:c>
      <x:c r="AW19" s="65" t="n">
        <x:f>IF(COUNT(J19,AG19)=2,J19-AG19,"не сверено")</x:f>
        <x:v>0</x:v>
      </x:c>
      <x:c r="AX19" s="65" t="str">
        <x:f>IF(COUNT(K19,AI19)=2,K19-AI19,"не сверено")</x:f>
        <x:v>не сверено</x:v>
      </x:c>
      <x:c r="AY19" s="65" t="n">
        <x:f>IF(COUNT(I19,Z19)=2,I19-Z19,"не сверено")</x:f>
        <x:v>0</x:v>
      </x:c>
      <x:c r="AZ19" s="65" t="str">
        <x:f>IF(COUNT(L19,AM19)=2,L19-AM19,"не сверено")</x:f>
        <x:v>не сверено</x:v>
      </x:c>
      <x:c r="BA19" s="65" t="str">
        <x:f>IF(COUNT(M19,AP19)=2,M19-AP19,"не сверено")</x:f>
        <x:v>не сверено</x:v>
      </x:c>
      <x:c r="BB19" s="65"/>
      <x:c r="BC19" s="67" t="str">
        <x:v>ХХ_отчет_эмитента_2025.pdf; PDF стр. 18; опубликованный ЧД −14 686,736 млн руб. = кредиты и займы − деньги − краткосрочные инвестиции</x:v>
      </x:c>
      <x:c r="BD19" s="67" t="str">
        <x:v>ХХ_МСФО_2025.pdf; PDF стр. 8, 46; аналитический ЧД с арендой −11 555,709 млн руб.</x:v>
      </x:c>
      <x:c r="BE19" s="67"/>
      <x:c r="BF19" s="67" t="str">
        <x:v>ХХ_МСФО_2025.pdf; PDF стр. 22, 24, 28; выручка 41 203,402 млн руб.</x:v>
      </x:c>
      <x:c r="BG19" s="67" t="str">
        <x:v>ХХ_МСФО_2025.pdf; PDF стр. 22, 23; EBITDA по сегменту 22 761,895 млн руб.</x:v>
      </x:c>
      <x:c r="BH19" s="67"/>
      <x:c r="BI19" s="67" t="str">
        <x:v>ХХ_отчет_эмитента_2025.pdf; PDF стр. 17, 19; обычная EBITDA 20 348,170 млн руб.</x:v>
      </x:c>
      <x:c r="BJ19" s="67" t="str">
        <x:v>Капитализированные затраты на разработку названы несущественными в ХХ_МСФО_2025.pdf (PDF стр. 16), но точная сумма не раскрыта; EBITDAC — н.д.</x:v>
      </x:c>
      <x:c r="BK19" s="67"/>
      <x:c r="BL19" s="67" t="str">
        <x:v>ХХ_МСФО_2025.pdf; PDF стр. 10, 27; прибыль собственников 15 245,646 млн руб.</x:v>
      </x:c>
      <x:c r="BM19" s="67" t="str">
        <x:v>ХХ_МСФО_2025.pdf; PDF стр. 8, 10; капитал собственников 3 787,440 млн руб.</x:v>
      </x:c>
      <x:c r="BN19" s="65" t="n">
        <x:f>'Расчетные показатели'!E1094</x:f>
        <x:v>3131.027</x:v>
      </x:c>
      <x:c r="BO19" s="65"/>
      <x:c r="BP19" s="65"/>
      <x:c r="BQ19" s="65"/>
      <x:c r="BR19" s="67" t="str">
        <x:v>Компания раскрывает обычную EBITDA и скорректированную EBITDA по сегменту; обе версии показаны. Опубликованный ЧД исключает аренду и краткосрочные инвестиции; версия с арендой показана отдельно как скорректированный ЧД.</x:v>
      </x:c>
      <x:c r="BS19" s="65" t="n">
        <x:f>'Расчетные показатели'!E865</x:f>
        <x:v>1791.514</x:v>
      </x:c>
      <x:c r="BT19" s="65"/>
      <x:c r="BU19" s="65"/>
      <x:c r="BV19" s="65"/>
      <x:c r="BW19" s="65"/>
      <x:c r="BX19" s="65"/>
      <x:c r="BY19" s="65"/>
      <x:c r="BZ19" s="65"/>
      <x:c r="CA19" s="65"/>
      <x:c r="CB19" s="65"/>
      <x:c r="CC19" s="65"/>
      <x:c r="CD19" s="65" t="n">
        <x:f>'Расчетные показатели'!E864</x:f>
        <x:v>379.402</x:v>
      </x:c>
      <x:c r="CE19" s="65"/>
      <x:c r="CF19" s="65"/>
      <x:c r="CG19" s="65"/>
      <x:c r="CH19" s="65" t="n">
        <x:f>'Расчетные показатели'!E1099</x:f>
        <x:v>629.092</x:v>
      </x:c>
      <x:c r="CI19" s="65" t="n">
        <x:f>'Расчетные показатели'!E1100</x:f>
        <x:v>2501.935</x:v>
      </x:c>
      <x:c r="CJ19" s="65"/>
      <x:c r="CK19" s="65"/>
      <x:c r="CL19" s="65"/>
      <x:c r="CM19" s="65"/>
      <x:c r="CN19" s="65"/>
    </x:row>
    <x:row r="20" ht="16.5">
      <x:c r="A20"/>
      <x:c r="B20" s="3">
        <x:v>14</x:v>
      </x:c>
      <x:c r="C20" s="3" t="s">
        <x:v>89</x:v>
      </x:c>
      <x:c r="D20"/>
      <x:c r="E20" s="64" t="n">
        <x:f>'Расчетные показатели'!E1373</x:f>
        <x:v>458300</x:v>
      </x:c>
      <x:c r="F20" s="64" t="n">
        <x:f>'Расчетные показатели'!E1377</x:f>
        <x:v>573160</x:v>
      </x:c>
      <x:c r="G20" s="64"/>
      <x:c r="H20" s="64" t="n">
        <x:f>'Расчетные показатели'!E81</x:f>
        <x:v>807186</x:v>
      </x:c>
      <x:c r="I20" s="64"/>
      <x:c r="J20" s="64"/>
      <x:c r="K20" s="64"/>
      <x:c r="L20" s="64"/>
      <x:c r="M20" s="64" t="n">
        <x:f>'Расчетные показатели'!E82</x:f>
        <x:v>279695</x:v>
      </x:c>
      <x:c r="N20" s="64" t="n">
        <x:f>'Расчетные показатели'!E83</x:f>
        <x:v>35220</x:v>
      </x:c>
      <x:c r="O20" s="64" t="n">
        <x:f>'Расчетные показатели'!E84</x:f>
        <x:v>-11717</x:v>
      </x:c>
      <x:c r="P20" s="65"/>
      <x:c r="Q20" s="65"/>
      <x:c r="R20" s="64" t="n">
        <x:f>'Расчетные показатели'!E1373</x:f>
        <x:v>458300</x:v>
      </x:c>
      <x:c r="S20" s="66"/>
      <x:c r="T20" s="66"/>
      <x:c r="U20" s="66"/>
      <x:c r="V20" s="66" t="n">
        <x:f>'Расчетные показатели'!E1376</x:f>
        <x:v>114860</x:v>
      </x:c>
      <x:c r="W20" s="64" t="n">
        <x:f>R20+V20</x:f>
        <x:v>573160</x:v>
      </x:c>
      <x:c r="X20" s="64"/>
      <x:c r="Y20" s="66" t="str">
        <x:v>н.п.</x:v>
      </x:c>
      <x:c r="Z20" s="64"/>
      <x:c r="AA20" s="64"/>
      <x:c r="AB20" s="66"/>
      <x:c r="AC20" s="66"/>
      <x:c r="AD20" s="66"/>
      <x:c r="AE20" s="66"/>
      <x:c r="AF20" s="66"/>
      <x:c r="AG20" s="64"/>
      <x:c r="AH20" s="64"/>
      <x:c r="AI20" s="64" t="str">
        <x:v>н.п.</x:v>
      </x:c>
      <x:c r="AJ20" s="64"/>
      <x:c r="AK20" s="64" t="str">
        <x:v>н.п.</x:v>
      </x:c>
      <x:c r="AL20" s="64"/>
      <x:c r="AM20" s="64"/>
      <x:c r="AN20" s="64"/>
      <x:c r="AO20" s="64"/>
      <x:c r="AP20" s="64" t="n">
        <x:f>'Расчетные показатели'!E1369</x:f>
        <x:v>279695</x:v>
      </x:c>
      <x:c r="AQ20" s="64"/>
      <x:c r="AR20" s="64"/>
      <x:c r="AS20" s="65"/>
      <x:c r="AT20" s="65" t="n">
        <x:f>IF(COUNT(E20,R20)=2,E20-R20,"не сверено")</x:f>
        <x:v>0</x:v>
      </x:c>
      <x:c r="AU20" s="65" t="n">
        <x:f>IF(COUNT(F20,W20)=2,F20-W20,"не сверено")</x:f>
        <x:v>0</x:v>
      </x:c>
      <x:c r="AV20" s="65" t="str">
        <x:f>IF(COUNT(G20,Y20)=2,G20-Y20,"не сверено")</x:f>
        <x:v>не сверено</x:v>
      </x:c>
      <x:c r="AW20" s="65" t="str">
        <x:f>IF(COUNT(J20,AG20)=2,J20-AG20,"не сверено")</x:f>
        <x:v>не сверено</x:v>
      </x:c>
      <x:c r="AX20" s="65" t="str">
        <x:f>IF(COUNT(K20,AI20)=2,K20-AI20,"не сверено")</x:f>
        <x:v>не сверено</x:v>
      </x:c>
      <x:c r="AY20" s="65" t="str">
        <x:f>IF(COUNT(I20,Z20)=2,I20-Z20,"не сверено")</x:f>
        <x:v>не сверено</x:v>
      </x:c>
      <x:c r="AZ20" s="65" t="str">
        <x:f>IF(COUNT(L20,AM20)=2,L20-AM20,"не сверено")</x:f>
        <x:v>не сверено</x:v>
      </x:c>
      <x:c r="BA20" s="65" t="n">
        <x:f>IF(COUNT(M20,AP20)=2,M20-AP20,"не сверено")</x:f>
        <x:v>0</x:v>
      </x:c>
      <x:c r="BB20" s="65"/>
      <x:c r="BC20" s="67" t="str">
        <x:v>458 300 млн руб.; официальный IR-релиз МТС, стр. 4: https://storage.ir.mts.ru/mts-ir/images/documents/MTS_4kv_i_2025_press_reliz.pdf</x:v>
      </x:c>
      <x:c r="BD20" s="67" t="str">
        <x:v>573 160 млн руб. = 458 300 + аренда 114 860; МСФО 2025, стр. 10</x:v>
      </x:c>
      <x:c r="BE20" s="67"/>
      <x:c r="BF20" s="67" t="str">
        <x:v>МТС_МСФО_2025.pdf; стр. 11, 28</x:v>
      </x:c>
      <x:c r="BG20" s="67"/>
      <x:c r="BH20" s="67"/>
      <x:c r="BI20" s="67"/>
      <x:c r="BJ20" s="67"/>
      <x:c r="BK20" s="67" t="str">
        <x:v>МТС_МСФО_2025.pdf; стр. 28</x:v>
      </x:c>
      <x:c r="BL20" s="67" t="str">
        <x:v>МТС_МСФО_2025.pdf; стр. 11</x:v>
      </x:c>
      <x:c r="BM20" s="67" t="str">
        <x:v>МТС_МСФО_2025.pdf; стр. 10</x:v>
      </x:c>
      <x:c r="BN20" s="65" t="n">
        <x:v>114860</x:v>
      </x:c>
      <x:c r="BO20" s="65" t="n">
        <x:v>28675</x:v>
      </x:c>
      <x:c r="BP20" s="65"/>
      <x:c r="BQ20" s="65" t="n">
        <x:f>O20+BO20</x:f>
        <x:v>16958</x:v>
      </x:c>
      <x:c r="BR20" s="67" t="str">
        <x:v>OIBDA по методологии МТС. Чистый долг компании исключает обязательства по аренде; скорректированный ЧД показан отдельно с включением аренды.</x:v>
      </x:c>
      <x:c r="BS20" s="65"/>
      <x:c r="BT20" s="65"/>
      <x:c r="BU20" s="65"/>
      <x:c r="BV20" s="65"/>
      <x:c r="BW20" s="65"/>
      <x:c r="BX20" s="65"/>
      <x:c r="BY20" s="65"/>
      <x:c r="BZ20" s="65"/>
      <x:c r="CA20" s="65"/>
      <x:c r="CB20" s="65"/>
      <x:c r="CC20" s="65"/>
      <x:c r="CD20" s="65"/>
      <x:c r="CE20" s="65"/>
      <x:c r="CF20" s="65"/>
      <x:c r="CG20" s="65"/>
      <x:c r="CH20" s="65"/>
      <x:c r="CI20" s="65"/>
      <x:c r="CJ20" s="65"/>
      <x:c r="CK20" s="65"/>
      <x:c r="CL20" s="65"/>
      <x:c r="CM20" s="65"/>
      <x:c r="CN20" s="65"/>
    </x:row>
    <x:row r="21" ht="16.5">
      <x:c r="A21"/>
      <x:c r="B21" s="3">
        <x:v>15</x:v>
      </x:c>
      <x:c r="C21" s="3" t="s">
        <x:v>91</x:v>
      </x:c>
      <x:c r="D21"/>
      <x:c r="E21" s="80" t="n">
        <x:f>'Расчетные показатели'!E1396</x:f>
        <x:v>-348292</x:v>
      </x:c>
      <x:c r="F21" s="64"/>
      <x:c r="G21" s="64"/>
      <x:c r="H21" s="64" t="n">
        <x:f>'Расчетные показатели'!E85</x:f>
        <x:v>1760626</x:v>
      </x:c>
      <x:c r="I21" s="64"/>
      <x:c r="J21" s="64" t="n">
        <x:f>'Расчетные показатели'!E784</x:f>
        <x:v>181544</x:v>
      </x:c>
      <x:c r="K21" s="64"/>
      <x:c r="L21" s="64"/>
      <x:c r="M21" s="64"/>
      <x:c r="N21" s="64" t="n">
        <x:f>'Расчетные показатели'!E87</x:f>
        <x:v>131029</x:v>
      </x:c>
      <x:c r="O21" s="64" t="n">
        <x:f>'Расчетные показатели'!E88</x:f>
        <x:v>1123184</x:v>
      </x:c>
      <x:c r="P21" s="65"/>
      <x:c r="Q21" s="65"/>
      <x:c r="R21" s="80" t="n">
        <x:f>'Расчетные показатели'!E1396</x:f>
        <x:v>-348292</x:v>
      </x:c>
      <x:c r="S21" s="66"/>
      <x:c r="T21" s="66"/>
      <x:c r="U21" s="66"/>
      <x:c r="V21" s="66"/>
      <x:c r="W21" s="64"/>
      <x:c r="X21" s="64"/>
      <x:c r="Y21" s="66" t="str">
        <x:v>н.п.</x:v>
      </x:c>
      <x:c r="Z21" s="64"/>
      <x:c r="AA21" s="64"/>
      <x:c r="AB21" s="66"/>
      <x:c r="AC21" s="66"/>
      <x:c r="AD21" s="66"/>
      <x:c r="AE21" s="66"/>
      <x:c r="AF21" s="66" t="n">
        <x:f>SUM('Расчетные показатели'!E777:E783)</x:f>
        <x:v>30498</x:v>
      </x:c>
      <x:c r="AG21" s="64" t="n">
        <x:f>'Расчетные показатели'!E784</x:f>
        <x:v>181544</x:v>
      </x:c>
      <x:c r="AH21" s="64"/>
      <x:c r="AI21" s="64" t="str">
        <x:v>н.п.</x:v>
      </x:c>
      <x:c r="AJ21" s="64"/>
      <x:c r="AK21" s="64" t="str">
        <x:v>н.п.</x:v>
      </x:c>
      <x:c r="AL21" s="64"/>
      <x:c r="AM21" s="64"/>
      <x:c r="AN21" s="64"/>
      <x:c r="AO21" s="64"/>
      <x:c r="AP21" s="64"/>
      <x:c r="AQ21" s="64"/>
      <x:c r="AR21" s="64"/>
      <x:c r="AS21" s="65"/>
      <x:c r="AT21" s="65" t="n">
        <x:f>IF(COUNT(E21,R21)=2,E21-R21,"не сверено")</x:f>
        <x:v>0</x:v>
      </x:c>
      <x:c r="AU21" s="65" t="str">
        <x:f>IF(COUNT(F21,W21)=2,F21-W21,"не сверено")</x:f>
        <x:v>не сверено</x:v>
      </x:c>
      <x:c r="AV21" s="65" t="str">
        <x:f>IF(COUNT(G21,Y21)=2,G21-Y21,"не сверено")</x:f>
        <x:v>не сверено</x:v>
      </x:c>
      <x:c r="AW21" s="65" t="n">
        <x:f>IF(COUNT(J21,AG21)=2,J21-AG21,"не сверено")</x:f>
        <x:v>0</x:v>
      </x:c>
      <x:c r="AX21" s="65" t="str">
        <x:f>IF(COUNT(K21,AI21)=2,K21-AI21,"не сверено")</x:f>
        <x:v>не сверено</x:v>
      </x:c>
      <x:c r="AY21" s="65" t="str">
        <x:f>IF(COUNT(I21,Z21)=2,I21-Z21,"не сверено")</x:f>
        <x:v>не сверено</x:v>
      </x:c>
      <x:c r="AZ21" s="65" t="str">
        <x:f>IF(COUNT(L21,AM21)=2,L21-AM21,"не сверено")</x:f>
        <x:v>не сверено</x:v>
      </x:c>
      <x:c r="BA21" s="65" t="str">
        <x:f>IF(COUNT(M21,AP21)=2,M21-AP21,"не сверено")</x:f>
        <x:v>не сверено</x:v>
      </x:c>
      <x:c r="BB21" s="65"/>
      <x:c r="BC21" s="67" t="str">
        <x:v>Интер-Рао_МСФО_2025.pdf; PDF стр. 40, 63–64; аналитический ЧД −348 292 по раскрытой методике</x:v>
      </x:c>
      <x:c r="BD21" s="67"/>
      <x:c r="BE21" s="67"/>
      <x:c r="BF21" s="67" t="str">
        <x:v>Интер-Рао_МСФО_2025.pdf; PDF стр. 9–10; выручка, прибыль акционеров, капитал акционеров и НКД подтверждены</x:v>
      </x:c>
      <x:c r="BG21" s="67" t="str">
        <x:v>Интер-Рао_МСФО_2025.pdf; PDF стр. 40; EBITDA 181 544, классифицирована как скорректированная из-за дополнительных корректировок</x:v>
      </x:c>
      <x:c r="BH21" s="67"/>
      <x:c r="BI21" s="67"/>
      <x:c r="BJ21" s="67"/>
      <x:c r="BK21" s="67"/>
      <x:c r="BL21" s="67" t="str">
        <x:v>Чистая прибыль акционеров 131 029; прибыль группы 133 834 не подменяет показатель акционеров</x:v>
      </x:c>
      <x:c r="BM21" s="67" t="str">
        <x:v>Капитал акционеров 1 123 184; НКД 15 621; общий капитал 1 138 805</x:v>
      </x:c>
      <x:c r="BN21" s="65"/>
      <x:c r="BO21" s="83" t="n">
        <x:f>'Расчетные показатели'!E1397</x:f>
        <x:v>15621</x:v>
      </x:c>
      <x:c r="BP21" s="65"/>
      <x:c r="BQ21" s="83" t="n">
        <x:f>O21+BO21</x:f>
        <x:v>1138805</x:v>
      </x:c>
      <x:c r="BR21" s="67" t="str">
        <x:v>ЧД включает обязательства по аренде сегментов; денежные активы, депозиты и векселя вычтены</x:v>
      </x:c>
      <x:c r="BS21" s="65"/>
      <x:c r="BT21" s="65"/>
      <x:c r="BU21" s="65"/>
      <x:c r="BV21" s="65"/>
      <x:c r="BW21" s="65"/>
      <x:c r="BX21" s="65"/>
      <x:c r="BY21" s="65"/>
      <x:c r="BZ21" s="65"/>
      <x:c r="CA21" s="65"/>
      <x:c r="CB21" s="65" t="n">
        <x:f>'Расчетные показатели'!E779</x:f>
        <x:v>24985</x:v>
      </x:c>
      <x:c r="CC21" s="65"/>
      <x:c r="CD21" s="65" t="n">
        <x:f>'Расчетные показатели'!E777</x:f>
        <x:v>1474</x:v>
      </x:c>
      <x:c r="CE21" s="65"/>
      <x:c r="CF21" s="65"/>
      <x:c r="CG21" s="65"/>
      <x:c r="CH21" s="65"/>
      <x:c r="CI21" s="65"/>
      <x:c r="CJ21" s="65"/>
      <x:c r="CK21" s="65"/>
      <x:c r="CL21" s="65"/>
      <x:c r="CM21" s="65"/>
      <x:c r="CN21" s="65"/>
    </x:row>
    <x:row r="22" ht="16.5">
      <x:c r="A22"/>
      <x:c r="B22" s="3">
        <x:v>16</x:v>
      </x:c>
      <x:c r="C22" s="3" t="s">
        <x:v>93</x:v>
      </x:c>
      <x:c r="D22"/>
      <x:c r="E22" s="80" t="n">
        <x:f>'Расчетные показатели'!E1419</x:f>
        <x:v>21665</x:v>
      </x:c>
      <x:c r="F22" s="64"/>
      <x:c r="G22" s="64"/>
      <x:c r="H22" s="64" t="n">
        <x:f>'Расчетные показатели'!E90</x:f>
        <x:v>712896</x:v>
      </x:c>
      <x:c r="I22" s="82" t="str">
        <x:v>н.д.</x:v>
      </x:c>
      <x:c r="J22" s="64" t="n">
        <x:f>'Расчетные показатели'!E91</x:f>
        <x:v>137612</x:v>
      </x:c>
      <x:c r="K22" s="64"/>
      <x:c r="L22" s="64"/>
      <x:c r="M22" s="64"/>
      <x:c r="N22" s="64" t="n">
        <x:f>'Расчетные показатели'!E92</x:f>
        <x:v>31988</x:v>
      </x:c>
      <x:c r="O22" s="64" t="n">
        <x:f>'Расчетные показатели'!E93</x:f>
        <x:v>527140</x:v>
      </x:c>
      <x:c r="P22" s="65"/>
      <x:c r="Q22" s="65"/>
      <x:c r="R22" s="80" t="n">
        <x:f>'Расчетные показатели'!E1419</x:f>
        <x:v>21665</x:v>
      </x:c>
      <x:c r="S22" s="66"/>
      <x:c r="T22" s="66"/>
      <x:c r="U22" s="66"/>
      <x:c r="V22" s="66"/>
      <x:c r="W22" s="64"/>
      <x:c r="X22" s="64"/>
      <x:c r="Y22" s="66" t="str">
        <x:v>н.п.</x:v>
      </x:c>
      <x:c r="Z22" s="82" t="str">
        <x:v>н.д.</x:v>
      </x:c>
      <x:c r="AA22" s="64"/>
      <x:c r="AB22" s="66"/>
      <x:c r="AC22" s="66"/>
      <x:c r="AD22" s="66"/>
      <x:c r="AE22" s="66"/>
      <x:c r="AF22" s="66"/>
      <x:c r="AG22" s="80" t="n">
        <x:f>'Расчетные показатели'!E1414</x:f>
        <x:v>137612</x:v>
      </x:c>
      <x:c r="AH22" s="64"/>
      <x:c r="AI22" s="64" t="str">
        <x:v>н.п.</x:v>
      </x:c>
      <x:c r="AJ22" s="64"/>
      <x:c r="AK22" s="64" t="str">
        <x:v>н.п.</x:v>
      </x:c>
      <x:c r="AL22" s="64"/>
      <x:c r="AM22" s="64"/>
      <x:c r="AN22" s="64"/>
      <x:c r="AO22" s="64"/>
      <x:c r="AP22" s="64"/>
      <x:c r="AQ22" s="64"/>
      <x:c r="AR22" s="64"/>
      <x:c r="AS22" s="65"/>
      <x:c r="AT22" s="65" t="n">
        <x:f>IF(COUNT(E22,R22)=2,E22-R22,"не сверено")</x:f>
        <x:v>0</x:v>
      </x:c>
      <x:c r="AU22" s="65" t="str">
        <x:f>IF(COUNT(F22,W22)=2,F22-W22,"не сверено")</x:f>
        <x:v>не сверено</x:v>
      </x:c>
      <x:c r="AV22" s="65" t="str">
        <x:f>IF(COUNT(G22,Y22)=2,G22-Y22,"не сверено")</x:f>
        <x:v>не сверено</x:v>
      </x:c>
      <x:c r="AW22" s="65" t="n">
        <x:f>IF(COUNT(J22,AG22)=2,J22-AG22,"не сверено")</x:f>
        <x:v>0</x:v>
      </x:c>
      <x:c r="AX22" s="65" t="str">
        <x:f>IF(COUNT(K22,AI22)=2,K22-AI22,"не сверено")</x:f>
        <x:v>не сверено</x:v>
      </x:c>
      <x:c r="AY22" s="65" t="str">
        <x:f>IF(COUNT(I22,Z22)=2,I22-Z22,"не сверено")</x:f>
        <x:v>не сверено</x:v>
      </x:c>
      <x:c r="AZ22" s="65" t="str">
        <x:f>IF(COUNT(L22,AM22)=2,L22-AM22,"не сверено")</x:f>
        <x:v>не сверено</x:v>
      </x:c>
      <x:c r="BA22" s="65" t="str">
        <x:f>IF(COUNT(M22,AP22)=2,M22-AP22,"не сверено")</x:f>
        <x:v>не сверено</x:v>
      </x:c>
      <x:c r="BB22" s="65"/>
      <x:c r="BC22" s="67" t="str">
        <x:v>Северсталь_МСФО_2025.pdf; PDF стр. 7, 29; ЧД 21 665 = 56 272 + 3 787 − 38 394</x:v>
      </x:c>
      <x:c r="BD22" s="67"/>
      <x:c r="BE22" s="67"/>
      <x:c r="BF22" s="67" t="str">
        <x:v>Северсталь_МСФО_2025.pdf; PDF стр. 5, 7, 9, 29; выручка, прибыль и капитал акционеров, НКД подтверждены</x:v>
      </x:c>
      <x:c r="BG22" s="67" t="str">
        <x:v>Северсталь_МСФО_2025.pdf, PDF стр. 29; CHMF_2026H1.pdf, PDF стр. 14; EBITDA 137 612, скорректированная по составу</x:v>
      </x:c>
      <x:c r="BH22" s="67"/>
      <x:c r="BI22" s="67"/>
      <x:c r="BJ22" s="67"/>
      <x:c r="BK22" s="67"/>
      <x:c r="BL22" s="67" t="str">
        <x:v>Прибыль акционеров 31 988; прибыль группы 31 991 не подменяет показатель акционеров</x:v>
      </x:c>
      <x:c r="BM22" s="67" t="str">
        <x:v>Капитал акционеров 527 140; НКД 1 167; общий капитал 528 307</x:v>
      </x:c>
      <x:c r="BN22" s="65"/>
      <x:c r="BO22" s="83" t="n">
        <x:f>'Расчетные показатели'!E1421</x:f>
        <x:v>1167</x:v>
      </x:c>
      <x:c r="BP22" s="65"/>
      <x:c r="BQ22" s="83" t="n">
        <x:f>O22+BO22</x:f>
        <x:v>528307</x:v>
      </x:c>
      <x:c r="BR22" s="67" t="str">
        <x:v>ЧД по определению компании: долговое финансирование минус деньги. Аренда отдельно в определение не включена.</x:v>
      </x:c>
      <x:c r="BS22" s="65"/>
      <x:c r="BT22" s="65"/>
      <x:c r="BU22" s="65"/>
      <x:c r="BV22" s="65"/>
      <x:c r="BW22" s="65"/>
      <x:c r="BX22" s="65"/>
      <x:c r="BY22" s="65"/>
      <x:c r="BZ22" s="65"/>
      <x:c r="CA22" s="65"/>
      <x:c r="CB22" s="65"/>
      <x:c r="CC22" s="65"/>
      <x:c r="CD22" s="65"/>
      <x:c r="CE22" s="65"/>
      <x:c r="CF22" s="65"/>
      <x:c r="CG22" s="65"/>
      <x:c r="CH22" s="65"/>
      <x:c r="CI22" s="65"/>
      <x:c r="CJ22" s="65"/>
      <x:c r="CK22" s="65"/>
      <x:c r="CL22" s="65"/>
      <x:c r="CM22" s="65"/>
      <x:c r="CN22" s="65"/>
    </x:row>
    <x:row r="23" ht="16.5">
      <x:c r="A23"/>
      <x:c r="B23" s="3">
        <x:v>17</x:v>
      </x:c>
      <x:c r="C23" s="3" t="s">
        <x:v>94</x:v>
      </x:c>
      <x:c r="D23"/>
      <x:c r="E23" s="80" t="n">
        <x:f>'Расчетные показатели'!E1434</x:f>
        <x:v>630037.8417999999</x:v>
      </x:c>
      <x:c r="F23" s="64"/>
      <x:c r="G23" s="64"/>
      <x:c r="H23" s="64" t="n">
        <x:f>'Расчетные показатели'!E94</x:f>
        <x:v>1238584.51260274</x:v>
      </x:c>
      <x:c r="I23" s="82" t="str">
        <x:v>н.д.</x:v>
      </x:c>
      <x:c r="J23" s="64" t="n">
        <x:f>'Расчетные показатели'!E95</x:f>
        <x:v>88052.220616438</x:v>
      </x:c>
      <x:c r="K23" s="64"/>
      <x:c r="L23" s="64"/>
      <x:c r="M23" s="64"/>
      <x:c r="N23" s="64" t="n">
        <x:f>'Расчетные показатели'!E96</x:f>
        <x:v>-38047.255821918</x:v>
      </x:c>
      <x:c r="O23" s="64" t="n">
        <x:f>'Расчетные показатели'!E97</x:f>
        <x:v>917286.2842</x:v>
      </x:c>
      <x:c r="P23" s="65"/>
      <x:c r="Q23" s="65"/>
      <x:c r="R23" s="80" t="n">
        <x:f>'Расчетные показатели'!E1434</x:f>
        <x:v>630037.8417999999</x:v>
      </x:c>
      <x:c r="S23" s="66"/>
      <x:c r="T23" s="66"/>
      <x:c r="U23" s="66"/>
      <x:c r="V23" s="66"/>
      <x:c r="W23" s="64"/>
      <x:c r="X23" s="64"/>
      <x:c r="Y23" s="66" t="str">
        <x:v>н.п.</x:v>
      </x:c>
      <x:c r="Z23" s="82" t="str">
        <x:v>н.д.</x:v>
      </x:c>
      <x:c r="AA23" s="64"/>
      <x:c r="AB23" s="66"/>
      <x:c r="AC23" s="66"/>
      <x:c r="AD23" s="66"/>
      <x:c r="AE23" s="66"/>
      <x:c r="AF23" s="66"/>
      <x:c r="AG23" s="80" t="n">
        <x:f>'Расчетные показатели'!E1453</x:f>
        <x:v>88052.22061643831</x:v>
      </x:c>
      <x:c r="AH23" s="64"/>
      <x:c r="AI23" s="64" t="str">
        <x:v>н.п.</x:v>
      </x:c>
      <x:c r="AJ23" s="64"/>
      <x:c r="AK23" s="64" t="str">
        <x:v>н.п.</x:v>
      </x:c>
      <x:c r="AL23" s="64"/>
      <x:c r="AM23" s="64"/>
      <x:c r="AN23" s="64"/>
      <x:c r="AO23" s="64"/>
      <x:c r="AP23" s="64"/>
      <x:c r="AQ23" s="64"/>
      <x:c r="AR23" s="64"/>
      <x:c r="AS23" s="65"/>
      <x:c r="AT23" s="65" t="n">
        <x:f>IF(COUNT(E23,R23)=2,E23-R23,"не сверено")</x:f>
        <x:v>0</x:v>
      </x:c>
      <x:c r="AU23" s="65" t="str">
        <x:f>IF(COUNT(F23,W23)=2,F23-W23,"не сверено")</x:f>
        <x:v>не сверено</x:v>
      </x:c>
      <x:c r="AV23" s="65" t="str">
        <x:f>IF(COUNT(G23,Y23)=2,G23-Y23,"не сверено")</x:f>
        <x:v>не сверено</x:v>
      </x:c>
      <x:c r="AW23" s="65" t="n">
        <x:f>IF(COUNT(J23,AG23)=2,J23-AG23,"не сверено")</x:f>
        <x:v>-3.055902197957039e-10</x:v>
      </x:c>
      <x:c r="AX23" s="65" t="str">
        <x:f>IF(COUNT(K23,AI23)=2,K23-AI23,"не сверено")</x:f>
        <x:v>не сверено</x:v>
      </x:c>
      <x:c r="AY23" s="65" t="str">
        <x:f>IF(COUNT(I23,Z23)=2,I23-Z23,"не сверено")</x:f>
        <x:v>не сверено</x:v>
      </x:c>
      <x:c r="AZ23" s="65" t="str">
        <x:f>IF(COUNT(L23,AM23)=2,L23-AM23,"не сверено")</x:f>
        <x:v>не сверено</x:v>
      </x:c>
      <x:c r="BA23" s="65" t="str">
        <x:f>IF(COUNT(M23,AP23)=2,M23-AP23,"не сверено")</x:f>
        <x:v>не сверено</x:v>
      </x:c>
      <x:c r="BB23" s="65"/>
      <x:c r="BC23" s="67" t="str">
        <x:v>Русал_МСФО_2025.pdf, PDF стр. 12–13; отчет эмитента PDF стр. 11; ЧД 8 054 млн долл.</x:v>
      </x:c>
      <x:c r="BD23" s="67"/>
      <x:c r="BE23" s="67"/>
      <x:c r="BF23" s="67" t="str">
        <x:v>Русал_МСФО_2025.pdf, PDF стр. 10, 13; выручка, убыток и капитал акционеров подтверждены</x:v>
      </x:c>
      <x:c r="BG23" s="67" t="str">
        <x:v>Русал_МСФО_2025.pdf, PDF стр. 10, 32; скорректированная EBITDA 1 053 млн долл.</x:v>
      </x:c>
      <x:c r="BH23" s="67"/>
      <x:c r="BI23" s="67"/>
      <x:c r="BJ23" s="67"/>
      <x:c r="BK23" s="67"/>
      <x:c r="BL23" s="67" t="str">
        <x:v>Убыток акционеров 455 млн долл.; совпадает с убытком группы</x:v>
      </x:c>
      <x:c r="BM23" s="67" t="str">
        <x:v>Капитал акционеров 11 726 млн долл.; НКД 0; общий капитал тот же</x:v>
      </x:c>
      <x:c r="BN23" s="65"/>
      <x:c r="BO23" s="83" t="n">
        <x:f>'Расчетные показатели'!E1435</x:f>
        <x:v>0</x:v>
      </x:c>
      <x:c r="BP23" s="65"/>
      <x:c r="BQ23" s="83" t="n">
        <x:f>O23+BO23</x:f>
        <x:v>917286.2842</x:v>
      </x:c>
      <x:c r="BR23" s="67" t="str">
        <x:v>USD: потоки по среднему курсу ЦБ РФ 83,6203424657534; остатки на 31.12.2025 по курсу 78,2267. ЧД = кредиты и займы − деньги.</x:v>
      </x:c>
      <x:c r="BS23" s="65"/>
      <x:c r="BT23" s="65"/>
      <x:c r="BU23" s="65"/>
      <x:c r="BV23" s="65"/>
      <x:c r="BW23" s="65"/>
      <x:c r="BX23" s="65"/>
      <x:c r="BY23" s="65"/>
      <x:c r="BZ23" s="65"/>
      <x:c r="CA23" s="65"/>
      <x:c r="CB23" s="65"/>
      <x:c r="CC23" s="65"/>
      <x:c r="CD23" s="65"/>
      <x:c r="CE23" s="65"/>
      <x:c r="CF23" s="65"/>
      <x:c r="CG23" s="65"/>
      <x:c r="CH23" s="65"/>
      <x:c r="CI23" s="65"/>
      <x:c r="CJ23" s="65"/>
      <x:c r="CK23" s="65"/>
      <x:c r="CL23" s="65"/>
      <x:c r="CM23" s="65"/>
      <x:c r="CN23" s="65"/>
    </x:row>
    <x:row r="24" ht="16.5">
      <x:c r="A24"/>
      <x:c r="B24" s="3">
        <x:v>18</x:v>
      </x:c>
      <x:c r="C24" s="3" t="s">
        <x:v>95</x:v>
      </x:c>
      <x:c r="D24"/>
      <x:c r="E24" s="80" t="n">
        <x:f>'Расчетные показатели'!E1475</x:f>
        <x:v>-45664</x:v>
      </x:c>
      <x:c r="F24" s="64"/>
      <x:c r="G24" s="64"/>
      <x:c r="H24" s="64" t="n">
        <x:f>'Расчетные показатели'!E98</x:f>
        <x:v>831351</x:v>
      </x:c>
      <x:c r="I24" s="82" t="str">
        <x:v>н.д.</x:v>
      </x:c>
      <x:c r="J24" s="80" t="n">
        <x:f>'Расчетные показатели'!E1469</x:f>
        <x:v>140500</x:v>
      </x:c>
      <x:c r="K24" s="64"/>
      <x:c r="L24" s="64"/>
      <x:c r="M24" s="64"/>
      <x:c r="N24" s="64" t="n">
        <x:f>'Расчетные показатели'!E100</x:f>
        <x:v>63105</x:v>
      </x:c>
      <x:c r="O24" s="64" t="n">
        <x:f>'Расчетные показатели'!E101</x:f>
        <x:v>884251</x:v>
      </x:c>
      <x:c r="P24" s="65"/>
      <x:c r="Q24" s="65"/>
      <x:c r="R24" s="80" t="n">
        <x:f>'Расчетные показатели'!E1475</x:f>
        <x:v>-45664</x:v>
      </x:c>
      <x:c r="S24" s="66"/>
      <x:c r="T24" s="66"/>
      <x:c r="U24" s="66"/>
      <x:c r="V24" s="66"/>
      <x:c r="W24" s="64"/>
      <x:c r="X24" s="64"/>
      <x:c r="Y24" s="66" t="str">
        <x:v>н.п.</x:v>
      </x:c>
      <x:c r="Z24" s="82" t="str">
        <x:v>н.д.</x:v>
      </x:c>
      <x:c r="AA24" s="64"/>
      <x:c r="AB24" s="66"/>
      <x:c r="AC24" s="66"/>
      <x:c r="AD24" s="66"/>
      <x:c r="AE24" s="66"/>
      <x:c r="AF24" s="66"/>
      <x:c r="AG24" s="80" t="n">
        <x:f>'Расчетные показатели'!E1469</x:f>
        <x:v>140500</x:v>
      </x:c>
      <x:c r="AH24" s="64"/>
      <x:c r="AI24" s="64" t="str">
        <x:v>н.п.</x:v>
      </x:c>
      <x:c r="AJ24" s="64"/>
      <x:c r="AK24" s="64" t="str">
        <x:v>н.п.</x:v>
      </x:c>
      <x:c r="AL24" s="64"/>
      <x:c r="AM24" s="64"/>
      <x:c r="AN24" s="64"/>
      <x:c r="AO24" s="64"/>
      <x:c r="AP24" s="64"/>
      <x:c r="AQ24" s="64"/>
      <x:c r="AR24" s="64"/>
      <x:c r="AS24" s="65"/>
      <x:c r="AT24" s="65" t="n">
        <x:f>IF(COUNT(E24,R24)=2,E24-R24,"не сверено")</x:f>
        <x:v>0</x:v>
      </x:c>
      <x:c r="AU24" s="65" t="str">
        <x:f>IF(COUNT(F24,W24)=2,F24-W24,"не сверено")</x:f>
        <x:v>не сверено</x:v>
      </x:c>
      <x:c r="AV24" s="65" t="str">
        <x:f>IF(COUNT(G24,Y24)=2,G24-Y24,"не сверено")</x:f>
        <x:v>не сверено</x:v>
      </x:c>
      <x:c r="AW24" s="65" t="n">
        <x:f>IF(COUNT(J24,AG24)=2,J24-AG24,"не сверено")</x:f>
        <x:v>0</x:v>
      </x:c>
      <x:c r="AX24" s="65" t="str">
        <x:f>IF(COUNT(K24,AI24)=2,K24-AI24,"не сверено")</x:f>
        <x:v>не сверено</x:v>
      </x:c>
      <x:c r="AY24" s="65" t="str">
        <x:f>IF(COUNT(I24,Z24)=2,I24-Z24,"не сверено")</x:f>
        <x:v>не сверено</x:v>
      </x:c>
      <x:c r="AZ24" s="65" t="str">
        <x:f>IF(COUNT(L24,AM24)=2,L24-AM24,"не сверено")</x:f>
        <x:v>не сверено</x:v>
      </x:c>
      <x:c r="BA24" s="65" t="str">
        <x:f>IF(COUNT(M24,AP24)=2,M24-AP24,"не сверено")</x:f>
        <x:v>не сверено</x:v>
      </x:c>
      <x:c r="BB24" s="65"/>
      <x:c r="BC24" s="67" t="str">
        <x:v>НЛМК_МСФО_2025.pdf, PDF стр. 7, 14, 25; отчет эмитента PDF стр. 8; опубликованный ЧД −45 664 млн руб.</x:v>
      </x:c>
      <x:c r="BD24" s="67"/>
      <x:c r="BE24" s="67"/>
      <x:c r="BF24" s="67" t="str">
        <x:v>НЛМК_МСФО_2025.pdf, PDF стр. 7–8; выручка, прибыль и капитал акционеров подтверждены</x:v>
      </x:c>
      <x:c r="BG24" s="67" t="str">
        <x:v>НЛМК_МСФО_2025.pdf, PDF стр. 8, 11; отчет эмитента PDF стр. 8; скорректированная EBITDA 140 500 млн руб.</x:v>
      </x:c>
      <x:c r="BH24" s="67"/>
      <x:c r="BI24" s="67" t="str">
        <x:v>НЛМК_МСФО_2025.pdf; страница не подтверждена</x:v>
      </x:c>
      <x:c r="BJ24" s="67"/>
      <x:c r="BK24" s="67"/>
      <x:c r="BL24" s="67" t="str">
        <x:v>Прибыль акционеров 63 105 млн руб.; прибыль группы 63 149 млн руб. не подменяет показатель акционеров</x:v>
      </x:c>
      <x:c r="BM24" s="67" t="str">
        <x:v>Капитал акционеров 884 251; НКД 182; общий капитал 884 433 млн руб.</x:v>
      </x:c>
      <x:c r="BN24" s="65"/>
      <x:c r="BO24" s="83" t="n">
        <x:f>'Расчетные показатели'!E1476</x:f>
        <x:v>182</x:v>
      </x:c>
      <x:c r="BP24" s="65"/>
      <x:c r="BQ24" s="83" t="n">
        <x:f>O24+BO24</x:f>
        <x:v>884433</x:v>
      </x:c>
      <x:c r="BR24" s="67" t="str">
        <x:v>ЧД = краткосрочные и долгосрочные кредиты и займы − деньги − краткосрочные депозиты. EBITDA классифицирована как скорректированная по составу.</x:v>
      </x:c>
      <x:c r="BS24" s="65"/>
      <x:c r="BT24" s="65"/>
      <x:c r="BU24" s="65"/>
      <x:c r="BV24" s="65"/>
      <x:c r="BW24" s="65"/>
      <x:c r="BX24" s="65"/>
      <x:c r="BY24" s="65"/>
      <x:c r="BZ24" s="65"/>
      <x:c r="CA24" s="65"/>
      <x:c r="CB24" s="65"/>
      <x:c r="CC24" s="65"/>
      <x:c r="CD24" s="65"/>
      <x:c r="CE24" s="65"/>
      <x:c r="CF24" s="65"/>
      <x:c r="CG24" s="65"/>
      <x:c r="CH24" s="65"/>
      <x:c r="CI24" s="65"/>
      <x:c r="CJ24" s="65"/>
      <x:c r="CK24" s="65"/>
      <x:c r="CL24" s="65"/>
      <x:c r="CM24" s="65"/>
      <x:c r="CN24" s="65"/>
    </x:row>
    <x:row r="25" ht="16.5">
      <x:c r="A25"/>
      <x:c r="B25" s="3">
        <x:v>19</x:v>
      </x:c>
      <x:c r="C25" s="3" t="s">
        <x:v>96</x:v>
      </x:c>
      <x:c r="D25"/>
      <x:c r="E25" s="64" t="n">
        <x:f>R25</x:f>
        <x:v>320468</x:v>
      </x:c>
      <x:c r="F25" s="64"/>
      <x:c r="G25" s="64"/>
      <x:c r="H25" s="64" t="n">
        <x:f>'Расчетные показатели'!E102</x:f>
        <x:v>573628</x:v>
      </x:c>
      <x:c r="I25" s="64" t="n">
        <x:f>'Расчетные показатели'!E1188</x:f>
        <x:v>176317</x:v>
      </x:c>
      <x:c r="J25" s="64" t="n">
        <x:f>'Расчетные показатели'!E1193</x:f>
        <x:v>199448</x:v>
      </x:c>
      <x:c r="K25" s="64"/>
      <x:c r="L25" s="64"/>
      <x:c r="M25" s="64"/>
      <x:c r="N25" s="64" t="n">
        <x:f>'Расчетные показатели'!E105</x:f>
        <x:v>114205</x:v>
      </x:c>
      <x:c r="O25" s="64" t="n">
        <x:f>'Расчетные показатели'!E106</x:f>
        <x:v>239618</x:v>
      </x:c>
      <x:c r="P25" s="65"/>
      <x:c r="Q25" s="65"/>
      <x:c r="R25" s="64" t="n">
        <x:f>S25+T25-U25+BN25</x:f>
        <x:v>320468</x:v>
      </x:c>
      <x:c r="S25" s="66" t="n">
        <x:f>'Расчетные показатели'!E107</x:f>
        <x:v>209715</x:v>
      </x:c>
      <x:c r="T25" s="66" t="n">
        <x:f>'Расчетные показатели'!E108</x:f>
        <x:v>119062</x:v>
      </x:c>
      <x:c r="U25" s="66" t="n">
        <x:f>'Расчетные показатели'!E109</x:f>
        <x:v>14681</x:v>
      </x:c>
      <x:c r="V25" s="66"/>
      <x:c r="W25" s="64"/>
      <x:c r="X25" s="64"/>
      <x:c r="Y25" s="66" t="str">
        <x:v>н.п.</x:v>
      </x:c>
      <x:c r="Z25" s="64" t="n">
        <x:f>'Расчетные показатели'!E1188</x:f>
        <x:v>176317</x:v>
      </x:c>
      <x:c r="AA25" s="64"/>
      <x:c r="AB25" s="66"/>
      <x:c r="AC25" s="66"/>
      <x:c r="AD25" s="66"/>
      <x:c r="AE25" s="66"/>
      <x:c r="AF25" s="66" t="n">
        <x:f>SUM('Расчетные показатели'!E1192:E1192)</x:f>
        <x:v>23131</x:v>
      </x:c>
      <x:c r="AG25" s="64" t="n">
        <x:f>'Расчетные показатели'!E1193</x:f>
        <x:v>199448</x:v>
      </x:c>
      <x:c r="AH25" s="64"/>
      <x:c r="AI25" s="64" t="str">
        <x:v>н.п.</x:v>
      </x:c>
      <x:c r="AJ25" s="64"/>
      <x:c r="AK25" s="64" t="str">
        <x:v>н.п.</x:v>
      </x:c>
      <x:c r="AL25" s="64"/>
      <x:c r="AM25" s="64"/>
      <x:c r="AN25" s="64"/>
      <x:c r="AO25" s="64"/>
      <x:c r="AP25" s="64"/>
      <x:c r="AQ25" s="64"/>
      <x:c r="AR25" s="64"/>
      <x:c r="AS25" s="65"/>
      <x:c r="AT25" s="65" t="n">
        <x:f>IF(COUNT(E25,R25)=2,E25-R25,"не сверено")</x:f>
        <x:v>0</x:v>
      </x:c>
      <x:c r="AU25" s="65" t="str">
        <x:f>IF(COUNT(F25,W25)=2,F25-W25,"не сверено")</x:f>
        <x:v>не сверено</x:v>
      </x:c>
      <x:c r="AV25" s="65" t="str">
        <x:f>IF(COUNT(G25,Y25)=2,G25-Y25,"не сверено")</x:f>
        <x:v>не сверено</x:v>
      </x:c>
      <x:c r="AW25" s="65" t="n">
        <x:f>IF(COUNT(J25,AG25)=2,J25-AG25,"не сверено")</x:f>
        <x:v>0</x:v>
      </x:c>
      <x:c r="AX25" s="65" t="str">
        <x:f>IF(COUNT(K25,AI25)=2,K25-AI25,"не сверено")</x:f>
        <x:v>не сверено</x:v>
      </x:c>
      <x:c r="AY25" s="65" t="n">
        <x:f>IF(COUNT(I25,Z25)=2,I25-Z25,"не сверено")</x:f>
        <x:v>0</x:v>
      </x:c>
      <x:c r="AZ25" s="65" t="str">
        <x:f>IF(COUNT(L25,AM25)=2,L25-AM25,"не сверено")</x:f>
        <x:v>не сверено</x:v>
      </x:c>
      <x:c r="BA25" s="65" t="str">
        <x:f>IF(COUNT(M25,AP25)=2,M25-AP25,"не сверено")</x:f>
        <x:v>не сверено</x:v>
      </x:c>
      <x:c r="BB25" s="65"/>
      <x:c r="BC25" s="67" t="str">
        <x:v>Фосагро_МСФО_2025.pdf; PDF стр. 9, 33, 34; кредиты + аренда − деньги</x:v>
      </x:c>
      <x:c r="BD25" s="67"/>
      <x:c r="BE25" s="67"/>
      <x:c r="BF25" s="67" t="str">
        <x:v>Фосагро_МСФО_2025.pdf; PDF стр. 8, 22</x:v>
      </x:c>
      <x:c r="BG25" s="67" t="str">
        <x:v>Фосагро_МСФО_2025.pdf; PDF стр. 10; расчет: строки 1190–1193</x:v>
      </x:c>
      <x:c r="BH25" s="67"/>
      <x:c r="BI25" s="67" t="str">
        <x:v>Фосагро_МСФО_2025.pdf; PDF стр. 10; расчет: строки 1186–1188</x:v>
      </x:c>
      <x:c r="BJ25" s="67"/>
      <x:c r="BK25" s="67"/>
      <x:c r="BL25" s="67" t="str">
        <x:v>Фосагро_МСФО_2025.pdf; PDF стр. 8, 11, 32</x:v>
      </x:c>
      <x:c r="BM25" s="67" t="str">
        <x:v>Фосагро_МСФО_2025.pdf; PDF стр. 9, 11, 42</x:v>
      </x:c>
      <x:c r="BN25" s="65" t="n">
        <x:f>'Расчетные показатели'!E110</x:f>
        <x:v>6372</x:v>
      </x:c>
      <x:c r="BO25" s="65"/>
      <x:c r="BP25" s="65"/>
      <x:c r="BQ25" s="65"/>
      <x:c r="BR25" s="67" t="str">
        <x:v>Перенос из v3. Полная сверка всех показателей не завершена. EBITDA = операционная прибыль + амортизация. Скорр. EBITDA исключает операционные курсовые разницы. Методология: https://ar2025.phosagro.ru/perfomance-review/financial-performance/ ; 1П2025: https://www.phosagro.ru/press/company/fosagro-publikuet-operatsionnye-i-finansovye-rezultaty-za-1-polugodie-2025-g/ .</x:v>
      </x:c>
      <x:c r="BS25" s="65"/>
      <x:c r="BT25" s="65"/>
      <x:c r="BU25" s="65"/>
      <x:c r="BV25" s="65"/>
      <x:c r="BW25" s="65"/>
      <x:c r="BX25" s="65"/>
      <x:c r="BY25" s="65"/>
      <x:c r="BZ25" s="65"/>
      <x:c r="CA25" s="65"/>
      <x:c r="CB25" s="65"/>
      <x:c r="CC25" s="65"/>
      <x:c r="CD25" s="65"/>
      <x:c r="CE25" s="65"/>
      <x:c r="CF25" s="65"/>
      <x:c r="CG25" s="65"/>
      <x:c r="CH25" s="65"/>
      <x:c r="CI25" s="65"/>
      <x:c r="CJ25" s="65"/>
      <x:c r="CK25" s="65"/>
      <x:c r="CL25" s="65"/>
      <x:c r="CM25" s="65"/>
      <x:c r="CN25" s="65" t="n">
        <x:f>'Расчетные показатели'!E1192</x:f>
        <x:v>23131</x:v>
      </x:c>
    </x:row>
    <x:row r="26" ht="16.5">
      <x:c r="A26"/>
      <x:c r="B26" s="3">
        <x:v>20</x:v>
      </x:c>
      <x:c r="C26" s="3" t="s">
        <x:v>98</x:v>
      </x:c>
      <x:c r="D26"/>
      <x:c r="E26" s="80" t="n">
        <x:f>'Расчетные показатели'!E1506</x:f>
        <x:v>689637</x:v>
      </x:c>
      <x:c r="F26" s="80" t="n">
        <x:f>'Расчетные показатели'!E1508</x:f>
        <x:v>522006</x:v>
      </x:c>
      <x:c r="G26" s="64"/>
      <x:c r="H26" s="64" t="n">
        <x:f>'Расчетные показатели'!E111</x:f>
        <x:v>872790</x:v>
      </x:c>
      <x:c r="I26" s="82" t="str">
        <x:v>н.д.</x:v>
      </x:c>
      <x:c r="J26" s="64"/>
      <x:c r="K26" s="64"/>
      <x:c r="L26" s="64"/>
      <x:c r="M26" s="80" t="n">
        <x:f>'Расчетные показатели'!E1529</x:f>
        <x:v>331048</x:v>
      </x:c>
      <x:c r="N26" s="64" t="n">
        <x:f>'Расчетные показатели'!E113</x:f>
        <x:v>11346</x:v>
      </x:c>
      <x:c r="O26" s="64" t="n">
        <x:f>'Расчетные показатели'!E114</x:f>
        <x:v>222429</x:v>
      </x:c>
      <x:c r="P26" s="65"/>
      <x:c r="Q26" s="65"/>
      <x:c r="R26" s="80" t="n">
        <x:f>'Расчетные показатели'!E1506</x:f>
        <x:v>689637</x:v>
      </x:c>
      <x:c r="S26" s="81" t="n">
        <x:f>'Расчетные показатели'!E1500</x:f>
        <x:v>285417</x:v>
      </x:c>
      <x:c r="T26" s="81" t="n">
        <x:f>'Расчетные показатели'!E1501</x:f>
        <x:v>286826</x:v>
      </x:c>
      <x:c r="U26" s="81" t="n">
        <x:f>-'Расчетные показатели'!E1504</x:f>
        <x:v>26245</x:v>
      </x:c>
      <x:c r="V26" s="81" t="n">
        <x:f>-'Расчетные показатели'!E1507</x:f>
        <x:v>-167631</x:v>
      </x:c>
      <x:c r="W26" s="82" t="n">
        <x:f>R26+V26</x:f>
        <x:v>522006</x:v>
      </x:c>
      <x:c r="X26" s="64"/>
      <x:c r="Y26" s="66" t="str">
        <x:v>н.п.</x:v>
      </x:c>
      <x:c r="Z26" s="82" t="str">
        <x:v>н.д.</x:v>
      </x:c>
      <x:c r="AA26" s="64"/>
      <x:c r="AB26" s="66"/>
      <x:c r="AC26" s="66"/>
      <x:c r="AD26" s="66"/>
      <x:c r="AE26" s="66"/>
      <x:c r="AF26" s="66"/>
      <x:c r="AG26" s="64"/>
      <x:c r="AH26" s="64"/>
      <x:c r="AI26" s="64" t="str">
        <x:v>н.п.</x:v>
      </x:c>
      <x:c r="AJ26" s="64"/>
      <x:c r="AK26" s="64" t="str">
        <x:v>н.п.</x:v>
      </x:c>
      <x:c r="AL26" s="64"/>
      <x:c r="AM26" s="64"/>
      <x:c r="AN26" s="64"/>
      <x:c r="AO26" s="64"/>
      <x:c r="AP26" s="80" t="n">
        <x:f>'Расчетные показатели'!E1529</x:f>
        <x:v>331048</x:v>
      </x:c>
      <x:c r="AQ26" s="64"/>
      <x:c r="AR26" s="64"/>
      <x:c r="AS26" s="65"/>
      <x:c r="AT26" s="65" t="n">
        <x:f>IF(COUNT(E26,R26)=2,E26-R26,"не сверено")</x:f>
        <x:v>0</x:v>
      </x:c>
      <x:c r="AU26" s="65" t="n">
        <x:f>IF(COUNT(F26,W26)=2,F26-W26,"не сверено")</x:f>
        <x:v>0</x:v>
      </x:c>
      <x:c r="AV26" s="65" t="str">
        <x:f>IF(COUNT(G26,Y26)=2,G26-Y26,"не сверено")</x:f>
        <x:v>не сверено</x:v>
      </x:c>
      <x:c r="AW26" s="65" t="str">
        <x:f>IF(COUNT(J26,AG26)=2,J26-AG26,"не сверено")</x:f>
        <x:v>не сверено</x:v>
      </x:c>
      <x:c r="AX26" s="65" t="str">
        <x:f>IF(COUNT(K26,AI26)=2,K26-AI26,"не сверено")</x:f>
        <x:v>не сверено</x:v>
      </x:c>
      <x:c r="AY26" s="65" t="str">
        <x:f>IF(COUNT(I26,Z26)=2,I26-Z26,"не сверено")</x:f>
        <x:v>не сверено</x:v>
      </x:c>
      <x:c r="AZ26" s="65" t="str">
        <x:f>IF(COUNT(L26,AM26)=2,L26-AM26,"не сверено")</x:f>
        <x:v>не сверено</x:v>
      </x:c>
      <x:c r="BA26" s="65" t="n">
        <x:f>IF(COUNT(M26,AP26)=2,M26-AP26,"не сверено")</x:f>
        <x:v>0</x:v>
      </x:c>
      <x:c r="BB26" s="65"/>
      <x:c r="BC26" s="93" t="str">
        <x:v>Ростелеком_отчет_эмитента_2025.pdf; PDF стр. 29, 31–32; опубликованный ЧД 689 637; мост строки 1500–1506</x:v>
      </x:c>
      <x:c r="BD26" s="93" t="str">
        <x:v>Аналитический ЧД без аренды 522 006 = 689 637 − 167 631; аренда &gt;10% базы показана отдельно</x:v>
      </x:c>
      <x:c r="BE26" s="67"/>
      <x:c r="BF26" s="67" t="str">
        <x:v>Ростелеком_МСФО_2025.pdf; PDF стр. 3, 101, 105</x:v>
      </x:c>
      <x:c r="BG26" s="67"/>
      <x:c r="BH26" s="67"/>
      <x:c r="BI26" s="93" t="str">
        <x:v>Обычная EBITDA не раскрыта. Точный расчет по заданной формуле невозможен без полного выделения амортизации отдельно от обесценения и процентных расходов отдельно от прочих финансовых расходов.</x:v>
      </x:c>
      <x:c r="BJ26" s="67"/>
      <x:c r="BK26" s="93" t="str">
        <x:v>Ростелеком_МСФО_2025.pdf; PDF стр. 105; OIBDA 331 048, мост строки 1526–1529</x:v>
      </x:c>
      <x:c r="BL26" s="93" t="str">
        <x:v>Ростелеком_МСФО_2025.pdf; PDF стр. 3; прибыль акционеров 11 346</x:v>
      </x:c>
      <x:c r="BM26" s="93" t="str">
        <x:v>Ростелеком_МСФО_2025.pdf; PDF стр. 2; капитал акционеров 222 429</x:v>
      </x:c>
      <x:c r="BN26" s="91" t="n">
        <x:v>167631</x:v>
      </x:c>
      <x:c r="BO26" s="83" t="n">
        <x:f>'Расчетные показатели'!E1509</x:f>
        <x:v>57770</x:v>
      </x:c>
      <x:c r="BP26" s="65"/>
      <x:c r="BQ26" s="90" t="n">
        <x:f>O26+BO26</x:f>
        <x:v>280199</x:v>
      </x:c>
      <x:c r="BR26" s="67" t="str">
        <x:v>Перенос из v3. Полная сверка всех показателей не завершена.</x:v>
      </x:c>
      <x:c r="BS26" s="65"/>
      <x:c r="BT26" s="65"/>
      <x:c r="BU26" s="65"/>
      <x:c r="BV26" s="65"/>
      <x:c r="BW26" s="65"/>
      <x:c r="BX26" s="65"/>
      <x:c r="BY26" s="65"/>
      <x:c r="BZ26" s="65"/>
      <x:c r="CA26" s="65"/>
      <x:c r="CB26" s="65"/>
      <x:c r="CC26" s="65"/>
      <x:c r="CD26" s="65"/>
      <x:c r="CE26" s="65"/>
      <x:c r="CF26" s="65"/>
      <x:c r="CG26" s="65"/>
      <x:c r="CH26" s="65"/>
      <x:c r="CI26" s="65"/>
      <x:c r="CJ26" s="65"/>
      <x:c r="CK26" s="65"/>
      <x:c r="CL26" s="65"/>
      <x:c r="CM26" s="65"/>
      <x:c r="CN26" s="65"/>
    </x:row>
    <x:row r="27" ht="16.5">
      <x:c r="A27"/>
      <x:c r="B27" s="3">
        <x:v>21</x:v>
      </x:c>
      <x:c r="C27" s="3" t="s">
        <x:v>99</x:v>
      </x:c>
      <x:c r="D27"/>
      <x:c r="E27" s="80" t="n">
        <x:f>'Расчетные показатели'!E1546</x:f>
        <x:v>535492</x:v>
      </x:c>
      <x:c r="F27" s="64"/>
      <x:c r="G27" s="64"/>
      <x:c r="H27" s="64" t="n">
        <x:f>'Расчетные показатели'!E115</x:f>
        <x:v>902261</x:v>
      </x:c>
      <x:c r="I27" s="64" t="n">
        <x:f>'Расчетные показатели'!E116</x:f>
        <x:v>253651</x:v>
      </x:c>
      <x:c r="J27" s="64" t="n">
        <x:f>'Расчетные показатели'!E117</x:f>
        <x:v>185036</x:v>
      </x:c>
      <x:c r="K27" s="64"/>
      <x:c r="L27" s="64"/>
      <x:c r="M27" s="64"/>
      <x:c r="N27" s="64" t="n">
        <x:f>'Расчетные показатели'!E118</x:f>
        <x:v>104692</x:v>
      </x:c>
      <x:c r="O27" s="64" t="n">
        <x:f>'Расчетные показатели'!E119</x:f>
        <x:v>66538</x:v>
      </x:c>
      <x:c r="P27" s="65"/>
      <x:c r="Q27" s="65"/>
      <x:c r="R27" s="80" t="n">
        <x:f>'Расчетные показатели'!E1546</x:f>
        <x:v>535492</x:v>
      </x:c>
      <x:c r="S27" s="66"/>
      <x:c r="T27" s="66"/>
      <x:c r="U27" s="66"/>
      <x:c r="V27" s="66"/>
      <x:c r="W27" s="64"/>
      <x:c r="X27" s="64"/>
      <x:c r="Y27" s="66" t="str">
        <x:v>н.п.</x:v>
      </x:c>
      <x:c r="Z27" s="80" t="n">
        <x:f>AN27+AO27</x:f>
        <x:v>253651</x:v>
      </x:c>
      <x:c r="AA27" s="64"/>
      <x:c r="AB27" s="66"/>
      <x:c r="AC27" s="66"/>
      <x:c r="AD27" s="66"/>
      <x:c r="AE27" s="66"/>
      <x:c r="AF27" s="66" t="n">
        <x:v>-68615</x:v>
      </x:c>
      <x:c r="AG27" s="80" t="n">
        <x:f>Z27+AF27</x:f>
        <x:v>185036</x:v>
      </x:c>
      <x:c r="AH27" s="64"/>
      <x:c r="AI27" s="64" t="str">
        <x:v>н.п.</x:v>
      </x:c>
      <x:c r="AJ27" s="64"/>
      <x:c r="AK27" s="64" t="str">
        <x:v>н.п.</x:v>
      </x:c>
      <x:c r="AL27" s="64"/>
      <x:c r="AM27" s="64"/>
      <x:c r="AN27" s="64" t="n">
        <x:v>138638</x:v>
      </x:c>
      <x:c r="AO27" s="64" t="n">
        <x:v>115013</x:v>
      </x:c>
      <x:c r="AP27" s="64"/>
      <x:c r="AQ27" s="64"/>
      <x:c r="AR27" s="64"/>
      <x:c r="AS27" s="65"/>
      <x:c r="AT27" s="65" t="n">
        <x:f>IF(COUNT(E27,R27)=2,E27-R27,"не сверено")</x:f>
        <x:v>0</x:v>
      </x:c>
      <x:c r="AU27" s="65" t="str">
        <x:f>IF(COUNT(F27,W27)=2,F27-W27,"не сверено")</x:f>
        <x:v>не сверено</x:v>
      </x:c>
      <x:c r="AV27" s="65" t="str">
        <x:f>IF(COUNT(G27,Y27)=2,G27-Y27,"не сверено")</x:f>
        <x:v>не сверено</x:v>
      </x:c>
      <x:c r="AW27" s="65" t="n">
        <x:f>IF(COUNT(J27,AG27)=2,J27-AG27,"не сверено")</x:f>
        <x:v>0</x:v>
      </x:c>
      <x:c r="AX27" s="65" t="str">
        <x:f>IF(COUNT(K27,AI27)=2,K27-AI27,"не сверено")</x:f>
        <x:v>не сверено</x:v>
      </x:c>
      <x:c r="AY27" s="65" t="n">
        <x:f>IF(COUNT(I27,Z27)=2,I27-Z27,"не сверено")</x:f>
        <x:v>0</x:v>
      </x:c>
      <x:c r="AZ27" s="65" t="str">
        <x:f>IF(COUNT(L27,AM27)=2,L27-AM27,"не сверено")</x:f>
        <x:v>не сверено</x:v>
      </x:c>
      <x:c r="BA27" s="65" t="str">
        <x:f>IF(COUNT(M27,AP27)=2,M27-AP27,"не сверено")</x:f>
        <x:v>не сверено</x:v>
      </x:c>
      <x:c r="BB27" s="65"/>
      <x:c r="BC27" s="67" t="str">
        <x:v>Аэрофлот_МСФО_2025.pdf; PDF стр. 78; ЧД 535 492 = 609 379 − 73 887</x:v>
      </x:c>
      <x:c r="BD27" s="67"/>
      <x:c r="BE27" s="67"/>
      <x:c r="BF27" s="67" t="str">
        <x:v>Аэрофлот_МСФО_2025.pdf; PDF стр. 70</x:v>
      </x:c>
      <x:c r="BG27" s="67" t="str">
        <x:v>Аэрофлот_презентация_инвесторам_2025.pdf; PDF стр. 18; скорр. EBITDA 185 036</x:v>
      </x:c>
      <x:c r="BH27" s="67"/>
      <x:c r="BI27" s="67" t="str">
        <x:v>Аэрофлот_МСФО_2025.pdf; PDF стр. 70, 78; EBITDA 253 651 = 138 638 + 115 013</x:v>
      </x:c>
      <x:c r="BJ27" s="67"/>
      <x:c r="BK27" s="67"/>
      <x:c r="BL27" s="67" t="str">
        <x:v>Аэрофлот_МСФО_2025.pdf; PDF стр. 10, 14; прибыль акционеров 104 692, прибыль группы 105 505</x:v>
      </x:c>
      <x:c r="BM27" s="67" t="str">
        <x:v>Аэрофлот_МСФО_2025.pdf; PDF стр. 11, 14; капитал акционеров 66 538; НКД −15 832; общий капитал 50 706</x:v>
      </x:c>
      <x:c r="BN27" s="83" t="n">
        <x:f>'Расчетные показатели'!E1547</x:f>
        <x:v>426422</x:v>
      </x:c>
      <x:c r="BO27" s="83" t="n">
        <x:f>'Расчетные показатели'!E1548</x:f>
        <x:v>-15832</x:v>
      </x:c>
      <x:c r="BP27" s="65"/>
      <x:c r="BQ27" s="83" t="n">
        <x:f>'Расчетные показатели'!E1549</x:f>
        <x:v>50706</x:v>
      </x:c>
      <x:c r="BR27" s="67" t="str">
        <x:v>ЧД включает аренду, таможенные пошлины и пенсионное обязательство. Скорректированная EBITDA классифицирована отдельно; совокупная корректировка −68 615 (27% базы).</x:v>
      </x:c>
      <x:c r="BS27" s="65"/>
      <x:c r="BT27" s="65"/>
      <x:c r="BU27" s="65"/>
      <x:c r="BV27" s="65"/>
      <x:c r="BW27" s="65"/>
      <x:c r="BX27" s="65"/>
      <x:c r="BY27" s="65"/>
      <x:c r="BZ27" s="65"/>
      <x:c r="CA27" s="65"/>
      <x:c r="CB27" s="65"/>
      <x:c r="CC27" s="65"/>
      <x:c r="CD27" s="65"/>
      <x:c r="CE27" s="65"/>
      <x:c r="CF27" s="65"/>
      <x:c r="CG27" s="65"/>
      <x:c r="CH27" s="65"/>
      <x:c r="CI27" s="65"/>
      <x:c r="CJ27" s="65"/>
      <x:c r="CK27" s="65"/>
      <x:c r="CL27" s="65"/>
      <x:c r="CM27" s="65"/>
      <x:c r="CN27" s="65"/>
    </x:row>
    <x:row r="28" ht="16.5">
      <x:c r="A28"/>
      <x:c r="B28" s="3">
        <x:v>22</x:v>
      </x:c>
      <x:c r="C28" s="3" t="s">
        <x:v>101</x:v>
      </x:c>
      <x:c r="D28"/>
      <x:c r="E28" s="80" t="n">
        <x:f>'Расчетные показатели'!E1585</x:f>
        <x:v>-79923</x:v>
      </x:c>
      <x:c r="F28" s="64"/>
      <x:c r="G28" s="64"/>
      <x:c r="H28" s="80" t="n">
        <x:f>'Расчетные показатели'!E1615</x:f>
        <x:v>609865</x:v>
      </x:c>
      <x:c r="I28" s="82" t="str">
        <x:v>н.д.</x:v>
      </x:c>
      <x:c r="J28" s="80" t="n">
        <x:f>'Расчетные показатели'!E1603</x:f>
        <x:v>80757</x:v>
      </x:c>
      <x:c r="K28" s="64"/>
      <x:c r="L28" s="64"/>
      <x:c r="M28" s="64"/>
      <x:c r="N28" s="80" t="n">
        <x:f>'Расчетные показатели'!E1616</x:f>
        <x:v>-14061</x:v>
      </x:c>
      <x:c r="O28" s="80" t="n">
        <x:f>'Расчетные показатели'!E1617</x:f>
        <x:v>664545</x:v>
      </x:c>
      <x:c r="P28" s="65"/>
      <x:c r="Q28" s="65"/>
      <x:c r="R28" s="80" t="n">
        <x:f>'Расчетные показатели'!E1585</x:f>
        <x:v>-79923</x:v>
      </x:c>
      <x:c r="S28" s="66" t="n">
        <x:f>'Расчетные показатели'!E125</x:f>
        <x:v>22801</x:v>
      </x:c>
      <x:c r="T28" s="66" t="n">
        <x:f>'Расчетные показатели'!E126</x:f>
        <x:v>15513</x:v>
      </x:c>
      <x:c r="U28" s="66" t="n">
        <x:f>'Расчетные показатели'!E127</x:f>
        <x:v>38107</x:v>
      </x:c>
      <x:c r="V28" s="66"/>
      <x:c r="W28" s="64"/>
      <x:c r="X28" s="64"/>
      <x:c r="Y28" s="66" t="str">
        <x:v>н.п.</x:v>
      </x:c>
      <x:c r="Z28" s="82" t="str">
        <x:v>н.д.</x:v>
      </x:c>
      <x:c r="AA28" s="64"/>
      <x:c r="AB28" s="66"/>
      <x:c r="AC28" s="66"/>
      <x:c r="AD28" s="66"/>
      <x:c r="AE28" s="66"/>
      <x:c r="AF28" s="66" t="n">
        <x:f>SUM('Расчетные показатели'!E818:E819)</x:f>
        <x:v>-751</x:v>
      </x:c>
      <x:c r="AG28" s="80" t="n">
        <x:f>'Расчетные показатели'!E1603</x:f>
        <x:v>80757</x:v>
      </x:c>
      <x:c r="AH28" s="64"/>
      <x:c r="AI28" s="64" t="str">
        <x:v>н.п.</x:v>
      </x:c>
      <x:c r="AJ28" s="64"/>
      <x:c r="AK28" s="64" t="str">
        <x:v>н.п.</x:v>
      </x:c>
      <x:c r="AL28" s="64"/>
      <x:c r="AM28" s="64"/>
      <x:c r="AN28" s="64"/>
      <x:c r="AO28" s="64"/>
      <x:c r="AP28" s="64"/>
      <x:c r="AQ28" s="64"/>
      <x:c r="AR28" s="64"/>
      <x:c r="AS28" s="65"/>
      <x:c r="AT28" s="65" t="n">
        <x:f>IF(COUNT(E28,R28)=2,E28-R28,"не сверено")</x:f>
        <x:v>0</x:v>
      </x:c>
      <x:c r="AU28" s="65" t="str">
        <x:f>IF(COUNT(F28,W28)=2,F28-W28,"не сверено")</x:f>
        <x:v>не сверено</x:v>
      </x:c>
      <x:c r="AV28" s="65" t="str">
        <x:f>IF(COUNT(G28,Y28)=2,G28-Y28,"не сверено")</x:f>
        <x:v>не сверено</x:v>
      </x:c>
      <x:c r="AW28" s="65" t="n">
        <x:f>IF(COUNT(J28,AG28)=2,J28-AG28,"не сверено")</x:f>
        <x:v>0</x:v>
      </x:c>
      <x:c r="AX28" s="65" t="str">
        <x:f>IF(COUNT(K28,AI28)=2,K28-AI28,"не сверено")</x:f>
        <x:v>не сверено</x:v>
      </x:c>
      <x:c r="AY28" s="65" t="str">
        <x:f>IF(COUNT(I28,Z28)=2,I28-Z28,"не сверено")</x:f>
        <x:v>не сверено</x:v>
      </x:c>
      <x:c r="AZ28" s="65" t="str">
        <x:f>IF(COUNT(L28,AM28)=2,L28-AM28,"не сверено")</x:f>
        <x:v>не сверено</x:v>
      </x:c>
      <x:c r="BA28" s="65" t="str">
        <x:f>IF(COUNT(M28,AP28)=2,M28-AP28,"не сверено")</x:f>
        <x:v>не сверено</x:v>
      </x:c>
      <x:c r="BB28" s="65"/>
      <x:c r="BC28" s="67" t="str">
        <x:v>ММК_МСФО_2025.pdf; PDF стр. 48; ЧД −79 923 = 38 314 + 2 170 − 38 107 − 82 300</x:v>
      </x:c>
      <x:c r="BD28" s="67"/>
      <x:c r="BE28" s="67"/>
      <x:c r="BF28" s="67" t="str">
        <x:v>ММК_МСФО_2025.pdf; PDF стр. 9; выручка 609 865</x:v>
      </x:c>
      <x:c r="BG28" s="67" t="str">
        <x:v>ММК_МСФО_2025.pdf; PDF стр. 37; EBITDA компании 80 757 классифицирована как скорректированная</x:v>
      </x:c>
      <x:c r="BH28" s="67"/>
      <x:c r="BI28" s="67" t="str">
        <x:v>н.д.: обычный EBITDA без дополнительных корректировок компанией не раскрыт</x:v>
      </x:c>
      <x:c r="BJ28" s="67"/>
      <x:c r="BK28" s="67"/>
      <x:c r="BL28" s="67" t="str">
        <x:v>ММК_МСФО_2025.pdf; PDF стр. 9, 11; убыток акционеров −14 061; убыток группы −14 855</x:v>
      </x:c>
      <x:c r="BM28" s="67" t="str">
        <x:v>ММК_МСФО_2025.pdf; PDF стр. 10-11; капитал акционеров 664 545; НКД 174; общий капитал 664 719</x:v>
      </x:c>
      <x:c r="BN28" s="83" t="n">
        <x:f>'Расчетные показатели'!E1582</x:f>
        <x:v>2170</x:v>
      </x:c>
      <x:c r="BO28" s="83" t="n">
        <x:f>'Расчетные показатели'!E1618</x:f>
        <x:v>174</x:v>
      </x:c>
      <x:c r="BP28" s="65"/>
      <x:c r="BQ28" s="83" t="n">
        <x:f>'Расчетные показатели'!E1619</x:f>
        <x:v>664719</x:v>
      </x:c>
      <x:c r="BR28" s="67" t="str">
        <x:v>ЧД компании включает аренду и вычитает банковские депозиты. Балансовый мост без депозитов признан неполным и заменен. EBITDA с корректировками выбытия/инвестиций классифицирована как скорректированная.</x:v>
      </x:c>
      <x:c r="BS28" s="65"/>
      <x:c r="BT28" s="65"/>
      <x:c r="BU28" s="65"/>
      <x:c r="BV28" s="65"/>
      <x:c r="BW28" s="65"/>
      <x:c r="BX28" s="65"/>
      <x:c r="BY28" s="65"/>
      <x:c r="BZ28" s="65"/>
      <x:c r="CA28" s="65"/>
      <x:c r="CB28" s="65"/>
      <x:c r="CC28" s="65"/>
      <x:c r="CD28" s="65"/>
      <x:c r="CE28" s="65"/>
      <x:c r="CF28" s="65"/>
      <x:c r="CG28" s="65"/>
      <x:c r="CH28" s="65" t="n">
        <x:f>'Расчетные показатели'!E1077</x:f>
        <x:v>407</x:v>
      </x:c>
      <x:c r="CI28" s="65" t="n">
        <x:f>'Расчетные показатели'!E1078</x:f>
        <x:v>1763</x:v>
      </x:c>
      <x:c r="CJ28" s="65"/>
      <x:c r="CK28" s="65"/>
      <x:c r="CL28" s="65" t="n">
        <x:f>'Расчетные показатели'!E1153</x:f>
        <x:v>-82300</x:v>
      </x:c>
      <x:c r="CM28" s="65"/>
      <x:c r="CN28" s="65"/>
    </x:row>
    <x:row r="29" ht="16.5">
      <x:c r="A29"/>
      <x:c r="B29" s="3">
        <x:v>23</x:v>
      </x:c>
      <x:c r="C29" s="3" t="s">
        <x:v>102</x:v>
      </x:c>
      <x:c r="D29"/>
      <x:c r="E29" s="80" t="n">
        <x:f>'Расчетные показатели'!E1635</x:f>
        <x:v>869020.4102999999</x:v>
      </x:c>
      <x:c r="F29" s="64"/>
      <x:c r="G29" s="64"/>
      <x:c r="H29" s="80" t="n">
        <x:f>'Расчетные показатели'!E1641</x:f>
        <x:v>1480330.9226712324</x:v>
      </x:c>
      <x:c r="I29" s="82" t="str">
        <x:v>н.д.</x:v>
      </x:c>
      <x:c r="J29" s="80" t="n">
        <x:f>'Расчетные показатели'!E1640</x:f>
        <x:v>225774.92465753414</x:v>
      </x:c>
      <x:c r="K29" s="64"/>
      <x:c r="L29" s="64"/>
      <x:c r="M29" s="64"/>
      <x:c r="N29" s="80" t="n">
        <x:f>'Расчетные показатели'!E1642</x:f>
        <x:v>35789.50657534246</x:v>
      </x:c>
      <x:c r="O29" s="80" t="n">
        <x:f>'Расчетные показатели'!E1644</x:f>
        <x:v>707404.0480999999</x:v>
      </x:c>
      <x:c r="P29" s="65"/>
      <x:c r="Q29" s="65"/>
      <x:c r="R29" s="80" t="n">
        <x:f>'Расчетные показатели'!E1635</x:f>
        <x:v>869020.4102999999</x:v>
      </x:c>
      <x:c r="S29" s="66"/>
      <x:c r="T29" s="66"/>
      <x:c r="U29" s="66"/>
      <x:c r="V29" s="66"/>
      <x:c r="W29" s="64"/>
      <x:c r="X29" s="64"/>
      <x:c r="Y29" s="66" t="str">
        <x:v>н.п.</x:v>
      </x:c>
      <x:c r="Z29" s="82" t="str">
        <x:v>н.д.</x:v>
      </x:c>
      <x:c r="AA29" s="64"/>
      <x:c r="AB29" s="66"/>
      <x:c r="AC29" s="66"/>
      <x:c r="AD29" s="66"/>
      <x:c r="AE29" s="66"/>
      <x:c r="AF29" s="66"/>
      <x:c r="AG29" s="80" t="n">
        <x:f>'Расчетные показатели'!E1640</x:f>
        <x:v>225774.92465753414</x:v>
      </x:c>
      <x:c r="AH29" s="64"/>
      <x:c r="AI29" s="64" t="str">
        <x:v>н.п.</x:v>
      </x:c>
      <x:c r="AJ29" s="64"/>
      <x:c r="AK29" s="64" t="str">
        <x:v>н.п.</x:v>
      </x:c>
      <x:c r="AL29" s="64"/>
      <x:c r="AM29" s="64"/>
      <x:c r="AN29" s="64"/>
      <x:c r="AO29" s="64"/>
      <x:c r="AP29" s="64"/>
      <x:c r="AQ29" s="64"/>
      <x:c r="AR29" s="64"/>
      <x:c r="AS29" s="65"/>
      <x:c r="AT29" s="65" t="n">
        <x:f>IF(COUNT(E29,R29)=2,E29-R29,"не сверено")</x:f>
        <x:v>0</x:v>
      </x:c>
      <x:c r="AU29" s="65" t="str">
        <x:f>IF(COUNT(F29,W29)=2,F29-W29,"не сверено")</x:f>
        <x:v>не сверено</x:v>
      </x:c>
      <x:c r="AV29" s="65" t="str">
        <x:f>IF(COUNT(G29,Y29)=2,G29-Y29,"не сверено")</x:f>
        <x:v>не сверено</x:v>
      </x:c>
      <x:c r="AW29" s="65" t="n">
        <x:f>IF(COUNT(J29,AG29)=2,J29-AG29,"не сверено")</x:f>
        <x:v>0</x:v>
      </x:c>
      <x:c r="AX29" s="65" t="str">
        <x:f>IF(COUNT(K29,AI29)=2,K29-AI29,"не сверено")</x:f>
        <x:v>не сверено</x:v>
      </x:c>
      <x:c r="AY29" s="65" t="str">
        <x:f>IF(COUNT(I29,Z29)=2,I29-Z29,"не сверено")</x:f>
        <x:v>не сверено</x:v>
      </x:c>
      <x:c r="AZ29" s="65" t="str">
        <x:f>IF(COUNT(L29,AM29)=2,L29-AM29,"не сверено")</x:f>
        <x:v>не сверено</x:v>
      </x:c>
      <x:c r="BA29" s="65" t="str">
        <x:f>IF(COUNT(M29,AP29)=2,M29-AP29,"не сверено")</x:f>
        <x:v>не сверено</x:v>
      </x:c>
      <x:c r="BB29" s="65"/>
      <x:c r="BC29" s="67" t="str">
        <x:v>Эн+_отчет_эмитента_2025.pdf; PDF стр. 19, 21; ЧД 11 109 млн долл. США; МСФО стр. 11, 24: 13 223 − 2 114</x:v>
      </x:c>
      <x:c r="BD29" s="67"/>
      <x:c r="BE29" s="67"/>
      <x:c r="BF29" s="67" t="str">
        <x:v>Эн+_отчет_МСФО_2025.pdf; PDF стр. 9, 23; выручка 17 703 млн долл. США</x:v>
      </x:c>
      <x:c r="BG29" s="67" t="str">
        <x:v>Эн+_отчет_эмитента_2025.pdf; PDF стр. 18, 20; скорр. EBITDA 2 700 млн долл. США; мост МСФО стр. 23</x:v>
      </x:c>
      <x:c r="BH29" s="67"/>
      <x:c r="BI29" s="67" t="str">
        <x:v>н.д.: обычная EBITDA без обесценения и убытка от выбытия отдельно не раскрыта</x:v>
      </x:c>
      <x:c r="BJ29" s="67"/>
      <x:c r="BK29" s="67"/>
      <x:c r="BL29" s="67" t="str">
        <x:v>Эн+_отчет_МСФО_2025.pdf; PDF стр. 9; прибыль акционеров 428, прибыль группы 235 млн долл. США</x:v>
      </x:c>
      <x:c r="BM29" s="67" t="str">
        <x:v>Эн+_отчет_МСФО_2025.pdf; PDF стр. 11; капитал акционеров 9 043, НКД 4 996, общий капитал 14 039 млн долл. США</x:v>
      </x:c>
      <x:c r="BN29" s="65"/>
      <x:c r="BO29" s="83" t="n">
        <x:f>'Расчетные показатели'!E1645</x:f>
        <x:v>390820.59319999994</x:v>
      </x:c>
      <x:c r="BP29" s="65"/>
      <x:c r="BQ29" s="83" t="n">
        <x:f>'Расчетные показатели'!E1646</x:f>
        <x:v>1098224.6412999998</x:v>
      </x:c>
      <x:c r="BR29" s="67" t="str">
        <x:v>USD: потоки по среднему курсу ЦБ РФ 83,6203424657534; остатки по курсу 31.12.2025 78,2267. Скорр. EBITDA воспроизведена по определению компании; обычная EBITDA оставлена н.д.</x:v>
      </x:c>
      <x:c r="BS29" s="65"/>
      <x:c r="BT29" s="65"/>
      <x:c r="BU29" s="65"/>
      <x:c r="BV29" s="65"/>
      <x:c r="BW29" s="65"/>
      <x:c r="BX29" s="65"/>
      <x:c r="BY29" s="65"/>
      <x:c r="BZ29" s="65"/>
      <x:c r="CA29" s="65"/>
      <x:c r="CB29" s="65"/>
      <x:c r="CC29" s="65"/>
      <x:c r="CD29" s="65"/>
      <x:c r="CE29" s="65"/>
      <x:c r="CF29" s="65"/>
      <x:c r="CG29" s="65"/>
      <x:c r="CH29" s="65"/>
      <x:c r="CI29" s="65"/>
      <x:c r="CJ29" s="65"/>
      <x:c r="CK29" s="65"/>
      <x:c r="CL29" s="65"/>
      <x:c r="CM29" s="65"/>
      <x:c r="CN29" s="65"/>
    </x:row>
    <x:row r="30" ht="16.5">
      <x:c r="A30"/>
      <x:c r="B30" s="3">
        <x:v>24</x:v>
      </x:c>
      <x:c r="C30" s="3" t="s">
        <x:v>103</x:v>
      </x:c>
      <x:c r="D30"/>
      <x:c r="E30" s="80" t="n">
        <x:f>'Расчетные показатели'!E1677</x:f>
        <x:v>368.416</x:v>
      </x:c>
      <x:c r="F30" s="64"/>
      <x:c r="G30" s="64"/>
      <x:c r="H30" s="64" t="n">
        <x:f>'Расчетные показатели'!E133</x:f>
        <x:v>43454.955</x:v>
      </x:c>
      <x:c r="I30" s="64" t="n">
        <x:f>'Расчетные показатели'!E134</x:f>
        <x:v>13289</x:v>
      </x:c>
      <x:c r="J30" s="64"/>
      <x:c r="K30" s="64"/>
      <x:c r="L30" s="64"/>
      <x:c r="M30" s="64"/>
      <x:c r="N30" s="64" t="n">
        <x:f>'Расчетные показатели'!E135</x:f>
        <x:v>10753.417</x:v>
      </x:c>
      <x:c r="O30" s="64" t="n">
        <x:f>'Расчетные показатели'!E136</x:f>
        <x:v>36504.232</x:v>
      </x:c>
      <x:c r="P30" s="65"/>
      <x:c r="Q30" s="65"/>
      <x:c r="R30" s="80" t="n">
        <x:f>S30+T30-U30</x:f>
        <x:v>368.41600000000017</x:v>
      </x:c>
      <x:c r="S30" s="81" t="n">
        <x:f>'Расчетные показатели'!E1678</x:f>
        <x:v>273.353</x:v>
      </x:c>
      <x:c r="T30" s="81" t="n">
        <x:f>'Расчетные показатели'!E1679</x:f>
        <x:v>2824.362</x:v>
      </x:c>
      <x:c r="U30" s="81" t="n">
        <x:f>'Расчетные показатели'!E1680</x:f>
        <x:v>2729.299</x:v>
      </x:c>
      <x:c r="V30" s="66"/>
      <x:c r="W30" s="64"/>
      <x:c r="X30" s="64"/>
      <x:c r="Y30" s="66" t="str">
        <x:v>н.п.</x:v>
      </x:c>
      <x:c r="Z30" s="64"/>
      <x:c r="AA30" s="64"/>
      <x:c r="AB30" s="66"/>
      <x:c r="AC30" s="66"/>
      <x:c r="AD30" s="66"/>
      <x:c r="AE30" s="66"/>
      <x:c r="AF30" s="66"/>
      <x:c r="AG30" s="64"/>
      <x:c r="AH30" s="64"/>
      <x:c r="AI30" s="64" t="str">
        <x:v>н.п.</x:v>
      </x:c>
      <x:c r="AJ30" s="64"/>
      <x:c r="AK30" s="64" t="str">
        <x:v>н.п.</x:v>
      </x:c>
      <x:c r="AL30" s="64"/>
      <x:c r="AM30" s="64"/>
      <x:c r="AN30" s="64"/>
      <x:c r="AO30" s="64"/>
      <x:c r="AP30" s="64"/>
      <x:c r="AQ30" s="64"/>
      <x:c r="AR30" s="64"/>
      <x:c r="AS30" s="65"/>
      <x:c r="AT30" s="65" t="n">
        <x:f>IF(COUNT(E30,R30)=2,E30-R30,"не сверено")</x:f>
        <x:v>-1.7053025658242404e-13</x:v>
      </x:c>
      <x:c r="AU30" s="65" t="str">
        <x:f>IF(COUNT(F30,W30)=2,F30-W30,"не сверено")</x:f>
        <x:v>не сверено</x:v>
      </x:c>
      <x:c r="AV30" s="65" t="str">
        <x:f>IF(COUNT(G30,Y30)=2,G30-Y30,"не сверено")</x:f>
        <x:v>не сверено</x:v>
      </x:c>
      <x:c r="AW30" s="65" t="str">
        <x:f>IF(COUNT(J30,AG30)=2,J30-AG30,"не сверено")</x:f>
        <x:v>не сверено</x:v>
      </x:c>
      <x:c r="AX30" s="65" t="str">
        <x:f>IF(COUNT(K30,AI30)=2,K30-AI30,"не сверено")</x:f>
        <x:v>не сверено</x:v>
      </x:c>
      <x:c r="AY30" s="65" t="str">
        <x:f>IF(COUNT(I30,Z30)=2,I30-Z30,"не сверено")</x:f>
        <x:v>не сверено</x:v>
      </x:c>
      <x:c r="AZ30" s="65" t="str">
        <x:f>IF(COUNT(L30,AM30)=2,L30-AM30,"не сверено")</x:f>
        <x:v>не сверено</x:v>
      </x:c>
      <x:c r="BA30" s="65" t="str">
        <x:f>IF(COUNT(M30,AP30)=2,M30-AP30,"не сверено")</x:f>
        <x:v>не сверено</x:v>
      </x:c>
      <x:c r="BB30" s="65"/>
      <x:c r="BC30" s="67" t="str">
        <x:v>MD Medical Group FY 2025 IFRS; PDF стр. 52: 273,353 + 2 824,362 − 2 729,299 = 368,416 млн руб.; пресс-релиз округляет до 369</x:v>
      </x:c>
      <x:c r="BD30" s="67"/>
      <x:c r="BE30" s="67"/>
      <x:c r="BF30" s="67" t="str">
        <x:v>MD Medical Group FY 2025 IFRS; PDF стр. 42; выручка 43 454,955 млн руб.</x:v>
      </x:c>
      <x:c r="BG30" s="67"/>
      <x:c r="BH30" s="67"/>
      <x:c r="BI30" s="67" t="str">
        <x:v>Официальный пресс-релиз FY 2025; PDF стр. 1, 4–5; EBITDA 13 289 млн руб.</x:v>
      </x:c>
      <x:c r="BJ30" s="67"/>
      <x:c r="BK30" s="67"/>
      <x:c r="BL30" s="67" t="str">
        <x:v>MD Medical Group FY 2025 IFRS; PDF стр. 20; прибыль акционеров 10 753,417 млн руб.</x:v>
      </x:c>
      <x:c r="BM30" s="67" t="str">
        <x:v>MD Medical Group FY 2025 IFRS; PDF стр. 18, 20; капитал акционеров 36 504,232; НКД 187,227; всего 36 691,459 млн руб.</x:v>
      </x:c>
      <x:c r="BN30" s="65"/>
      <x:c r="BO30" s="83" t="n">
        <x:f>'Расчетные показатели'!E1681</x:f>
        <x:v>187.227</x:v>
      </x:c>
      <x:c r="BP30" s="65"/>
      <x:c r="BQ30" s="83" t="n">
        <x:f>O30+BO30</x:f>
        <x:v>36691.459</x:v>
      </x:c>
      <x:c r="BR30" s="67" t="str">
        <x:v>Чистый долг воспроизведен по определению компании и включает аренду. EBITDA — обычная раскрытая EBITDA; скорректированная версия отдельно не раскрыта.</x:v>
      </x:c>
      <x:c r="BS30" s="65"/>
      <x:c r="BT30" s="65"/>
      <x:c r="BU30" s="65"/>
      <x:c r="BV30" s="65"/>
      <x:c r="BW30" s="65"/>
      <x:c r="BX30" s="65"/>
      <x:c r="BY30" s="65"/>
      <x:c r="BZ30" s="65"/>
      <x:c r="CA30" s="65"/>
      <x:c r="CB30" s="65"/>
      <x:c r="CC30" s="65"/>
      <x:c r="CD30" s="65"/>
      <x:c r="CE30" s="65"/>
      <x:c r="CF30" s="65"/>
      <x:c r="CG30" s="65"/>
      <x:c r="CH30" s="65"/>
      <x:c r="CI30" s="65"/>
      <x:c r="CJ30" s="65"/>
      <x:c r="CK30" s="65"/>
      <x:c r="CL30" s="65"/>
      <x:c r="CM30" s="65"/>
      <x:c r="CN30" s="65"/>
    </x:row>
    <x:row r="31" ht="16.5">
      <x:c r="A31"/>
      <x:c r="B31" s="3">
        <x:v>25</x:v>
      </x:c>
      <x:c r="C31" s="3" t="s">
        <x:v>105</x:v>
      </x:c>
      <x:c r="D31"/>
      <x:c r="E31" s="64" t="n">
        <x:f>R31</x:f>
        <x:v>168348.644</x:v>
      </x:c>
      <x:c r="F31" s="64"/>
      <x:c r="G31" s="64" t="n">
        <x:f>Y31</x:f>
        <x:v>48835.763000000006</x:v>
      </x:c>
      <x:c r="H31" s="64" t="n">
        <x:f>'Расчетные показатели'!E137</x:f>
        <x:v>1103662.719</x:v>
      </x:c>
      <x:c r="I31" s="64"/>
      <x:c r="J31" s="64" t="n">
        <x:f>'Расчетные показатели'!E647</x:f>
        <x:v>113015.44300000003</x:v>
      </x:c>
      <x:c r="K31" s="80" t="n">
        <x:f>'Расчетные показатели'!E1691</x:f>
        <x:v>83684</x:v>
      </x:c>
      <x:c r="L31" s="64"/>
      <x:c r="M31" s="64"/>
      <x:c r="N31" s="64" t="n">
        <x:f>'Расчетные показатели'!E139</x:f>
        <x:v>34894.23</x:v>
      </x:c>
      <x:c r="O31" s="64" t="n">
        <x:f>'Расчетные показатели'!E140</x:f>
        <x:v>179115.797</x:v>
      </x:c>
      <x:c r="P31" s="65"/>
      <x:c r="Q31" s="65"/>
      <x:c r="R31" s="64" t="n">
        <x:f>'Расчетные показатели'!E1023</x:f>
        <x:v>168348.644</x:v>
      </x:c>
      <x:c r="S31" s="66" t="n">
        <x:f>'Расчетные показатели'!E141</x:f>
        <x:v>55440.666</x:v>
      </x:c>
      <x:c r="T31" s="66" t="n">
        <x:f>'Расчетные показатели'!E142</x:f>
        <x:v>44458.63</x:v>
      </x:c>
      <x:c r="U31" s="66" t="n">
        <x:f>'Расчетные показатели'!E143</x:f>
        <x:v>51063.533</x:v>
      </x:c>
      <x:c r="V31" s="66"/>
      <x:c r="W31" s="64"/>
      <x:c r="X31" s="64" t="n">
        <x:f>-BN31</x:f>
        <x:v>-119512.881</x:v>
      </x:c>
      <x:c r="Y31" s="66" t="n">
        <x:f>R31+X31</x:f>
        <x:v>48835.763000000006</x:v>
      </x:c>
      <x:c r="Z31" s="64"/>
      <x:c r="AA31" s="64"/>
      <x:c r="AB31" s="66"/>
      <x:c r="AC31" s="66"/>
      <x:c r="AD31" s="66"/>
      <x:c r="AE31" s="66"/>
      <x:c r="AF31" s="66" t="n">
        <x:f>SUM('Расчетные показатели'!E644:E646)</x:f>
        <x:v>127.34399999999994</x:v>
      </x:c>
      <x:c r="AG31" s="64" t="n">
        <x:f>'Расчетные показатели'!E647</x:f>
        <x:v>113015.44300000003</x:v>
      </x:c>
      <x:c r="AH31" s="64"/>
      <x:c r="AI31" s="80" t="n">
        <x:f>'Расчетные показатели'!E1691</x:f>
        <x:v>83684</x:v>
      </x:c>
      <x:c r="AJ31" s="64"/>
      <x:c r="AK31" s="64" t="str">
        <x:v>н.п.</x:v>
      </x:c>
      <x:c r="AL31" s="64"/>
      <x:c r="AM31" s="64"/>
      <x:c r="AN31" s="64"/>
      <x:c r="AO31" s="64"/>
      <x:c r="AP31" s="64"/>
      <x:c r="AQ31" s="64"/>
      <x:c r="AR31" s="64"/>
      <x:c r="AS31" s="65"/>
      <x:c r="AT31" s="65" t="n">
        <x:f>IF(COUNT(E31,R31)=2,E31-R31,"не сверено")</x:f>
        <x:v>0</x:v>
      </x:c>
      <x:c r="AU31" s="65" t="str">
        <x:f>IF(COUNT(F31,W31)=2,F31-W31,"не сверено")</x:f>
        <x:v>не сверено</x:v>
      </x:c>
      <x:c r="AV31" s="65" t="n">
        <x:f>IF(COUNT(G31,Y31)=2,G31-Y31,"не сверено")</x:f>
        <x:v>0</x:v>
      </x:c>
      <x:c r="AW31" s="65" t="n">
        <x:f>IF(COUNT(J31,AG31)=2,J31-AG31,"не сверено")</x:f>
        <x:v>0</x:v>
      </x:c>
      <x:c r="AX31" s="65" t="n">
        <x:f>IF(COUNT(K31,AI31)=2,K31-AI31,"не сверено")</x:f>
        <x:v>0</x:v>
      </x:c>
      <x:c r="AY31" s="65" t="str">
        <x:f>IF(COUNT(I31,Z31)=2,I31-Z31,"не сверено")</x:f>
        <x:v>не сверено</x:v>
      </x:c>
      <x:c r="AZ31" s="65" t="str">
        <x:f>IF(COUNT(L31,AM31)=2,L31-AM31,"не сверено")</x:f>
        <x:v>не сверено</x:v>
      </x:c>
      <x:c r="BA31" s="65" t="str">
        <x:f>IF(COUNT(M31,AP31)=2,M31-AP31,"не сверено")</x:f>
        <x:v>не сверено</x:v>
      </x:c>
      <x:c r="BB31" s="65"/>
      <x:c r="BC31" s="67" t="str">
        <x:v>Лента_МСФО_2025.pdf; PDF стр. 52, 79; ЧД IFRS 16 168 348,644 = 99 899,296 + 119 512,881 − 51 063,533</x:v>
      </x:c>
      <x:c r="BD31" s="67"/>
      <x:c r="BE31" s="67" t="str">
        <x:v>Группа Лента — результаты 4К и 2025, 26.03.2026; ЧД до IFRS 16 48 835,763 млн руб.</x:v>
      </x:c>
      <x:c r="BF31" s="67" t="str">
        <x:v>Лента_МСФО_2025.pdf; PDF стр. 7; выручка 1 103 662,719</x:v>
      </x:c>
      <x:c r="BG31" s="67" t="str">
        <x:v>Лента_МСФО_2025.pdf; PDF стр. 55; EBITDA IFRS 16 113 015,443; из-за дополнительных корректировок классифицирована как скорректированная</x:v>
      </x:c>
      <x:c r="BH31" s="67" t="str">
        <x:v>https://www.lentagroup.ru/en/media/news-and-press-releases/lenta-group-announces-22-2-revenue-growth-and-7-9-ebitda-margin-in-q4-2025/; 26.03.2026; EBITDA до IFRS 16 83 684</x:v>
      </x:c>
      <x:c r="BI31" s="67"/>
      <x:c r="BJ31" s="67"/>
      <x:c r="BK31" s="67"/>
      <x:c r="BL31" s="67" t="str">
        <x:v>Лента_МСФО_2025.pdf; PDF стр. 7; прибыль акционеров 34 894,230; прибыль группы 34 851,311</x:v>
      </x:c>
      <x:c r="BM31" s="67" t="str">
        <x:v>Лента_МСФО_2025.pdf; PDF стр. 9; капитал акционеров 179 115,797; НКД 935,604; общий капитал 180 051,401</x:v>
      </x:c>
      <x:c r="BN31" s="65" t="n">
        <x:f>'Расчетные показатели'!E1016</x:f>
        <x:v>119512.881</x:v>
      </x:c>
      <x:c r="BO31" s="83" t="n">
        <x:f>'Расчетные показатели'!E1692</x:f>
        <x:v>935.604</x:v>
      </x:c>
      <x:c r="BP31" s="65"/>
      <x:c r="BQ31" s="83" t="n">
        <x:f>'Расчетные показатели'!E1693</x:f>
        <x:v>180051.401</x:v>
      </x:c>
      <x:c r="BR31" s="67" t="str">
        <x:v>Компания раскрывает EBITDA IFRS 16 и EBITDA до применения IFRS 16 отдельно. IFRS 16 EBITDA содержит дополнительные корректировки и классифицирована как скорректированная; версия IAS 17 сохранена в отдельной колонке. ЧД IAS 17 исключает обязательства по аренде.</x:v>
      </x:c>
      <x:c r="BS31" s="65"/>
      <x:c r="BT31" s="65"/>
      <x:c r="BU31" s="65"/>
      <x:c r="BV31" s="65"/>
      <x:c r="BW31" s="65"/>
      <x:c r="BX31" s="65"/>
      <x:c r="BY31" s="65"/>
      <x:c r="BZ31" s="65"/>
      <x:c r="CA31" s="65"/>
      <x:c r="CB31" s="65"/>
      <x:c r="CC31" s="65"/>
      <x:c r="CD31" s="65"/>
      <x:c r="CE31" s="65"/>
      <x:c r="CF31" s="65"/>
      <x:c r="CG31" s="65"/>
      <x:c r="CH31" s="65" t="n">
        <x:f>'Расчетные показатели'!E1021</x:f>
        <x:v>14880.654</x:v>
      </x:c>
      <x:c r="CI31" s="65" t="n">
        <x:f>'Расчетные показатели'!E1022</x:f>
        <x:v>104632.227</x:v>
      </x:c>
      <x:c r="CJ31" s="65"/>
      <x:c r="CK31" s="65"/>
      <x:c r="CL31" s="65"/>
      <x:c r="CM31" s="65"/>
      <x:c r="CN31" s="65"/>
    </x:row>
    <x:row r="32" ht="16.5">
      <x:c r="A32"/>
      <x:c r="B32" s="3">
        <x:v>26</x:v>
      </x:c>
      <x:c r="C32" s="3" t="s">
        <x:v>106</x:v>
      </x:c>
      <x:c r="D32"/>
      <x:c r="E32" s="64" t="n">
        <x:f>R32</x:f>
        <x:v>92321</x:v>
      </x:c>
      <x:c r="F32" s="64"/>
      <x:c r="G32" s="64"/>
      <x:c r="H32" s="64" t="n">
        <x:f>'Расчетные показатели'!E145</x:f>
        <x:v>109534.202975548</x:v>
      </x:c>
      <x:c r="I32" s="64" t="n">
        <x:f>'Расчетные показатели'!E146</x:f>
        <x:v>43952.942508562</x:v>
      </x:c>
      <x:c r="J32" s="64"/>
      <x:c r="K32" s="64"/>
      <x:c r="L32" s="64"/>
      <x:c r="M32" s="64"/>
      <x:c r="N32" s="64" t="n">
        <x:f>'Расчетные показатели'!E147</x:f>
        <x:v>-52716.354398973</x:v>
      </x:c>
      <x:c r="O32" s="64" t="n">
        <x:f>'Расчетные показатели'!E148</x:f>
        <x:v>355681.7853736</x:v>
      </x:c>
      <x:c r="P32" s="65"/>
      <x:c r="Q32" s="65"/>
      <x:c r="R32" s="64" t="n">
        <x:f>S32+T32-U32+BN32</x:f>
        <x:v>92321</x:v>
      </x:c>
      <x:c r="S32" s="66" t="n">
        <x:f>'Расчетные показатели'!E149</x:f>
        <x:v>33952</x:v>
      </x:c>
      <x:c r="T32" s="66" t="n">
        <x:f>'Расчетные показатели'!E150</x:f>
        <x:v>111304</x:v>
      </x:c>
      <x:c r="U32" s="66" t="n">
        <x:f>'Расчетные показатели'!E151</x:f>
        <x:v>55016</x:v>
      </x:c>
      <x:c r="V32" s="66"/>
      <x:c r="W32" s="64"/>
      <x:c r="X32" s="64"/>
      <x:c r="Y32" s="66" t="str">
        <x:v>н.п.</x:v>
      </x:c>
      <x:c r="Z32" s="64"/>
      <x:c r="AA32" s="64"/>
      <x:c r="AB32" s="66"/>
      <x:c r="AC32" s="66"/>
      <x:c r="AD32" s="66"/>
      <x:c r="AE32" s="66"/>
      <x:c r="AF32" s="66"/>
      <x:c r="AG32" s="64"/>
      <x:c r="AH32" s="64"/>
      <x:c r="AI32" s="64" t="str">
        <x:v>н.п.</x:v>
      </x:c>
      <x:c r="AJ32" s="64"/>
      <x:c r="AK32" s="64" t="str">
        <x:v>н.п.</x:v>
      </x:c>
      <x:c r="AL32" s="64"/>
      <x:c r="AM32" s="64"/>
      <x:c r="AN32" s="64"/>
      <x:c r="AO32" s="64"/>
      <x:c r="AP32" s="64"/>
      <x:c r="AQ32" s="64"/>
      <x:c r="AR32" s="64"/>
      <x:c r="AS32" s="65"/>
      <x:c r="AT32" s="65" t="n">
        <x:f>IF(COUNT(E32,R32)=2,E32-R32,"не сверено")</x:f>
        <x:v>0</x:v>
      </x:c>
      <x:c r="AU32" s="65" t="str">
        <x:f>IF(COUNT(F32,W32)=2,F32-W32,"не сверено")</x:f>
        <x:v>не сверено</x:v>
      </x:c>
      <x:c r="AV32" s="65" t="str">
        <x:f>IF(COUNT(G32,Y32)=2,G32-Y32,"не сверено")</x:f>
        <x:v>не сверено</x:v>
      </x:c>
      <x:c r="AW32" s="65" t="str">
        <x:f>IF(COUNT(J32,AG32)=2,J32-AG32,"не сверено")</x:f>
        <x:v>не сверено</x:v>
      </x:c>
      <x:c r="AX32" s="65" t="str">
        <x:f>IF(COUNT(K32,AI32)=2,K32-AI32,"не сверено")</x:f>
        <x:v>не сверено</x:v>
      </x:c>
      <x:c r="AY32" s="65" t="str">
        <x:f>IF(COUNT(I32,Z32)=2,I32-Z32,"не сверено")</x:f>
        <x:v>не сверено</x:v>
      </x:c>
      <x:c r="AZ32" s="65" t="str">
        <x:f>IF(COUNT(L32,AM32)=2,L32-AM32,"не сверено")</x:f>
        <x:v>не сверено</x:v>
      </x:c>
      <x:c r="BA32" s="65" t="str">
        <x:f>IF(COUNT(M32,AP32)=2,M32-AP32,"не сверено")</x:f>
        <x:v>не сверено</x:v>
      </x:c>
      <x:c r="BB32" s="65"/>
      <x:c r="BC32" s="67" t="str">
        <x:v>Совкомфлот_МСФО_2025.pdf; страница не подтверждена; кредиты + аренда − деньги</x:v>
      </x:c>
      <x:c r="BD32" s="67"/>
      <x:c r="BE32" s="67"/>
      <x:c r="BF32" s="67" t="str">
        <x:v>Совкомфлот_МСФО_2025.pdf; страница не подтверждена</x:v>
      </x:c>
      <x:c r="BG32" s="67"/>
      <x:c r="BH32" s="67"/>
      <x:c r="BI32" s="67" t="str">
        <x:v>Совкомфлот_МСФО_2025.pdf; страница не подтверждена</x:v>
      </x:c>
      <x:c r="BJ32" s="67"/>
      <x:c r="BK32" s="67"/>
      <x:c r="BL32" s="67" t="str">
        <x:v>Совкомфлот_МСФО_2025.pdf; страница не подтверждена</x:v>
      </x:c>
      <x:c r="BM32" s="67" t="str">
        <x:v>Совкомфлот_МСФО_2025.pdf; страница не подтверждена</x:v>
      </x:c>
      <x:c r="BN32" s="65" t="n">
        <x:f>'Расчетные показатели'!E152</x:f>
        <x:v>2081</x:v>
      </x:c>
      <x:c r="BO32" s="65"/>
      <x:c r="BP32" s="65"/>
      <x:c r="BQ32" s="65"/>
      <x:c r="BR32" s="67" t="str">
        <x:v>Перенос из v3. Полная сверка всех показателей не завершена. Годовые потоки пересчитаны из USD; полугодовые раскрыты в RUB. TTM содержит курсовую погрешность.</x:v>
      </x:c>
      <x:c r="BS32" s="65"/>
      <x:c r="BT32" s="65"/>
      <x:c r="BU32" s="65"/>
      <x:c r="BV32" s="65"/>
      <x:c r="BW32" s="65"/>
      <x:c r="BX32" s="65"/>
      <x:c r="BY32" s="65"/>
      <x:c r="BZ32" s="65"/>
      <x:c r="CA32" s="65"/>
      <x:c r="CB32" s="65"/>
      <x:c r="CC32" s="65"/>
      <x:c r="CD32" s="65"/>
      <x:c r="CE32" s="65"/>
      <x:c r="CF32" s="65"/>
      <x:c r="CG32" s="65"/>
      <x:c r="CH32" s="65"/>
      <x:c r="CI32" s="65"/>
      <x:c r="CJ32" s="65"/>
      <x:c r="CK32" s="65"/>
      <x:c r="CL32" s="65"/>
      <x:c r="CM32" s="65"/>
      <x:c r="CN32" s="65"/>
    </x:row>
    <x:row r="33" ht="16.5">
      <x:c r="A33"/>
      <x:c r="B33" s="3">
        <x:v>27</x:v>
      </x:c>
      <x:c r="C33" s="3" t="s">
        <x:v>108</x:v>
      </x:c>
      <x:c r="D33"/>
      <x:c r="E33" s="64"/>
      <x:c r="F33" s="64"/>
      <x:c r="G33" s="64"/>
      <x:c r="H33" s="64"/>
      <x:c r="I33" s="64"/>
      <x:c r="J33" s="64"/>
      <x:c r="K33" s="64"/>
      <x:c r="L33" s="64"/>
      <x:c r="M33" s="64"/>
      <x:c r="N33" s="64" t="n">
        <x:f>'Расчетные показатели'!E153</x:f>
        <x:v>37847</x:v>
      </x:c>
      <x:c r="O33" s="64" t="n">
        <x:f>'Расчетные показатели'!E154</x:f>
        <x:v>217430</x:v>
      </x:c>
      <x:c r="P33" s="65"/>
      <x:c r="Q33" s="65"/>
      <x:c r="R33" s="64"/>
      <x:c r="S33" s="66"/>
      <x:c r="T33" s="66"/>
      <x:c r="U33" s="66"/>
      <x:c r="V33" s="66"/>
      <x:c r="W33" s="64"/>
      <x:c r="X33" s="64"/>
      <x:c r="Y33" s="66" t="str">
        <x:v>н.п.</x:v>
      </x:c>
      <x:c r="Z33" s="64"/>
      <x:c r="AA33" s="64"/>
      <x:c r="AB33" s="66"/>
      <x:c r="AC33" s="66"/>
      <x:c r="AD33" s="66"/>
      <x:c r="AE33" s="66"/>
      <x:c r="AF33" s="66"/>
      <x:c r="AG33" s="64"/>
      <x:c r="AH33" s="64"/>
      <x:c r="AI33" s="64" t="str">
        <x:v>н.п.</x:v>
      </x:c>
      <x:c r="AJ33" s="64"/>
      <x:c r="AK33" s="64" t="str">
        <x:v>н.п.</x:v>
      </x:c>
      <x:c r="AL33" s="64"/>
      <x:c r="AM33" s="64"/>
      <x:c r="AN33" s="64"/>
      <x:c r="AO33" s="64"/>
      <x:c r="AP33" s="64"/>
      <x:c r="AQ33" s="64"/>
      <x:c r="AR33" s="64"/>
      <x:c r="AS33" s="65"/>
      <x:c r="AT33" s="65" t="str">
        <x:f>IF(COUNT(E33,R33)=2,E33-R33,"не сверено")</x:f>
        <x:v>не сверено</x:v>
      </x:c>
      <x:c r="AU33" s="65" t="str">
        <x:f>IF(COUNT(F33,W33)=2,F33-W33,"не сверено")</x:f>
        <x:v>не сверено</x:v>
      </x:c>
      <x:c r="AV33" s="65" t="str">
        <x:f>IF(COUNT(G33,Y33)=2,G33-Y33,"не сверено")</x:f>
        <x:v>не сверено</x:v>
      </x:c>
      <x:c r="AW33" s="65" t="str">
        <x:f>IF(COUNT(J33,AG33)=2,J33-AG33,"не сверено")</x:f>
        <x:v>не сверено</x:v>
      </x:c>
      <x:c r="AX33" s="65" t="str">
        <x:f>IF(COUNT(K33,AI33)=2,K33-AI33,"не сверено")</x:f>
        <x:v>не сверено</x:v>
      </x:c>
      <x:c r="AY33" s="65" t="str">
        <x:f>IF(COUNT(I33,Z33)=2,I33-Z33,"не сверено")</x:f>
        <x:v>не сверено</x:v>
      </x:c>
      <x:c r="AZ33" s="65" t="str">
        <x:f>IF(COUNT(L33,AM33)=2,L33-AM33,"не сверено")</x:f>
        <x:v>не сверено</x:v>
      </x:c>
      <x:c r="BA33" s="65" t="str">
        <x:f>IF(COUNT(M33,AP33)=2,M33-AP33,"не сверено")</x:f>
        <x:v>не сверено</x:v>
      </x:c>
      <x:c r="BB33" s="65"/>
      <x:c r="BC33" s="67"/>
      <x:c r="BD33" s="67"/>
      <x:c r="BE33" s="67"/>
      <x:c r="BF33" s="67"/>
      <x:c r="BG33" s="67"/>
      <x:c r="BH33" s="67"/>
      <x:c r="BI33" s="67"/>
      <x:c r="BJ33" s="67"/>
      <x:c r="BK33" s="67"/>
      <x:c r="BL33" s="67" t="str">
        <x:v>Банк_Санкт_Петербург_МСФО_2025.pdf; PDF стр. 6, 47, 55</x:v>
      </x:c>
      <x:c r="BM33" s="67" t="str">
        <x:v>Банк_Санкт_Петербург_МСФО_2025.pdf; PDF стр. 76</x:v>
      </x:c>
      <x:c r="BN33" s="65"/>
      <x:c r="BO33" s="65"/>
      <x:c r="BP33" s="65"/>
      <x:c r="BQ33" s="65"/>
      <x:c r="BR33" s="67" t="str">
        <x:v>Перенос из v3. Полная сверка всех показателей не завершена. Банк: обычная выручка и EBITDA неприменимы; банковский аналог выручки не выбран.</x:v>
      </x:c>
      <x:c r="BS33" s="65"/>
      <x:c r="BT33" s="65"/>
      <x:c r="BU33" s="65"/>
      <x:c r="BV33" s="65"/>
      <x:c r="BW33" s="65"/>
      <x:c r="BX33" s="65"/>
      <x:c r="BY33" s="65"/>
      <x:c r="BZ33" s="65"/>
      <x:c r="CA33" s="65"/>
      <x:c r="CB33" s="65"/>
      <x:c r="CC33" s="65"/>
      <x:c r="CD33" s="65"/>
      <x:c r="CE33" s="65"/>
      <x:c r="CF33" s="65"/>
      <x:c r="CG33" s="65"/>
      <x:c r="CH33" s="65"/>
      <x:c r="CI33" s="65"/>
      <x:c r="CJ33" s="65"/>
      <x:c r="CK33" s="65"/>
      <x:c r="CL33" s="65"/>
      <x:c r="CM33" s="65"/>
      <x:c r="CN33" s="65"/>
    </x:row>
    <x:row r="34" ht="16.5">
      <x:c r="A34"/>
      <x:c r="B34" s="3">
        <x:v>28</x:v>
      </x:c>
      <x:c r="C34" s="3" t="s">
        <x:v>109</x:v>
      </x:c>
      <x:c r="D34"/>
      <x:c r="E34" s="64" t="n">
        <x:f>'Расчетные показатели'!E155</x:f>
        <x:v>88391</x:v>
      </x:c>
      <x:c r="F34" s="64"/>
      <x:c r="G34" s="64"/>
      <x:c r="H34" s="64" t="n">
        <x:f>'Расчетные показатели'!E156</x:f>
        <x:v>235089</x:v>
      </x:c>
      <x:c r="I34" s="64"/>
      <x:c r="J34" s="64" t="n">
        <x:f>'Расчетные показатели'!E157</x:f>
        <x:v>57823</x:v>
      </x:c>
      <x:c r="K34" s="64"/>
      <x:c r="L34" s="64"/>
      <x:c r="M34" s="64"/>
      <x:c r="N34" s="64" t="n">
        <x:f>'Расчетные показатели'!E158</x:f>
        <x:v>36230</x:v>
      </x:c>
      <x:c r="O34" s="64" t="n">
        <x:f>'Расчетные показатели'!E159</x:f>
        <x:v>406440</x:v>
      </x:c>
      <x:c r="P34" s="65"/>
      <x:c r="Q34" s="65"/>
      <x:c r="R34" s="64"/>
      <x:c r="S34" s="66"/>
      <x:c r="T34" s="66"/>
      <x:c r="U34" s="66"/>
      <x:c r="V34" s="66"/>
      <x:c r="W34" s="64"/>
      <x:c r="X34" s="64"/>
      <x:c r="Y34" s="66" t="str">
        <x:v>н.п.</x:v>
      </x:c>
      <x:c r="Z34" s="64"/>
      <x:c r="AA34" s="64"/>
      <x:c r="AB34" s="66"/>
      <x:c r="AC34" s="66"/>
      <x:c r="AD34" s="66"/>
      <x:c r="AE34" s="66"/>
      <x:c r="AF34" s="66"/>
      <x:c r="AG34" s="64"/>
      <x:c r="AH34" s="64"/>
      <x:c r="AI34" s="64" t="str">
        <x:v>н.п.</x:v>
      </x:c>
      <x:c r="AJ34" s="64"/>
      <x:c r="AK34" s="64" t="str">
        <x:v>н.п.</x:v>
      </x:c>
      <x:c r="AL34" s="64"/>
      <x:c r="AM34" s="64"/>
      <x:c r="AN34" s="64"/>
      <x:c r="AO34" s="64"/>
      <x:c r="AP34" s="64"/>
      <x:c r="AQ34" s="64"/>
      <x:c r="AR34" s="64"/>
      <x:c r="AS34" s="65"/>
      <x:c r="AT34" s="65" t="str">
        <x:f>IF(COUNT(E34,R34)=2,E34-R34,"не сверено")</x:f>
        <x:v>не сверено</x:v>
      </x:c>
      <x:c r="AU34" s="65" t="str">
        <x:f>IF(COUNT(F34,W34)=2,F34-W34,"не сверено")</x:f>
        <x:v>не сверено</x:v>
      </x:c>
      <x:c r="AV34" s="65" t="str">
        <x:f>IF(COUNT(G34,Y34)=2,G34-Y34,"не сверено")</x:f>
        <x:v>не сверено</x:v>
      </x:c>
      <x:c r="AW34" s="65" t="str">
        <x:f>IF(COUNT(J34,AG34)=2,J34-AG34,"не сверено")</x:f>
        <x:v>не сверено</x:v>
      </x:c>
      <x:c r="AX34" s="65" t="str">
        <x:f>IF(COUNT(K34,AI34)=2,K34-AI34,"не сверено")</x:f>
        <x:v>не сверено</x:v>
      </x:c>
      <x:c r="AY34" s="65" t="str">
        <x:f>IF(COUNT(I34,Z34)=2,I34-Z34,"не сверено")</x:f>
        <x:v>не сверено</x:v>
      </x:c>
      <x:c r="AZ34" s="65" t="str">
        <x:f>IF(COUNT(L34,AM34)=2,L34-AM34,"не сверено")</x:f>
        <x:v>не сверено</x:v>
      </x:c>
      <x:c r="BA34" s="65" t="str">
        <x:f>IF(COUNT(M34,AP34)=2,M34-AP34,"не сверено")</x:f>
        <x:v>не сверено</x:v>
      </x:c>
      <x:c r="BB34" s="65"/>
      <x:c r="BC34" s="67" t="str">
        <x:v>Алроса_МСФО_2025.pdf; PDF стр. 40</x:v>
      </x:c>
      <x:c r="BD34" s="67"/>
      <x:c r="BE34" s="67"/>
      <x:c r="BF34" s="67" t="str">
        <x:v>Алроса_МСФО_2025.pdf; PDF стр. 7, 64, 80</x:v>
      </x:c>
      <x:c r="BG34" s="67" t="str">
        <x:v>Алроса_МСФО_2025.pdf; PDF стр. 40</x:v>
      </x:c>
      <x:c r="BH34" s="67"/>
      <x:c r="BI34" s="67"/>
      <x:c r="BJ34" s="67"/>
      <x:c r="BK34" s="67"/>
      <x:c r="BL34" s="67" t="str">
        <x:v>Алроса_МСФО_2025.pdf; PDF стр. 7, 9</x:v>
      </x:c>
      <x:c r="BM34" s="67" t="str">
        <x:v>Алроса_МСФО_2025.pdf; PDF стр. 9</x:v>
      </x:c>
      <x:c r="BN34" s="65"/>
      <x:c r="BO34" s="65"/>
      <x:c r="BP34" s="65"/>
      <x:c r="BQ34" s="65"/>
      <x:c r="BR34" s="67" t="str">
        <x:v>Компания называет EBITDA; содержит дополнительные корректировки, в базе — скорр. EBITDA. Перенос из v3. Полная сверка всех показателей не завершена.</x:v>
      </x:c>
      <x:c r="BS34" s="65"/>
      <x:c r="BT34" s="65"/>
      <x:c r="BU34" s="65"/>
      <x:c r="BV34" s="65"/>
      <x:c r="BW34" s="65"/>
      <x:c r="BX34" s="65"/>
      <x:c r="BY34" s="65"/>
      <x:c r="BZ34" s="65"/>
      <x:c r="CA34" s="65"/>
      <x:c r="CB34" s="65"/>
      <x:c r="CC34" s="65"/>
      <x:c r="CD34" s="65"/>
      <x:c r="CE34" s="65"/>
      <x:c r="CF34" s="65"/>
      <x:c r="CG34" s="65"/>
      <x:c r="CH34" s="65"/>
      <x:c r="CI34" s="65"/>
      <x:c r="CJ34" s="65"/>
      <x:c r="CK34" s="65"/>
      <x:c r="CL34" s="65"/>
      <x:c r="CM34" s="65"/>
      <x:c r="CN34" s="65"/>
    </x:row>
    <x:row r="35" ht="16.5">
      <x:c r="A35"/>
      <x:c r="B35" s="3">
        <x:v>29</x:v>
      </x:c>
      <x:c r="C35" s="3" t="s">
        <x:v>110</x:v>
      </x:c>
      <x:c r="D35"/>
      <x:c r="E35" s="64"/>
      <x:c r="F35" s="64"/>
      <x:c r="G35" s="64"/>
      <x:c r="H35" s="64" t="n">
        <x:f>'Расчетные показатели'!E160</x:f>
        <x:v>15156</x:v>
      </x:c>
      <x:c r="I35" s="64"/>
      <x:c r="J35" s="64" t="n">
        <x:f>'Расчетные показатели'!E898</x:f>
        <x:v>3570</x:v>
      </x:c>
      <x:c r="K35" s="64"/>
      <x:c r="L35" s="64" t="str">
        <x:f>AK35</x:f>
        <x:v>н.д.</x:v>
      </x:c>
      <x:c r="M35" s="64"/>
      <x:c r="N35" s="64" t="n">
        <x:f>'Расчетные показатели'!E162</x:f>
        <x:v>2655</x:v>
      </x:c>
      <x:c r="O35" s="64" t="n">
        <x:f>'Расчетные показатели'!E163</x:f>
        <x:v>5221</x:v>
      </x:c>
      <x:c r="P35" s="65"/>
      <x:c r="Q35" s="65"/>
      <x:c r="R35" s="64"/>
      <x:c r="S35" s="66"/>
      <x:c r="T35" s="66"/>
      <x:c r="U35" s="66"/>
      <x:c r="V35" s="66"/>
      <x:c r="W35" s="64"/>
      <x:c r="X35" s="64"/>
      <x:c r="Y35" s="66" t="str">
        <x:v>н.п.</x:v>
      </x:c>
      <x:c r="Z35" s="64"/>
      <x:c r="AA35" s="64"/>
      <x:c r="AB35" s="66"/>
      <x:c r="AC35" s="66"/>
      <x:c r="AD35" s="66"/>
      <x:c r="AE35" s="66"/>
      <x:c r="AF35" s="66" t="n">
        <x:f>SUM('Расчетные показатели'!E894:E897)</x:f>
        <x:v>849</x:v>
      </x:c>
      <x:c r="AG35" s="64" t="n">
        <x:f>'Расчетные показатели'!E898</x:f>
        <x:v>3570</x:v>
      </x:c>
      <x:c r="AH35" s="64"/>
      <x:c r="AI35" s="64" t="str">
        <x:v>н.п.</x:v>
      </x:c>
      <x:c r="AJ35" s="64"/>
      <x:c r="AK35" s="64" t="str">
        <x:v>н.д.</x:v>
      </x:c>
      <x:c r="AL35" s="64"/>
      <x:c r="AM35" s="64"/>
      <x:c r="AN35" s="64"/>
      <x:c r="AO35" s="64"/>
      <x:c r="AP35" s="64"/>
      <x:c r="AQ35" s="64"/>
      <x:c r="AR35" s="64"/>
      <x:c r="AS35" s="65"/>
      <x:c r="AT35" s="65" t="str">
        <x:f>IF(COUNT(E35,R35)=2,E35-R35,"не сверено")</x:f>
        <x:v>не сверено</x:v>
      </x:c>
      <x:c r="AU35" s="65" t="str">
        <x:f>IF(COUNT(F35,W35)=2,F35-W35,"не сверено")</x:f>
        <x:v>не сверено</x:v>
      </x:c>
      <x:c r="AV35" s="65" t="str">
        <x:f>IF(COUNT(G35,Y35)=2,G35-Y35,"не сверено")</x:f>
        <x:v>не сверено</x:v>
      </x:c>
      <x:c r="AW35" s="65" t="n">
        <x:f>IF(COUNT(J35,AG35)=2,J35-AG35,"не сверено")</x:f>
        <x:v>0</x:v>
      </x:c>
      <x:c r="AX35" s="65" t="str">
        <x:f>IF(COUNT(K35,AI35)=2,K35-AI35,"не сверено")</x:f>
        <x:v>не сверено</x:v>
      </x:c>
      <x:c r="AY35" s="65" t="str">
        <x:f>IF(COUNT(I35,Z35)=2,I35-Z35,"не сверено")</x:f>
        <x:v>не сверено</x:v>
      </x:c>
      <x:c r="AZ35" s="65" t="str">
        <x:f>IF(COUNT(L35,AM35)=2,L35-AM35,"не сверено")</x:f>
        <x:v>не сверено</x:v>
      </x:c>
      <x:c r="BA35" s="65" t="str">
        <x:f>IF(COUNT(M35,AP35)=2,M35-AP35,"не сверено")</x:f>
        <x:v>не сверено</x:v>
      </x:c>
      <x:c r="BB35" s="65"/>
      <x:c r="BC35" s="67"/>
      <x:c r="BD35" s="67"/>
      <x:c r="BE35" s="67"/>
      <x:c r="BF35" s="67" t="str">
        <x:v>Циан_МСФО_2025.pdf; PDF стр. 8, 26, 28</x:v>
      </x:c>
      <x:c r="BG35" s="67" t="str">
        <x:v>Циан_МСФО_2025.pdf; PDF стр. 28; расчет: строки 891–898</x:v>
      </x:c>
      <x:c r="BH35" s="67"/>
      <x:c r="BI35" s="67"/>
      <x:c r="BJ35" s="67" t="str">
        <x:v>Нужны раскрытые капитализированные затраты для аналитического EBITDAC. Нули не подставлены.</x:v>
      </x:c>
      <x:c r="BK35" s="67"/>
      <x:c r="BL35" s="67" t="str">
        <x:v>Циан_МСФО_2025.pdf; PDF стр. 8, 10</x:v>
      </x:c>
      <x:c r="BM35" s="67" t="str">
        <x:v>Циан_МСФО_2025.pdf; PDF стр. 9</x:v>
      </x:c>
      <x:c r="BN35" s="65"/>
      <x:c r="BO35" s="65"/>
      <x:c r="BP35" s="65"/>
      <x:c r="BQ35" s="65"/>
      <x:c r="BR35" s="67" t="str">
        <x:v>Перенос из v3. Полная сверка всех показателей не завершена.</x:v>
      </x:c>
      <x:c r="BS35" s="65" t="n">
        <x:f>'Расчетные показатели'!E897</x:f>
        <x:v>224</x:v>
      </x:c>
      <x:c r="BT35" s="65"/>
      <x:c r="BU35" s="65"/>
      <x:c r="BV35" s="65"/>
      <x:c r="BW35" s="65"/>
      <x:c r="BX35" s="65"/>
      <x:c r="BY35" s="65"/>
      <x:c r="BZ35" s="65"/>
      <x:c r="CA35" s="65"/>
      <x:c r="CB35" s="65"/>
      <x:c r="CC35" s="65"/>
      <x:c r="CD35" s="65" t="n">
        <x:f>'Расчетные показатели'!E894</x:f>
        <x:v>586</x:v>
      </x:c>
      <x:c r="CE35" s="65"/>
      <x:c r="CF35" s="65"/>
      <x:c r="CG35" s="65"/>
      <x:c r="CH35" s="65"/>
      <x:c r="CI35" s="65"/>
      <x:c r="CJ35" s="65"/>
      <x:c r="CK35" s="65"/>
      <x:c r="CL35" s="65"/>
      <x:c r="CM35" s="65"/>
      <x:c r="CN35" s="65"/>
    </x:row>
    <x:row r="36" ht="16.5">
      <x:c r="A36"/>
      <x:c r="B36" s="3">
        <x:v>30</x:v>
      </x:c>
      <x:c r="C36" s="3" t="s">
        <x:v>111</x:v>
      </x:c>
      <x:c r="D36"/>
      <x:c r="E36" s="64" t="n">
        <x:f>R36</x:f>
        <x:v>1592797</x:v>
      </x:c>
      <x:c r="F36" s="64"/>
      <x:c r="G36" s="64"/>
      <x:c r="H36" s="64" t="n">
        <x:f>'Расчетные показатели'!E164</x:f>
        <x:v>1332474</x:v>
      </x:c>
      <x:c r="I36" s="64"/>
      <x:c r="J36" s="64"/>
      <x:c r="K36" s="64"/>
      <x:c r="L36" s="64"/>
      <x:c r="M36" s="64" t="n">
        <x:f>'Расчетные показатели'!E165</x:f>
        <x:v>306184</x:v>
      </x:c>
      <x:c r="N36" s="64" t="n">
        <x:f>'Расчетные показатели'!E166</x:f>
        <x:v>-222222</x:v>
      </x:c>
      <x:c r="O36" s="64" t="n">
        <x:f>'Расчетные показатели'!E167</x:f>
        <x:v>-173757</x:v>
      </x:c>
      <x:c r="P36" s="65"/>
      <x:c r="Q36" s="65"/>
      <x:c r="R36" s="64" t="n">
        <x:f>S36+T36-U36+BN36</x:f>
        <x:v>1592797</x:v>
      </x:c>
      <x:c r="S36" s="66" t="n">
        <x:f>'Расчетные показатели'!E168</x:f>
        <x:v>807198</x:v>
      </x:c>
      <x:c r="T36" s="66" t="n">
        <x:f>'Расчетные показатели'!E169</x:f>
        <x:v>742227</x:v>
      </x:c>
      <x:c r="U36" s="66" t="n">
        <x:f>'Расчетные показатели'!E170</x:f>
        <x:v>115992</x:v>
      </x:c>
      <x:c r="V36" s="66"/>
      <x:c r="W36" s="64"/>
      <x:c r="X36" s="64"/>
      <x:c r="Y36" s="66" t="str">
        <x:v>н.п.</x:v>
      </x:c>
      <x:c r="Z36" s="64"/>
      <x:c r="AA36" s="64"/>
      <x:c r="AB36" s="66"/>
      <x:c r="AC36" s="66"/>
      <x:c r="AD36" s="66"/>
      <x:c r="AE36" s="66"/>
      <x:c r="AF36" s="66"/>
      <x:c r="AG36" s="64"/>
      <x:c r="AH36" s="64"/>
      <x:c r="AI36" s="64" t="str">
        <x:v>н.п.</x:v>
      </x:c>
      <x:c r="AJ36" s="64"/>
      <x:c r="AK36" s="64" t="str">
        <x:v>н.п.</x:v>
      </x:c>
      <x:c r="AL36" s="64"/>
      <x:c r="AM36" s="64"/>
      <x:c r="AN36" s="64"/>
      <x:c r="AO36" s="64"/>
      <x:c r="AP36" s="64"/>
      <x:c r="AQ36" s="64"/>
      <x:c r="AR36" s="64"/>
      <x:c r="AS36" s="65"/>
      <x:c r="AT36" s="65" t="n">
        <x:f>IF(COUNT(E36,R36)=2,E36-R36,"не сверено")</x:f>
        <x:v>0</x:v>
      </x:c>
      <x:c r="AU36" s="65" t="str">
        <x:f>IF(COUNT(F36,W36)=2,F36-W36,"не сверено")</x:f>
        <x:v>не сверено</x:v>
      </x:c>
      <x:c r="AV36" s="65" t="str">
        <x:f>IF(COUNT(G36,Y36)=2,G36-Y36,"не сверено")</x:f>
        <x:v>не сверено</x:v>
      </x:c>
      <x:c r="AW36" s="65" t="str">
        <x:f>IF(COUNT(J36,AG36)=2,J36-AG36,"не сверено")</x:f>
        <x:v>не сверено</x:v>
      </x:c>
      <x:c r="AX36" s="65" t="str">
        <x:f>IF(COUNT(K36,AI36)=2,K36-AI36,"не сверено")</x:f>
        <x:v>не сверено</x:v>
      </x:c>
      <x:c r="AY36" s="65" t="str">
        <x:f>IF(COUNT(I36,Z36)=2,I36-Z36,"не сверено")</x:f>
        <x:v>не сверено</x:v>
      </x:c>
      <x:c r="AZ36" s="65" t="str">
        <x:f>IF(COUNT(L36,AM36)=2,L36-AM36,"не сверено")</x:f>
        <x:v>не сверено</x:v>
      </x:c>
      <x:c r="BA36" s="65" t="str">
        <x:f>IF(COUNT(M36,AP36)=2,M36-AP36,"не сверено")</x:f>
        <x:v>не сверено</x:v>
      </x:c>
      <x:c r="BB36" s="65"/>
      <x:c r="BC36" s="67" t="str">
        <x:v>AFKS_2026H1.pdf; PDF стр. 8, 31; кредиты + аренда − деньги</x:v>
      </x:c>
      <x:c r="BD36" s="67"/>
      <x:c r="BE36" s="67"/>
      <x:c r="BF36" s="67" t="str">
        <x:v>АФК_Система_МСФО_2025.pdf; PDF стр. 8, 28, 30, 44</x:v>
      </x:c>
      <x:c r="BG36" s="67"/>
      <x:c r="BH36" s="67"/>
      <x:c r="BI36" s="67"/>
      <x:c r="BJ36" s="67"/>
      <x:c r="BK36" s="67" t="str">
        <x:v>АФК_Система_МСФО_2025.pdf; PDF стр. 99</x:v>
      </x:c>
      <x:c r="BL36" s="67" t="str">
        <x:v>АФК_Система_МСФО_2025.pdf; PDF стр. 8, 12, 98</x:v>
      </x:c>
      <x:c r="BM36" s="67" t="str">
        <x:v>АФК_Система_МСФО_2025.pdf; PDF стр. 11, 12, 16</x:v>
      </x:c>
      <x:c r="BN36" s="65" t="n">
        <x:f>'Расчетные показатели'!E171</x:f>
        <x:v>159364</x:v>
      </x:c>
      <x:c r="BO36" s="65"/>
      <x:c r="BP36" s="65"/>
      <x:c r="BQ36" s="65"/>
      <x:c r="BR36" s="67" t="str">
        <x:v>Перенос из v3. Полная сверка всех показателей не завершена.</x:v>
      </x:c>
      <x:c r="BS36" s="65"/>
      <x:c r="BT36" s="65"/>
      <x:c r="BU36" s="65"/>
      <x:c r="BV36" s="65"/>
      <x:c r="BW36" s="65"/>
      <x:c r="BX36" s="65"/>
      <x:c r="BY36" s="65"/>
      <x:c r="BZ36" s="65"/>
      <x:c r="CA36" s="65"/>
      <x:c r="CB36" s="65"/>
      <x:c r="CC36" s="65"/>
      <x:c r="CD36" s="65"/>
      <x:c r="CE36" s="65"/>
      <x:c r="CF36" s="65"/>
      <x:c r="CG36" s="65"/>
      <x:c r="CH36" s="65"/>
      <x:c r="CI36" s="65"/>
      <x:c r="CJ36" s="65"/>
      <x:c r="CK36" s="65"/>
      <x:c r="CL36" s="65"/>
      <x:c r="CM36" s="65"/>
      <x:c r="CN36" s="65"/>
    </x:row>
    <x:row r="37" ht="16.5">
      <x:c r="A37"/>
      <x:c r="B37" s="3">
        <x:v>31</x:v>
      </x:c>
      <x:c r="C37" s="3" t="s">
        <x:v>113</x:v>
      </x:c>
      <x:c r="D37"/>
      <x:c r="E37" s="64" t="n">
        <x:f>'Расчетные показатели'!E1142</x:f>
        <x:v>83847</x:v>
      </x:c>
      <x:c r="F37" s="64"/>
      <x:c r="G37" s="64"/>
      <x:c r="H37" s="64" t="n">
        <x:f>'Расчетные показатели'!E173</x:f>
        <x:v>108785</x:v>
      </x:c>
      <x:c r="I37" s="64"/>
      <x:c r="J37" s="64" t="n">
        <x:f>'Расчетные показатели'!E619</x:f>
        <x:v>42614</x:v>
      </x:c>
      <x:c r="K37" s="64"/>
      <x:c r="L37" s="64"/>
      <x:c r="M37" s="64"/>
      <x:c r="N37" s="64" t="n">
        <x:f>'Расчетные показатели'!E175</x:f>
        <x:v>15203</x:v>
      </x:c>
      <x:c r="O37" s="64" t="n">
        <x:f>'Расчетные показатели'!E176</x:f>
        <x:v>63022</x:v>
      </x:c>
      <x:c r="P37" s="65"/>
      <x:c r="Q37" s="65"/>
      <x:c r="R37" s="64" t="n">
        <x:f>'Расчетные показатели'!E1056</x:f>
        <x:v>84047</x:v>
      </x:c>
      <x:c r="S37" s="66" t="n">
        <x:f>'Расчетные показатели'!E177</x:f>
        <x:v>49015</x:v>
      </x:c>
      <x:c r="T37" s="66" t="n">
        <x:f>'Расчетные показатели'!E178</x:f>
        <x:v>12738</x:v>
      </x:c>
      <x:c r="U37" s="66" t="n">
        <x:f>'Расчетные показатели'!E179</x:f>
        <x:v>2271</x:v>
      </x:c>
      <x:c r="V37" s="66"/>
      <x:c r="W37" s="64"/>
      <x:c r="X37" s="64"/>
      <x:c r="Y37" s="66" t="str">
        <x:v>н.п.</x:v>
      </x:c>
      <x:c r="Z37" s="64"/>
      <x:c r="AA37" s="64"/>
      <x:c r="AB37" s="66"/>
      <x:c r="AC37" s="66"/>
      <x:c r="AD37" s="66"/>
      <x:c r="AE37" s="66"/>
      <x:c r="AF37" s="66" t="n">
        <x:f>SUM('Расчетные показатели'!E615:E618)</x:f>
        <x:v>-877</x:v>
      </x:c>
      <x:c r="AG37" s="64" t="n">
        <x:f>'Расчетные показатели'!E619</x:f>
        <x:v>42614</x:v>
      </x:c>
      <x:c r="AH37" s="64"/>
      <x:c r="AI37" s="64" t="str">
        <x:v>н.п.</x:v>
      </x:c>
      <x:c r="AJ37" s="64"/>
      <x:c r="AK37" s="64" t="str">
        <x:v>н.п.</x:v>
      </x:c>
      <x:c r="AL37" s="64"/>
      <x:c r="AM37" s="64"/>
      <x:c r="AN37" s="64"/>
      <x:c r="AO37" s="64"/>
      <x:c r="AP37" s="64"/>
      <x:c r="AQ37" s="64"/>
      <x:c r="AR37" s="64"/>
      <x:c r="AS37" s="65"/>
      <x:c r="AT37" s="65" t="n">
        <x:f>IF(COUNT(E37,R37)=2,E37-R37,"не сверено")</x:f>
        <x:v>-200</x:v>
      </x:c>
      <x:c r="AU37" s="65" t="str">
        <x:f>IF(COUNT(F37,W37)=2,F37-W37,"не сверено")</x:f>
        <x:v>не сверено</x:v>
      </x:c>
      <x:c r="AV37" s="65" t="str">
        <x:f>IF(COUNT(G37,Y37)=2,G37-Y37,"не сверено")</x:f>
        <x:v>не сверено</x:v>
      </x:c>
      <x:c r="AW37" s="65" t="n">
        <x:f>IF(COUNT(J37,AG37)=2,J37-AG37,"не сверено")</x:f>
        <x:v>0</x:v>
      </x:c>
      <x:c r="AX37" s="65" t="str">
        <x:f>IF(COUNT(K37,AI37)=2,K37-AI37,"не сверено")</x:f>
        <x:v>не сверено</x:v>
      </x:c>
      <x:c r="AY37" s="65" t="str">
        <x:f>IF(COUNT(I37,Z37)=2,I37-Z37,"не сверено")</x:f>
        <x:v>не сверено</x:v>
      </x:c>
      <x:c r="AZ37" s="65" t="str">
        <x:f>IF(COUNT(L37,AM37)=2,L37-AM37,"не сверено")</x:f>
        <x:v>не сверено</x:v>
      </x:c>
      <x:c r="BA37" s="65" t="str">
        <x:f>IF(COUNT(M37,AP37)=2,M37-AP37,"не сверено")</x:f>
        <x:v>не сверено</x:v>
      </x:c>
      <x:c r="BB37" s="65"/>
      <x:c r="BC37" s="67" t="str">
        <x:v>UGLD_2026H1.pdf; PDF стр. 7; кредиты + аренда − деньги</x:v>
      </x:c>
      <x:c r="BD37" s="67"/>
      <x:c r="BE37" s="67"/>
      <x:c r="BF37" s="67" t="str">
        <x:v>UGLD_FY.pdf; PDF стр. 10, 38, 39</x:v>
      </x:c>
      <x:c r="BG37" s="67" t="str">
        <x:v>UGLD_FY.pdf; PDF стр. 38; расчет: строки 612–619</x:v>
      </x:c>
      <x:c r="BH37" s="67"/>
      <x:c r="BI37" s="67"/>
      <x:c r="BJ37" s="67"/>
      <x:c r="BK37" s="67"/>
      <x:c r="BL37" s="67" t="str">
        <x:v>UGLD_FY.pdf; PDF стр. 10, 12, 53</x:v>
      </x:c>
      <x:c r="BM37" s="67" t="str">
        <x:v>UGLD_FY.pdf; PDF стр. 11, 12</x:v>
      </x:c>
      <x:c r="BN37" s="65" t="n">
        <x:f>'Расчетные показатели'!E1048</x:f>
        <x:v>5959</x:v>
      </x:c>
      <x:c r="BO37" s="65"/>
      <x:c r="BP37" s="65"/>
      <x:c r="BQ37" s="65"/>
      <x:c r="BR37" s="67" t="str">
        <x:v>Перенос из v3. Полная сверка всех показателей не завершена. Кредиты в балансе на 200 млн руб. больше кредитов в расчете компании. ЧД по балансу отличается на 200 млн руб.; оба расчета показаны.</x:v>
      </x:c>
      <x:c r="BS37" s="65"/>
      <x:c r="BT37" s="65"/>
      <x:c r="BU37" s="65"/>
      <x:c r="BV37" s="65" t="n">
        <x:f>'Расчетные показатели'!E615</x:f>
        <x:v>-6316</x:v>
      </x:c>
      <x:c r="BW37" s="65"/>
      <x:c r="BX37" s="65"/>
      <x:c r="BY37" s="65"/>
      <x:c r="BZ37" s="65"/>
      <x:c r="CA37" s="65"/>
      <x:c r="CB37" s="65"/>
      <x:c r="CC37" s="65"/>
      <x:c r="CD37" s="65"/>
      <x:c r="CE37" s="65"/>
      <x:c r="CF37" s="65"/>
      <x:c r="CG37" s="65"/>
      <x:c r="CH37" s="65" t="n">
        <x:f>'Расчетные показатели'!E1053</x:f>
        <x:v>3057</x:v>
      </x:c>
      <x:c r="CI37" s="65" t="n">
        <x:f>'Расчетные показатели'!E1054</x:f>
        <x:v>2902</x:v>
      </x:c>
      <x:c r="CJ37" s="65" t="n">
        <x:f>'Расчетные показатели'!E1055</x:f>
        <x:v>18606</x:v>
      </x:c>
      <x:c r="CK37" s="65"/>
      <x:c r="CL37" s="65"/>
      <x:c r="CM37" s="65"/>
      <x:c r="CN37" s="65"/>
    </x:row>
    <x:row r="38" ht="16.5">
      <x:c r="A38"/>
      <x:c r="B38" s="3">
        <x:v>32</x:v>
      </x:c>
      <x:c r="C38" s="3" t="s">
        <x:v>114</x:v>
      </x:c>
      <x:c r="D38"/>
      <x:c r="E38" s="64" t="n">
        <x:f>'Расчетные показатели'!E181</x:f>
        <x:v>20467.611</x:v>
      </x:c>
      <x:c r="F38" s="64"/>
      <x:c r="G38" s="64"/>
      <x:c r="H38" s="64" t="n">
        <x:f>'Расчетные показатели'!E182</x:f>
        <x:v>30881.105</x:v>
      </x:c>
      <x:c r="I38" s="64"/>
      <x:c r="J38" s="64" t="n">
        <x:f>'Расчетные показатели'!E183</x:f>
        <x:v>12322.39</x:v>
      </x:c>
      <x:c r="K38" s="64"/>
      <x:c r="L38" s="64" t="n">
        <x:f>AM38</x:f>
        <x:v>7123.499</x:v>
      </x:c>
      <x:c r="M38" s="64"/>
      <x:c r="N38" s="64" t="n">
        <x:f>'Расчетные показатели'!E185</x:f>
        <x:v>7275.484</x:v>
      </x:c>
      <x:c r="O38" s="64" t="n">
        <x:f>'Расчетные показатели'!E186</x:f>
        <x:v>24339.494</x:v>
      </x:c>
      <x:c r="P38" s="65"/>
      <x:c r="Q38" s="65"/>
      <x:c r="R38" s="64"/>
      <x:c r="S38" s="66"/>
      <x:c r="T38" s="66"/>
      <x:c r="U38" s="66"/>
      <x:c r="V38" s="66"/>
      <x:c r="W38" s="64"/>
      <x:c r="X38" s="64"/>
      <x:c r="Y38" s="66" t="str">
        <x:v>н.п.</x:v>
      </x:c>
      <x:c r="Z38" s="64"/>
      <x:c r="AA38" s="64"/>
      <x:c r="AB38" s="66"/>
      <x:c r="AC38" s="66"/>
      <x:c r="AD38" s="66"/>
      <x:c r="AE38" s="66"/>
      <x:c r="AF38" s="66"/>
      <x:c r="AG38" s="64"/>
      <x:c r="AH38" s="64"/>
      <x:c r="AI38" s="64" t="str">
        <x:v>н.п.</x:v>
      </x:c>
      <x:c r="AJ38" s="64" t="n">
        <x:f>'Расчетные показатели'!E187</x:f>
        <x:v>6380.62</x:v>
      </x:c>
      <x:c r="AK38" s="64" t="n">
        <x:f>J38-AJ38</x:f>
        <x:v>5941.7699999999995</x:v>
      </x:c>
      <x:c r="AL38" s="64" t="n">
        <x:f>'Расчетные показатели'!E188</x:f>
        <x:v>1181.729</x:v>
      </x:c>
      <x:c r="AM38" s="64" t="n">
        <x:f>AK38+AL38</x:f>
        <x:v>7123.499</x:v>
      </x:c>
      <x:c r="AN38" s="64"/>
      <x:c r="AO38" s="64"/>
      <x:c r="AP38" s="64"/>
      <x:c r="AQ38" s="64"/>
      <x:c r="AR38" s="64"/>
      <x:c r="AS38" s="65"/>
      <x:c r="AT38" s="65" t="str">
        <x:f>IF(COUNT(E38,R38)=2,E38-R38,"не сверено")</x:f>
        <x:v>не сверено</x:v>
      </x:c>
      <x:c r="AU38" s="65" t="str">
        <x:f>IF(COUNT(F38,W38)=2,F38-W38,"не сверено")</x:f>
        <x:v>не сверено</x:v>
      </x:c>
      <x:c r="AV38" s="65" t="str">
        <x:f>IF(COUNT(G38,Y38)=2,G38-Y38,"не сверено")</x:f>
        <x:v>не сверено</x:v>
      </x:c>
      <x:c r="AW38" s="65" t="str">
        <x:f>IF(COUNT(J38,AG38)=2,J38-AG38,"не сверено")</x:f>
        <x:v>не сверено</x:v>
      </x:c>
      <x:c r="AX38" s="65" t="str">
        <x:f>IF(COUNT(K38,AI38)=2,K38-AI38,"не сверено")</x:f>
        <x:v>не сверено</x:v>
      </x:c>
      <x:c r="AY38" s="65" t="str">
        <x:f>IF(COUNT(I38,Z38)=2,I38-Z38,"не сверено")</x:f>
        <x:v>не сверено</x:v>
      </x:c>
      <x:c r="AZ38" s="65" t="n">
        <x:f>IF(COUNT(L38,AM38)=2,L38-AM38,"не сверено")</x:f>
        <x:v>0</x:v>
      </x:c>
      <x:c r="BA38" s="65" t="str">
        <x:f>IF(COUNT(M38,AP38)=2,M38-AP38,"не сверено")</x:f>
        <x:v>не сверено</x:v>
      </x:c>
      <x:c r="BB38" s="65"/>
      <x:c r="BC38" s="67" t="str">
        <x:v>POSI_FY.pdf; PDF стр. 27</x:v>
      </x:c>
      <x:c r="BD38" s="67"/>
      <x:c r="BE38" s="67"/>
      <x:c r="BF38" s="67" t="str">
        <x:v>POSI_FY.pdf; PDF стр. 7, 28</x:v>
      </x:c>
      <x:c r="BG38" s="67" t="str">
        <x:v>POSI_FY.pdf; PDF стр. 27, 28</x:v>
      </x:c>
      <x:c r="BH38" s="67"/>
      <x:c r="BI38" s="67"/>
      <x:c r="BJ38" s="67" t="str">
        <x:v>POSI_FY.pdf; PDF стр. 28; расчет: строки 969–972</x:v>
      </x:c>
      <x:c r="BK38" s="67"/>
      <x:c r="BL38" s="67" t="str">
        <x:v>POSI_FY.pdf; PDF стр. 7, 9</x:v>
      </x:c>
      <x:c r="BM38" s="67" t="str">
        <x:v>POSI_FY.pdf; PDF стр. 9</x:v>
      </x:c>
      <x:c r="BN38" s="65"/>
      <x:c r="BO38" s="65"/>
      <x:c r="BP38" s="65"/>
      <x:c r="BQ38" s="65"/>
      <x:c r="BR38" s="67" t="str">
        <x:v>Компания называет EBITDA; содержит дополнительные корректировки, в базе — скорр. EBITDA. Перенос из v3. Полная сверка всех показателей не завершена. ЧД компании исключает аренду и вычитает банковские депозиты. EBITDAC включает отгрузки и капитализацию.</x:v>
      </x:c>
      <x:c r="BS38" s="65"/>
      <x:c r="BT38" s="65"/>
      <x:c r="BU38" s="65"/>
      <x:c r="BV38" s="65"/>
      <x:c r="BW38" s="65"/>
      <x:c r="BX38" s="65"/>
      <x:c r="BY38" s="65"/>
      <x:c r="BZ38" s="65"/>
      <x:c r="CA38" s="65"/>
      <x:c r="CB38" s="65"/>
      <x:c r="CC38" s="65"/>
      <x:c r="CD38" s="65"/>
      <x:c r="CE38" s="65"/>
      <x:c r="CF38" s="65" t="n">
        <x:f>'Расчетные показатели'!E970</x:f>
        <x:v>-6380.62</x:v>
      </x:c>
      <x:c r="CG38" s="65" t="n">
        <x:f>'Расчетные показатели'!E971</x:f>
        <x:v>1181.729</x:v>
      </x:c>
      <x:c r="CH38" s="65"/>
      <x:c r="CI38" s="65"/>
      <x:c r="CJ38" s="65"/>
      <x:c r="CK38" s="65"/>
      <x:c r="CL38" s="65"/>
      <x:c r="CM38" s="65"/>
      <x:c r="CN38" s="65"/>
    </x:row>
    <x:row r="39" ht="16.5">
      <x:c r="A39"/>
      <x:c r="B39" s="3">
        <x:v>33</x:v>
      </x:c>
      <x:c r="C39" s="3" t="s">
        <x:v>115</x:v>
      </x:c>
      <x:c r="D39"/>
      <x:c r="E39" s="64"/>
      <x:c r="F39" s="64"/>
      <x:c r="G39" s="64"/>
      <x:c r="H39" s="64" t="n">
        <x:f>'Расчетные показатели'!E189</x:f>
        <x:v>159960</x:v>
      </x:c>
      <x:c r="I39" s="64"/>
      <x:c r="J39" s="64" t="n">
        <x:f>'Расчетные показатели'!E733</x:f>
        <x:v>22584</x:v>
      </x:c>
      <x:c r="K39" s="64"/>
      <x:c r="L39" s="64" t="str">
        <x:f>AK39</x:f>
        <x:v>н.д.</x:v>
      </x:c>
      <x:c r="M39" s="64"/>
      <x:c r="N39" s="64" t="n">
        <x:f>'Расчетные показатели'!E191</x:f>
        <x:v>-25423</x:v>
      </x:c>
      <x:c r="O39" s="64" t="n">
        <x:f>'Расчетные показатели'!E192</x:f>
        <x:v>132633</x:v>
      </x:c>
      <x:c r="P39" s="65"/>
      <x:c r="Q39" s="65"/>
      <x:c r="R39" s="64"/>
      <x:c r="S39" s="66"/>
      <x:c r="T39" s="66"/>
      <x:c r="U39" s="66"/>
      <x:c r="V39" s="66"/>
      <x:c r="W39" s="64"/>
      <x:c r="X39" s="64"/>
      <x:c r="Y39" s="66" t="str">
        <x:v>н.п.</x:v>
      </x:c>
      <x:c r="Z39" s="64"/>
      <x:c r="AA39" s="64"/>
      <x:c r="AB39" s="66"/>
      <x:c r="AC39" s="66"/>
      <x:c r="AD39" s="66"/>
      <x:c r="AE39" s="66"/>
      <x:c r="AF39" s="66" t="n">
        <x:f>SUM('Расчетные показатели'!E722:E732)</x:f>
        <x:v>-8695</x:v>
      </x:c>
      <x:c r="AG39" s="64" t="n">
        <x:f>'Расчетные показатели'!E733</x:f>
        <x:v>22584</x:v>
      </x:c>
      <x:c r="AH39" s="64"/>
      <x:c r="AI39" s="64" t="str">
        <x:v>н.п.</x:v>
      </x:c>
      <x:c r="AJ39" s="64"/>
      <x:c r="AK39" s="64" t="str">
        <x:v>н.д.</x:v>
      </x:c>
      <x:c r="AL39" s="64"/>
      <x:c r="AM39" s="64"/>
      <x:c r="AN39" s="64"/>
      <x:c r="AO39" s="64"/>
      <x:c r="AP39" s="64"/>
      <x:c r="AQ39" s="64"/>
      <x:c r="AR39" s="64"/>
      <x:c r="AS39" s="65"/>
      <x:c r="AT39" s="65" t="str">
        <x:f>IF(COUNT(E39,R39)=2,E39-R39,"не сверено")</x:f>
        <x:v>не сверено</x:v>
      </x:c>
      <x:c r="AU39" s="65" t="str">
        <x:f>IF(COUNT(F39,W39)=2,F39-W39,"не сверено")</x:f>
        <x:v>не сверено</x:v>
      </x:c>
      <x:c r="AV39" s="65" t="str">
        <x:f>IF(COUNT(G39,Y39)=2,G39-Y39,"не сверено")</x:f>
        <x:v>не сверено</x:v>
      </x:c>
      <x:c r="AW39" s="65" t="n">
        <x:f>IF(COUNT(J39,AG39)=2,J39-AG39,"не сверено")</x:f>
        <x:v>0</x:v>
      </x:c>
      <x:c r="AX39" s="65" t="str">
        <x:f>IF(COUNT(K39,AI39)=2,K39-AI39,"не сверено")</x:f>
        <x:v>не сверено</x:v>
      </x:c>
      <x:c r="AY39" s="65" t="str">
        <x:f>IF(COUNT(I39,Z39)=2,I39-Z39,"не сверено")</x:f>
        <x:v>не сверено</x:v>
      </x:c>
      <x:c r="AZ39" s="65" t="str">
        <x:f>IF(COUNT(L39,AM39)=2,L39-AM39,"не сверено")</x:f>
        <x:v>не сверено</x:v>
      </x:c>
      <x:c r="BA39" s="65" t="str">
        <x:f>IF(COUNT(M39,AP39)=2,M39-AP39,"не сверено")</x:f>
        <x:v>не сверено</x:v>
      </x:c>
      <x:c r="BB39" s="65"/>
      <x:c r="BC39" s="67"/>
      <x:c r="BD39" s="67"/>
      <x:c r="BE39" s="67"/>
      <x:c r="BF39" s="67" t="str">
        <x:v>VKCO_FY.pdf; PDF стр. 9, 41, 59</x:v>
      </x:c>
      <x:c r="BG39" s="67" t="str">
        <x:v>VKCO_FY.pdf; PDF стр. 41; расчет: строки 717–733</x:v>
      </x:c>
      <x:c r="BH39" s="67"/>
      <x:c r="BI39" s="67"/>
      <x:c r="BJ39" s="67" t="str">
        <x:v>Нужны раскрытые капитализированные затраты для аналитического EBITDAC. Нули не подставлены.</x:v>
      </x:c>
      <x:c r="BK39" s="67"/>
      <x:c r="BL39" s="67" t="str">
        <x:v>VKCO_FY.pdf; PDF стр. 10, 14, 63</x:v>
      </x:c>
      <x:c r="BM39" s="67" t="str">
        <x:v>VKCO_FY.pdf; PDF стр. 14</x:v>
      </x:c>
      <x:c r="BN39" s="65"/>
      <x:c r="BO39" s="65"/>
      <x:c r="BP39" s="65"/>
      <x:c r="BQ39" s="65"/>
      <x:c r="BR39" s="67" t="str">
        <x:v>Перенос из v3. Полная сверка всех показателей не завершена.</x:v>
      </x:c>
      <x:c r="BS39" s="65" t="n">
        <x:f>'Расчетные показатели'!E722</x:f>
        <x:v>1261</x:v>
      </x:c>
      <x:c r="BT39" s="65" t="n">
        <x:f>'Расчетные показатели'!E725</x:f>
        <x:v>-184</x:v>
      </x:c>
      <x:c r="BU39" s="65"/>
      <x:c r="BV39" s="65" t="n">
        <x:f>'Расчетные показатели'!E731</x:f>
        <x:v>-3161</x:v>
      </x:c>
      <x:c r="BW39" s="65"/>
      <x:c r="BX39" s="65"/>
      <x:c r="BY39" s="65" t="n">
        <x:f>'Расчетные показатели'!E723</x:f>
        <x:v>-5880</x:v>
      </x:c>
      <x:c r="BZ39" s="65" t="n">
        <x:f>'Расчетные показатели'!E724</x:f>
        <x:v>-4584</x:v>
      </x:c>
      <x:c r="CA39" s="65" t="n">
        <x:f>'Расчетные показатели'!E727</x:f>
        <x:v>0</x:v>
      </x:c>
      <x:c r="CB39" s="65"/>
      <x:c r="CC39" s="65"/>
      <x:c r="CD39" s="65"/>
      <x:c r="CE39" s="65"/>
      <x:c r="CF39" s="65"/>
      <x:c r="CG39" s="65"/>
      <x:c r="CH39" s="65"/>
      <x:c r="CI39" s="65"/>
      <x:c r="CJ39" s="65"/>
      <x:c r="CK39" s="65"/>
      <x:c r="CL39" s="65"/>
      <x:c r="CM39" s="65"/>
      <x:c r="CN39" s="65"/>
    </x:row>
    <x:row r="40" ht="16.5">
      <x:c r="A40"/>
      <x:c r="B40" s="3">
        <x:v>34</x:v>
      </x:c>
      <x:c r="C40" s="3" t="s">
        <x:v>116</x:v>
      </x:c>
      <x:c r="D40"/>
      <x:c r="E40" s="64"/>
      <x:c r="F40" s="64"/>
      <x:c r="G40" s="64"/>
      <x:c r="H40" s="64" t="n">
        <x:f>'Расчетные показатели'!E193</x:f>
        <x:v>396450.473</x:v>
      </x:c>
      <x:c r="I40" s="64"/>
      <x:c r="J40" s="64" t="n">
        <x:f>'Расчетные показатели'!E673</x:f>
        <x:v>55970.753000000004</x:v>
      </x:c>
      <x:c r="K40" s="64"/>
      <x:c r="L40" s="64"/>
      <x:c r="M40" s="64"/>
      <x:c r="N40" s="64" t="n">
        <x:f>'Расчетные показатели'!E195</x:f>
        <x:v>18530.403</x:v>
      </x:c>
      <x:c r="O40" s="64" t="n">
        <x:f>'Расчетные показатели'!E196</x:f>
        <x:v>239526.265</x:v>
      </x:c>
      <x:c r="P40" s="65"/>
      <x:c r="Q40" s="65"/>
      <x:c r="R40" s="64"/>
      <x:c r="S40" s="66"/>
      <x:c r="T40" s="66"/>
      <x:c r="U40" s="66"/>
      <x:c r="V40" s="66"/>
      <x:c r="W40" s="64"/>
      <x:c r="X40" s="64"/>
      <x:c r="Y40" s="66" t="str">
        <x:v>н.п.</x:v>
      </x:c>
      <x:c r="Z40" s="64"/>
      <x:c r="AA40" s="64"/>
      <x:c r="AB40" s="66"/>
      <x:c r="AC40" s="66"/>
      <x:c r="AD40" s="66"/>
      <x:c r="AE40" s="66"/>
      <x:c r="AF40" s="66" t="n">
        <x:f>SUM('Расчетные показатели'!E671:E672)</x:f>
        <x:v>-630.138</x:v>
      </x:c>
      <x:c r="AG40" s="64" t="n">
        <x:f>'Расчетные показатели'!E673</x:f>
        <x:v>55970.753000000004</x:v>
      </x:c>
      <x:c r="AH40" s="64"/>
      <x:c r="AI40" s="64" t="str">
        <x:v>н.п.</x:v>
      </x:c>
      <x:c r="AJ40" s="64"/>
      <x:c r="AK40" s="64" t="str">
        <x:v>н.п.</x:v>
      </x:c>
      <x:c r="AL40" s="64"/>
      <x:c r="AM40" s="64"/>
      <x:c r="AN40" s="64"/>
      <x:c r="AO40" s="64"/>
      <x:c r="AP40" s="64"/>
      <x:c r="AQ40" s="64"/>
      <x:c r="AR40" s="64"/>
      <x:c r="AS40" s="65"/>
      <x:c r="AT40" s="65" t="str">
        <x:f>IF(COUNT(E40,R40)=2,E40-R40,"не сверено")</x:f>
        <x:v>не сверено</x:v>
      </x:c>
      <x:c r="AU40" s="65" t="str">
        <x:f>IF(COUNT(F40,W40)=2,F40-W40,"не сверено")</x:f>
        <x:v>не сверено</x:v>
      </x:c>
      <x:c r="AV40" s="65" t="str">
        <x:f>IF(COUNT(G40,Y40)=2,G40-Y40,"не сверено")</x:f>
        <x:v>не сверено</x:v>
      </x:c>
      <x:c r="AW40" s="65" t="n">
        <x:f>IF(COUNT(J40,AG40)=2,J40-AG40,"не сверено")</x:f>
        <x:v>0</x:v>
      </x:c>
      <x:c r="AX40" s="65" t="str">
        <x:f>IF(COUNT(K40,AI40)=2,K40-AI40,"не сверено")</x:f>
        <x:v>не сверено</x:v>
      </x:c>
      <x:c r="AY40" s="65" t="str">
        <x:f>IF(COUNT(I40,Z40)=2,I40-Z40,"не сверено")</x:f>
        <x:v>не сверено</x:v>
      </x:c>
      <x:c r="AZ40" s="65" t="str">
        <x:f>IF(COUNT(L40,AM40)=2,L40-AM40,"не сверено")</x:f>
        <x:v>не сверено</x:v>
      </x:c>
      <x:c r="BA40" s="65" t="str">
        <x:f>IF(COUNT(M40,AP40)=2,M40-AP40,"не сверено")</x:f>
        <x:v>не сверено</x:v>
      </x:c>
      <x:c r="BB40" s="65"/>
      <x:c r="BC40" s="67"/>
      <x:c r="BD40" s="67"/>
      <x:c r="BE40" s="67"/>
      <x:c r="BF40" s="67" t="str">
        <x:v>RAGR_FY_IFRS.pdf; PDF стр. 8, 47, 66, 68</x:v>
      </x:c>
      <x:c r="BG40" s="67" t="str">
        <x:v>RAGR_FY_IFRS.pdf; PDF стр. 68; расчет: строки 669–673</x:v>
      </x:c>
      <x:c r="BH40" s="67"/>
      <x:c r="BI40" s="67"/>
      <x:c r="BJ40" s="67"/>
      <x:c r="BK40" s="67"/>
      <x:c r="BL40" s="67" t="str">
        <x:v>RAGR_FY_IFRS.pdf; PDF стр. 8, 9, 64</x:v>
      </x:c>
      <x:c r="BM40" s="67" t="str">
        <x:v>RAGR_FY_IFRS.pdf; страница не подтверждена</x:v>
      </x:c>
      <x:c r="BN40" s="65"/>
      <x:c r="BO40" s="65"/>
      <x:c r="BP40" s="65"/>
      <x:c r="BQ40" s="65"/>
      <x:c r="BR40" s="67" t="str">
        <x:v>Перенос из v3. Полная сверка всех показателей не завершена.</x:v>
      </x:c>
      <x:c r="BS40" s="65"/>
      <x:c r="BT40" s="65"/>
      <x:c r="BU40" s="65"/>
      <x:c r="BV40" s="65"/>
      <x:c r="BW40" s="65" t="n">
        <x:f>'Расчетные показатели'!E671</x:f>
        <x:v>-833.937</x:v>
      </x:c>
      <x:c r="BX40" s="65" t="n">
        <x:f>'Расчетные показатели'!E672</x:f>
        <x:v>203.799</x:v>
      </x:c>
      <x:c r="BY40" s="65"/>
      <x:c r="BZ40" s="65"/>
      <x:c r="CA40" s="65"/>
      <x:c r="CB40" s="65"/>
      <x:c r="CC40" s="65"/>
      <x:c r="CD40" s="65"/>
      <x:c r="CE40" s="65"/>
      <x:c r="CF40" s="65"/>
      <x:c r="CG40" s="65"/>
      <x:c r="CH40" s="65"/>
      <x:c r="CI40" s="65"/>
      <x:c r="CJ40" s="65"/>
      <x:c r="CK40" s="65"/>
      <x:c r="CL40" s="65"/>
      <x:c r="CM40" s="65"/>
      <x:c r="CN40" s="65"/>
    </x:row>
  </x:sheetData>
  <x:mergeCells>
    <x:mergeCell ref="B5:C5"/>
    <x:mergeCell ref="E5:O5"/>
    <x:mergeCell ref="AA5:AH5"/>
    <x:mergeCell ref="AJ5:AT5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2" max="2" width="13" hidden="0" customWidth="1"/>
    <x:col min="1" max="1" width="12" hidden="0" customWidth="1"/>
    <x:col min="3" max="3" width="32" hidden="0" customWidth="1"/>
    <x:col min="4" max="4" width="65" hidden="0" customWidth="1"/>
    <x:col min="5" max="5" width="20" hidden="0" customWidth="1"/>
    <x:col min="6" max="6" width="45" hidden="0" customWidth="1"/>
    <x:col min="7" max="7" width="15" hidden="0" customWidth="1"/>
    <x:col min="8" max="8" width="65" hidden="0" customWidth="1"/>
    <x:col min="9" max="9" width="20" hidden="0" customWidth="1"/>
    <x:col min="10" max="10" width="20" hidden="0" customWidth="1"/>
    <x:col min="11" max="11" width="24" hidden="0" customWidth="1"/>
  </x:cols>
  <x:sheetData>
    <x:row r="1" ht="38" customHeight="1">
      <x:c r="A1" s="58" t="str">
        <x:v>Компания</x:v>
      </x:c>
      <x:c r="B1" s="58" t="str">
        <x:v>Период</x:v>
      </x:c>
      <x:c r="C1" s="58" t="str">
        <x:v>Версия / показатель</x:v>
      </x:c>
      <x:c r="D1" s="58" t="str">
        <x:v>Компонент / строка</x:v>
      </x:c>
      <x:c r="E1" s="58" t="str">
        <x:v>млн руб.</x:v>
      </x:c>
      <x:c r="F1" s="58" t="str">
        <x:v>Документ</x:v>
      </x:c>
      <x:c r="G1" s="58" t="str">
        <x:v>Страница PDF</x:v>
      </x:c>
      <x:c r="H1" s="58" t="str">
        <x:v>Метод / статус</x:v>
      </x:c>
      <x:c r="I1" s="58" t="str">
        <x:v>Раскрытый итог</x:v>
      </x:c>
      <x:c r="J1" s="58" t="str">
        <x:v>Расхождение</x:v>
      </x:c>
      <x:c r="K1" s="58" t="str">
        <x:v>База до корректировок</x:v>
      </x:c>
    </x:row>
    <x:row r="2" ht="15" hidden="0" customHeight="1">
      <x:c r="A2" t="str">
        <x:v>LKOH</x:v>
      </x:c>
      <x:c r="B2" t="str">
        <x:v>2025</x:v>
      </x:c>
      <x:c r="C2" s="73" t="str">
        <x:v>Выручка</x:v>
      </x:c>
      <x:c r="D2" s="73" t="str">
        <x:v>Раскрытое значение / ранее внесенное значение</x:v>
      </x:c>
      <x:c r="E2" s="74" t="n">
        <x:v>3767768</x:v>
      </x:c>
      <x:c r="F2" s="73" t="str">
        <x:v>Лукойл_МСФО_2025.pdf</x:v>
      </x:c>
      <x:c r="G2" s="73" t="str">
        <x:v>7, 46, 47</x:v>
      </x:c>
      <x:c r="H2" s="73" t="str">
        <x:v>Страница найдена по сумме; определение требует сверки</x:v>
      </x:c>
      <x:c r="I2" s="69"/>
      <x:c r="J2" s="69"/>
      <x:c r="K2" s="69"/>
    </x:row>
    <x:row r="3" ht="15" hidden="0" customHeight="1">
      <x:c r="A3" t="str">
        <x:v>LKOH</x:v>
      </x:c>
      <x:c r="B3" t="str">
        <x:v>2025</x:v>
      </x:c>
      <x:c r="C3" s="73" t="str">
        <x:v>EBITDA</x:v>
      </x:c>
      <x:c r="D3" s="73" t="str">
        <x:v>Раскрытое значение / ранее внесенное значение</x:v>
      </x:c>
      <x:c r="E3" s="74" t="n">
        <x:v>892086</x:v>
      </x:c>
      <x:c r="F3" s="73" t="str">
        <x:v>Лукойл_МСФО_2025.pdf</x:v>
      </x:c>
      <x:c r="G3" s="73" t="str">
        <x:v>46</x:v>
      </x:c>
      <x:c r="H3" s="73" t="str">
        <x:v>Страница найдена по сумме; определение требует сверки</x:v>
      </x:c>
      <x:c r="I3" s="69"/>
      <x:c r="J3" s="69"/>
      <x:c r="K3" s="69"/>
    </x:row>
    <x:row r="4" ht="15" hidden="0" customHeight="1">
      <x:c r="A4" t="str">
        <x:v>LKOH</x:v>
      </x:c>
      <x:c r="B4" s="7" t="str">
        <x:v>2025</x:v>
      </x:c>
      <x:c r="C4" s="75" t="str">
        <x:v>ЧП акционеров</x:v>
      </x:c>
      <x:c r="D4" s="75" t="str">
        <x:v>Раскрытое значение / ранее внесенное значение</x:v>
      </x:c>
      <x:c r="E4" s="70" t="n">
        <x:v>-1064269</x:v>
      </x:c>
      <x:c r="F4" s="75" t="str">
        <x:v>Лукойл_МСФО_2025.pdf</x:v>
      </x:c>
      <x:c r="G4" s="75" t="str">
        <x:v>7, 8, 9, 38</x:v>
      </x:c>
      <x:c r="H4" s="75" t="str">
        <x:v>Страница найдена по сумме; определение требует сверки</x:v>
      </x:c>
      <x:c r="I4" s="72"/>
      <x:c r="J4" s="72"/>
      <x:c r="K4" s="69"/>
    </x:row>
    <x:row r="5" ht="15" hidden="0" customHeight="1">
      <x:c r="A5" t="str">
        <x:v>LKOH</x:v>
      </x:c>
      <x:c r="B5" t="str">
        <x:v>2025</x:v>
      </x:c>
      <x:c r="C5" s="73" t="str">
        <x:v>Капитал акционеров</x:v>
      </x:c>
      <x:c r="D5" s="73" t="str">
        <x:v>Раскрытое значение / ранее внесенное значение</x:v>
      </x:c>
      <x:c r="E5" s="74" t="n">
        <x:v>3358003</x:v>
      </x:c>
      <x:c r="F5" s="73" t="str">
        <x:v>Лукойл_МСФО_2025.pdf</x:v>
      </x:c>
      <x:c r="G5" s="73" t="str">
        <x:v>6, 8</x:v>
      </x:c>
      <x:c r="H5" s="73" t="str">
        <x:v>Страница найдена по сумме; определение требует сверки</x:v>
      </x:c>
      <x:c r="I5" s="69"/>
      <x:c r="J5" s="69"/>
      <x:c r="K5" s="69"/>
    </x:row>
    <x:row r="6" ht="15" hidden="0" customHeight="1">
      <x:c r="A6" t="str">
        <x:v>LKOH</x:v>
      </x:c>
      <x:c r="B6" t="str">
        <x:v>2025</x:v>
      </x:c>
      <x:c r="C6" s="73" t="str">
        <x:v>Краткосрочный долг</x:v>
      </x:c>
      <x:c r="D6" s="73" t="str">
        <x:v>Раскрытое значение / ранее внесенное значение</x:v>
      </x:c>
      <x:c r="E6" s="74" t="n">
        <x:v>80890</x:v>
      </x:c>
      <x:c r="F6" s="73" t="str">
        <x:v>Лукойл_МСФО_2025.pdf</x:v>
      </x:c>
      <x:c r="G6" s="73" t="str">
        <x:v>6, 33</x:v>
      </x:c>
      <x:c r="H6" s="73" t="str">
        <x:v>Страница найдена по сумме; определение требует сверки</x:v>
      </x:c>
      <x:c r="I6" s="69"/>
      <x:c r="J6" s="69"/>
      <x:c r="K6" s="69"/>
    </x:row>
    <x:row r="7" ht="15" hidden="0" customHeight="1">
      <x:c r="A7" t="str">
        <x:v>LKOH</x:v>
      </x:c>
      <x:c r="B7" t="str">
        <x:v>2025</x:v>
      </x:c>
      <x:c r="C7" s="73" t="str">
        <x:v>Долгосрочный долг</x:v>
      </x:c>
      <x:c r="D7" s="73" t="str">
        <x:v>Раскрытое значение / ранее внесенное значение</x:v>
      </x:c>
      <x:c r="E7" s="74" t="n">
        <x:v>237122</x:v>
      </x:c>
      <x:c r="F7" s="73" t="str">
        <x:v>Лукойл_МСФО_2025.pdf</x:v>
      </x:c>
      <x:c r="G7" s="73" t="str">
        <x:v>6, 33</x:v>
      </x:c>
      <x:c r="H7" s="73" t="str">
        <x:v>Страница найдена по сумме; определение требует сверки</x:v>
      </x:c>
      <x:c r="I7" s="69"/>
      <x:c r="J7" s="69"/>
      <x:c r="K7" s="69"/>
    </x:row>
    <x:row r="8" ht="15" hidden="0" customHeight="1">
      <x:c r="A8" t="str">
        <x:v>LKOH</x:v>
      </x:c>
      <x:c r="B8" t="str">
        <x:v>2025</x:v>
      </x:c>
      <x:c r="C8" s="73" t="str">
        <x:v>Денежные средства</x:v>
      </x:c>
      <x:c r="D8" s="73" t="str">
        <x:v>Раскрытое значение / ранее внесенное значение</x:v>
      </x:c>
      <x:c r="E8" s="74" t="n">
        <x:v>543815</x:v>
      </x:c>
      <x:c r="F8" s="73" t="str">
        <x:v>Лукойл_МСФО_2025.pdf</x:v>
      </x:c>
      <x:c r="G8" s="73" t="str">
        <x:v>6, 9, 26, 53</x:v>
      </x:c>
      <x:c r="H8" s="73" t="str">
        <x:v>Страница найдена по сумме; определение требует сверки</x:v>
      </x:c>
      <x:c r="I8" s="69"/>
      <x:c r="J8" s="69"/>
      <x:c r="K8" s="69"/>
    </x:row>
    <x:row r="9" ht="15" hidden="0" customHeight="1">
      <x:c r="A9" t="str">
        <x:v>LKOH</x:v>
      </x:c>
      <x:c r="B9" t="str">
        <x:v>2025</x:v>
      </x:c>
      <x:c r="C9" s="73" t="str">
        <x:v>Операционная прибыль</x:v>
      </x:c>
      <x:c r="D9" s="73" t="str">
        <x:v>Раскрытое значение / ранее внесенное значение</x:v>
      </x:c>
      <x:c r="E9" s="74" t="n">
        <x:v>526646</x:v>
      </x:c>
      <x:c r="F9" s="73" t="str">
        <x:v>Лукойл_МСФО_2025.pdf</x:v>
      </x:c>
      <x:c r="G9" s="73" t="str">
        <x:v>7</x:v>
      </x:c>
      <x:c r="H9" s="73" t="str">
        <x:v>Страница найдена по сумме; определение требует сверки</x:v>
      </x:c>
      <x:c r="I9" s="69"/>
      <x:c r="J9" s="69"/>
      <x:c r="K9" s="69"/>
    </x:row>
    <x:row r="10" ht="15" hidden="0" customHeight="1">
      <x:c r="A10" t="str">
        <x:v>LKOH</x:v>
      </x:c>
      <x:c r="B10" t="str">
        <x:v>2025</x:v>
      </x:c>
      <x:c r="C10" s="73" t="str">
        <x:v>Амортизация</x:v>
      </x:c>
      <x:c r="D10" s="73" t="str">
        <x:v>Раскрытое значение / ранее внесенное значение</x:v>
      </x:c>
      <x:c r="E10" s="74" t="n">
        <x:v>365440</x:v>
      </x:c>
      <x:c r="F10" s="73" t="str">
        <x:v>Лукойл_МСФО_2025.pdf</x:v>
      </x:c>
      <x:c r="G10" s="73" t="str">
        <x:v>7, 46</x:v>
      </x:c>
      <x:c r="H10" s="73" t="str">
        <x:v>Страница найдена по сумме; определение требует сверки</x:v>
      </x:c>
      <x:c r="I10" s="69"/>
      <x:c r="J10" s="69"/>
      <x:c r="K10" s="69"/>
    </x:row>
    <x:row r="11" ht="15" hidden="0" customHeight="1">
      <x:c r="A11" t="str">
        <x:v>LKOH</x:v>
      </x:c>
      <x:c r="B11" t="str">
        <x:v>2025</x:v>
      </x:c>
      <x:c r="C11" s="73" t="str">
        <x:v>Арендные обязательства вне кредитов</x:v>
      </x:c>
      <x:c r="D11" s="73" t="str">
        <x:v>Раскрытое значение / ранее внесенное значение</x:v>
      </x:c>
      <x:c r="E11" s="74" t="n">
        <x:v>0</x:v>
      </x:c>
      <x:c r="F11" s="73" t="str">
        <x:v>Лукойл_МСФО_2025.pdf</x:v>
      </x:c>
      <x:c r="G11" s="73" t="str"/>
      <x:c r="H11" s="73" t="str">
        <x:v>Страница пока не подтверждена</x:v>
      </x:c>
      <x:c r="I11" s="69"/>
      <x:c r="J11" s="69"/>
      <x:c r="K11" s="69"/>
    </x:row>
    <x:row r="12" ht="15" hidden="0" customHeight="1">
      <x:c r="A12" t="str">
        <x:v>GAZP</x:v>
      </x:c>
      <x:c r="B12" t="str">
        <x:v>2025</x:v>
      </x:c>
      <x:c r="C12" s="73" t="str">
        <x:v>Выручка</x:v>
      </x:c>
      <x:c r="D12" s="73" t="str">
        <x:v>Раскрытое значение / ранее внесенное значение</x:v>
      </x:c>
      <x:c r="E12" s="74" t="n">
        <x:v>9770671</x:v>
      </x:c>
      <x:c r="F12" s="73" t="str">
        <x:v>МСФО_Газпром_2025.pdf</x:v>
      </x:c>
      <x:c r="G12" s="73" t="str">
        <x:v>28, 29, 51</x:v>
      </x:c>
      <x:c r="H12" s="73" t="str">
        <x:v>Страница найдена по сумме; определение требует сверки</x:v>
      </x:c>
      <x:c r="I12" s="69"/>
      <x:c r="J12" s="69"/>
      <x:c r="K12" s="69"/>
    </x:row>
    <x:row r="13" ht="15" hidden="0" customHeight="1">
      <x:c r="A13" t="str">
        <x:v>GAZP</x:v>
      </x:c>
      <x:c r="B13" t="str">
        <x:v>2025</x:v>
      </x:c>
      <x:c r="C13" s="73" t="str">
        <x:v>EBITDA</x:v>
      </x:c>
      <x:c r="D13" s="73" t="str">
        <x:v>Раскрытое значение / ранее внесенное значение</x:v>
      </x:c>
      <x:c r="E13" s="74" t="n">
        <x:v>2917332</x:v>
      </x:c>
      <x:c r="F13" s="73" t="str">
        <x:v>МСФО_Газпром_2025.pdf</x:v>
      </x:c>
      <x:c r="G13" s="73" t="str"/>
      <x:c r="H13" s="73" t="str">
        <x:v>Страница пока не подтверждена</x:v>
      </x:c>
      <x:c r="I13" s="69"/>
      <x:c r="J13" s="69"/>
      <x:c r="K13" s="69"/>
    </x:row>
    <x:row r="14" ht="15" hidden="0" customHeight="1">
      <x:c r="A14" t="str">
        <x:v>GAZP</x:v>
      </x:c>
      <x:c r="B14" t="str">
        <x:v>2025</x:v>
      </x:c>
      <x:c r="C14" s="73" t="str">
        <x:v>ЧП акционеров</x:v>
      </x:c>
      <x:c r="D14" s="73" t="str">
        <x:v>Раскрытое значение / ранее внесенное значение</x:v>
      </x:c>
      <x:c r="E14" s="74" t="n">
        <x:v>1306777</x:v>
      </x:c>
      <x:c r="F14" s="73" t="str">
        <x:v>МСФО_Газпром_2025.pdf</x:v>
      </x:c>
      <x:c r="G14" s="73" t="str">
        <x:v>52</x:v>
      </x:c>
      <x:c r="H14" s="73" t="str">
        <x:v>Страница найдена по сумме; определение требует сверки</x:v>
      </x:c>
      <x:c r="I14" s="69"/>
      <x:c r="J14" s="69"/>
      <x:c r="K14" s="69"/>
    </x:row>
    <x:row r="15" ht="15" hidden="0" customHeight="1">
      <x:c r="A15" t="str">
        <x:v>GAZP</x:v>
      </x:c>
      <x:c r="B15" t="str">
        <x:v>2025</x:v>
      </x:c>
      <x:c r="C15" s="73" t="str">
        <x:v>Капитал акционеров</x:v>
      </x:c>
      <x:c r="D15" s="73" t="str">
        <x:v>Раскрытое значение / ранее внесенное значение</x:v>
      </x:c>
      <x:c r="E15" s="74" t="n">
        <x:v>17382464</x:v>
      </x:c>
      <x:c r="F15" s="73" t="str">
        <x:v>МСФО_Газпром_2025.pdf</x:v>
      </x:c>
      <x:c r="G15" s="73" t="str"/>
      <x:c r="H15" s="73" t="str">
        <x:v>Страница пока не подтверждена</x:v>
      </x:c>
      <x:c r="I15" s="69"/>
      <x:c r="J15" s="69"/>
      <x:c r="K15" s="69"/>
    </x:row>
    <x:row r="16" ht="15" hidden="0" customHeight="1">
      <x:c r="A16" t="str">
        <x:v>YDEX</x:v>
      </x:c>
      <x:c r="B16" t="str">
        <x:v>2025</x:v>
      </x:c>
      <x:c r="C16" s="73" t="str">
        <x:v>Скорр. чистый долг</x:v>
      </x:c>
      <x:c r="D16" s="73" t="str">
        <x:v>Раскрытое значение / ранее внесенное значение</x:v>
      </x:c>
      <x:c r="E16" s="74" t="n">
        <x:v>47705</x:v>
      </x:c>
      <x:c r="F16" s="73" t="str">
        <x:v>МСФО_Яндекс_2025.pdf</x:v>
      </x:c>
      <x:c r="G16" s="73" t="str"/>
      <x:c r="H16" s="73" t="str">
        <x:v>Страница пока не подтверждена</x:v>
      </x:c>
      <x:c r="I16" s="69"/>
      <x:c r="J16" s="69"/>
      <x:c r="K16" s="69"/>
    </x:row>
    <x:row r="17" ht="15" hidden="0" customHeight="1">
      <x:c r="A17" t="str">
        <x:v>YDEX</x:v>
      </x:c>
      <x:c r="B17" t="str">
        <x:v>2025</x:v>
      </x:c>
      <x:c r="C17" s="73" t="str">
        <x:v>Выручка</x:v>
      </x:c>
      <x:c r="D17" s="73" t="str">
        <x:v>Раскрытое значение / ранее внесенное значение</x:v>
      </x:c>
      <x:c r="E17" s="74" t="n">
        <x:v>1441098</x:v>
      </x:c>
      <x:c r="F17" s="73" t="str">
        <x:v>МСФО_Яндекс_2025.pdf</x:v>
      </x:c>
      <x:c r="G17" s="73" t="str">
        <x:v>8, 28, 34</x:v>
      </x:c>
      <x:c r="H17" s="73" t="str">
        <x:v>Страница найдена по сумме; определение требует сверки</x:v>
      </x:c>
      <x:c r="I17" s="69"/>
      <x:c r="J17" s="69"/>
      <x:c r="K17" s="69"/>
    </x:row>
    <x:row r="18" ht="15" hidden="0" customHeight="1">
      <x:c r="A18" t="str">
        <x:v>YDEX</x:v>
      </x:c>
      <x:c r="B18" t="str">
        <x:v>2025</x:v>
      </x:c>
      <x:c r="C18" s="73" t="str">
        <x:v>Скорр. EBITDA</x:v>
      </x:c>
      <x:c r="D18" s="73" t="str">
        <x:v>Раскрытое значение / ранее внесенное значение</x:v>
      </x:c>
      <x:c r="E18" s="74" t="n">
        <x:v>280834</x:v>
      </x:c>
      <x:c r="F18" s="73" t="str">
        <x:v>МСФО_Яндекс_2025.pdf</x:v>
      </x:c>
      <x:c r="G18" s="73" t="str">
        <x:v>28</x:v>
      </x:c>
      <x:c r="H18" s="73" t="str">
        <x:v>Страница найдена по сумме; определение требует сверки</x:v>
      </x:c>
      <x:c r="I18" s="69"/>
      <x:c r="J18" s="69"/>
      <x:c r="K18" s="69"/>
    </x:row>
    <x:row r="19" ht="15" hidden="0" customHeight="1">
      <x:c r="A19" t="str">
        <x:v>YDEX</x:v>
      </x:c>
      <x:c r="B19" t="str">
        <x:v>2025</x:v>
      </x:c>
      <x:c r="C19" s="73" t="str">
        <x:v>ЧП акционеров</x:v>
      </x:c>
      <x:c r="D19" s="73" t="str">
        <x:v>Раскрытое значение / ранее внесенное значение</x:v>
      </x:c>
      <x:c r="E19" s="74" t="n">
        <x:v>79579</x:v>
      </x:c>
      <x:c r="F19" s="73" t="str">
        <x:v>МСФО_Яндекс_2025.pdf</x:v>
      </x:c>
      <x:c r="G19" s="73" t="str">
        <x:v>8, 9, 10, 11, 26</x:v>
      </x:c>
      <x:c r="H19" s="73" t="str">
        <x:v>Страница найдена по сумме; определение требует сверки</x:v>
      </x:c>
      <x:c r="I19" s="69"/>
      <x:c r="J19" s="69"/>
      <x:c r="K19" s="69"/>
    </x:row>
    <x:row r="20" ht="15" hidden="0" customHeight="1">
      <x:c r="A20" t="str">
        <x:v>YDEX</x:v>
      </x:c>
      <x:c r="B20" t="str">
        <x:v>2025</x:v>
      </x:c>
      <x:c r="C20" s="73" t="str">
        <x:v>Капитал акционеров</x:v>
      </x:c>
      <x:c r="D20" s="73" t="str">
        <x:v>Раскрытое значение / ранее внесенное значение</x:v>
      </x:c>
      <x:c r="E20" s="74" t="n">
        <x:v>351216</x:v>
      </x:c>
      <x:c r="F20" s="73" t="str">
        <x:v>МСФО_Яндекс_2025.pdf</x:v>
      </x:c>
      <x:c r="G20" s="73" t="str">
        <x:v>11</x:v>
      </x:c>
      <x:c r="H20" s="73" t="str">
        <x:v>Страница найдена по сумме; определение требует сверки</x:v>
      </x:c>
      <x:c r="I20" s="69"/>
      <x:c r="J20" s="69"/>
      <x:c r="K20" s="69"/>
    </x:row>
    <x:row r="21" ht="15" hidden="0" customHeight="1">
      <x:c r="A21" t="str">
        <x:v>YDEX</x:v>
      </x:c>
      <x:c r="B21" t="str">
        <x:v>2025</x:v>
      </x:c>
      <x:c r="C21" s="73" t="str">
        <x:v>Краткосрочный долг</x:v>
      </x:c>
      <x:c r="D21" s="73" t="str">
        <x:v>Раскрытое значение / ранее внесенное значение</x:v>
      </x:c>
      <x:c r="E21" s="74" t="n">
        <x:v>90051</x:v>
      </x:c>
      <x:c r="F21" s="73" t="str">
        <x:v>YDEX_2026H1.pdf</x:v>
      </x:c>
      <x:c r="G21" s="73" t="str">
        <x:v>4</x:v>
      </x:c>
      <x:c r="H21" s="73" t="str">
        <x:v>Сверено с таблицей отчета</x:v>
      </x:c>
      <x:c r="I21" s="69"/>
      <x:c r="J21" s="69"/>
      <x:c r="K21" s="69"/>
    </x:row>
    <x:row r="22" ht="15" hidden="0" customHeight="1">
      <x:c r="A22" t="str">
        <x:v>YDEX</x:v>
      </x:c>
      <x:c r="B22" t="str">
        <x:v>2025</x:v>
      </x:c>
      <x:c r="C22" s="73" t="str">
        <x:v>Долгосрочный долг</x:v>
      </x:c>
      <x:c r="D22" s="73" t="str">
        <x:v>Раскрытое значение / ранее внесенное значение</x:v>
      </x:c>
      <x:c r="E22" s="74" t="n">
        <x:v>179621</x:v>
      </x:c>
      <x:c r="F22" s="73" t="str">
        <x:v>YDEX_2026H1.pdf</x:v>
      </x:c>
      <x:c r="G22" s="73" t="str">
        <x:v>4</x:v>
      </x:c>
      <x:c r="H22" s="73" t="str">
        <x:v>Сверено с таблицей отчета</x:v>
      </x:c>
      <x:c r="I22" s="69"/>
      <x:c r="J22" s="69"/>
      <x:c r="K22" s="69"/>
    </x:row>
    <x:row r="23" ht="15" hidden="0" customHeight="1">
      <x:c r="A23" t="str">
        <x:v>YDEX</x:v>
      </x:c>
      <x:c r="B23" t="str">
        <x:v>2025</x:v>
      </x:c>
      <x:c r="C23" s="73" t="str">
        <x:v>Денежные средства</x:v>
      </x:c>
      <x:c r="D23" s="73" t="str">
        <x:v>Раскрытое значение / ранее внесенное значение</x:v>
      </x:c>
      <x:c r="E23" s="74" t="n">
        <x:v>250210</x:v>
      </x:c>
      <x:c r="F23" s="73" t="str">
        <x:v>YDEX_2026H1.pdf</x:v>
      </x:c>
      <x:c r="G23" s="73" t="str">
        <x:v>4</x:v>
      </x:c>
      <x:c r="H23" s="73" t="str">
        <x:v>Сверено с таблицей отчета</x:v>
      </x:c>
      <x:c r="I23" s="69"/>
      <x:c r="J23" s="69"/>
      <x:c r="K23" s="69"/>
    </x:row>
    <x:row r="24" ht="15" hidden="0" customHeight="1">
      <x:c r="A24" t="str">
        <x:v>YDEX</x:v>
      </x:c>
      <x:c r="B24" t="str">
        <x:v>2025</x:v>
      </x:c>
      <x:c r="C24" s="73" t="str">
        <x:v>Арендные обязательства вне кредитов</x:v>
      </x:c>
      <x:c r="D24" s="73" t="str">
        <x:v>Раскрытое значение / ранее внесенное значение</x:v>
      </x:c>
      <x:c r="E24" s="74" t="n">
        <x:v>90543</x:v>
      </x:c>
      <x:c r="F24" s="73" t="str">
        <x:v>МСФО_Яндекс_2025.pdf</x:v>
      </x:c>
      <x:c r="G24" s="73" t="str">
        <x:v>36, 42</x:v>
      </x:c>
      <x:c r="H24" s="73" t="str">
        <x:v>Страница найдена по сумме; определение требует сверки</x:v>
      </x:c>
      <x:c r="I24" s="69"/>
      <x:c r="J24" s="69"/>
      <x:c r="K24" s="69"/>
    </x:row>
    <x:row r="25" ht="15" hidden="0" customHeight="1">
      <x:c r="A25" t="str">
        <x:v>T</x:v>
      </x:c>
      <x:c r="B25" t="str">
        <x:v>2025</x:v>
      </x:c>
      <x:c r="C25" s="73" t="str">
        <x:v>Выручка</x:v>
      </x:c>
      <x:c r="D25" s="73" t="str">
        <x:v>Раскрытое значение / ранее внесенное значение</x:v>
      </x:c>
      <x:c r="E25" s="74" t="n">
        <x:v>1434494</x:v>
      </x:c>
      <x:c r="F25" s="73" t="str">
        <x:v>Т-Технологии_МСФО_2025.pdf</x:v>
      </x:c>
      <x:c r="G25" s="73" t="str">
        <x:v>27</x:v>
      </x:c>
      <x:c r="H25" s="73" t="str">
        <x:v>Сверено: сегментная выручка группы, млн руб.</x:v>
      </x:c>
      <x:c r="I25" s="69"/>
      <x:c r="J25" s="69"/>
      <x:c r="K25" s="69"/>
    </x:row>
    <x:row r="26" ht="15" hidden="0" customHeight="1">
      <x:c r="A26" t="str">
        <x:v>T</x:v>
      </x:c>
      <x:c r="B26" t="str">
        <x:v>2025</x:v>
      </x:c>
      <x:c r="C26" s="73" t="str">
        <x:v>OIBDA</x:v>
      </x:c>
      <x:c r="D26" s="73" t="str">
        <x:v>Раскрытое значение / ранее внесенное значение</x:v>
      </x:c>
      <x:c r="E26" s="74" t="n">
        <x:v>295253</x:v>
      </x:c>
      <x:c r="F26" s="73" t="str">
        <x:v>Т-Технологии_МСФО_2025.pdf</x:v>
      </x:c>
      <x:c r="G26" s="73" t="str">
        <x:v>9, 89-90</x:v>
      </x:c>
      <x:c r="H26" s="73" t="str">
        <x:v>Аналитический OIBDA: прибыль группы + налог + амортизация; сохранен как отдельная версия</x:v>
      </x:c>
      <x:c r="I26" s="69"/>
      <x:c r="J26" s="69"/>
      <x:c r="K26" s="69"/>
    </x:row>
    <x:row r="27" ht="15" hidden="0" customHeight="1">
      <x:c r="A27" t="str">
        <x:v>T</x:v>
      </x:c>
      <x:c r="B27" t="str">
        <x:v>2025</x:v>
      </x:c>
      <x:c r="C27" s="73" t="str">
        <x:v>ЧП акционеров</x:v>
      </x:c>
      <x:c r="D27" s="73" t="str">
        <x:v>Раскрытое значение / ранее внесенное значение</x:v>
      </x:c>
      <x:c r="E27" s="74" t="n">
        <x:v>177018</x:v>
      </x:c>
      <x:c r="F27" s="73" t="str">
        <x:v>Т-Технологии_МСФО_2025.pdf</x:v>
      </x:c>
      <x:c r="G27" s="73" t="str">
        <x:v>10, 11, 85</x:v>
      </x:c>
      <x:c r="H27" s="73" t="str">
        <x:v>Сверено: прибыль, относящаяся к акционерам Компании</x:v>
      </x:c>
      <x:c r="I27" s="69"/>
      <x:c r="J27" s="69"/>
      <x:c r="K27" s="69"/>
    </x:row>
    <x:row r="28" ht="15" hidden="0" customHeight="1">
      <x:c r="A28" t="str">
        <x:v>T</x:v>
      </x:c>
      <x:c r="B28" t="str">
        <x:v>2025</x:v>
      </x:c>
      <x:c r="C28" s="73" t="str">
        <x:v>Капитал акционеров</x:v>
      </x:c>
      <x:c r="D28" s="73" t="str">
        <x:v>Раскрытое значение / ранее внесенное значение</x:v>
      </x:c>
      <x:c r="E28" s="74" t="n">
        <x:v>683631</x:v>
      </x:c>
      <x:c r="F28" s="73" t="str">
        <x:v>Т-Технологии_МСФО_2025.pdf</x:v>
      </x:c>
      <x:c r="G28" s="73" t="str">
        <x:v>8</x:v>
      </x:c>
      <x:c r="H28" s="73" t="str">
        <x:v>Сверено: капитал, относящийся к акционерам Компании</x:v>
      </x:c>
      <x:c r="I28" s="69"/>
      <x:c r="J28" s="69"/>
      <x:c r="K28" s="69"/>
    </x:row>
    <x:row r="29" ht="15" hidden="0" customHeight="1">
      <x:c r="A29" t="str">
        <x:v>TATN</x:v>
      </x:c>
      <x:c r="B29" t="str">
        <x:v>2025</x:v>
      </x:c>
      <x:c r="C29" s="73" t="str">
        <x:v>Выручка</x:v>
      </x:c>
      <x:c r="D29" s="73" t="str">
        <x:v>Раскрытое значение / ранее внесенное значение</x:v>
      </x:c>
      <x:c r="E29" s="74" t="n">
        <x:v>1818134</x:v>
      </x:c>
      <x:c r="F29" s="73" t="str">
        <x:v>Татнефть_МСФО_2025.pdf</x:v>
      </x:c>
      <x:c r="G29" s="73" t="str">
        <x:v>8</x:v>
      </x:c>
      <x:c r="H29" s="73" t="str">
        <x:v>Сверено: выручка без финансовых услуг</x:v>
      </x:c>
      <x:c r="I29" s="69"/>
      <x:c r="J29" s="69"/>
      <x:c r="K29" s="69"/>
    </x:row>
    <x:row r="30" ht="15" hidden="0" customHeight="1">
      <x:c r="A30" t="str">
        <x:v>TATN</x:v>
      </x:c>
      <x:c r="B30" t="str">
        <x:v>2025</x:v>
      </x:c>
      <x:c r="C30" s="73" t="str">
        <x:v>EBITDA</x:v>
      </x:c>
      <x:c r="D30" s="73" t="str">
        <x:v>Раскрытое значение / ранее внесенное значение</x:v>
      </x:c>
      <x:c r="E30" s="74" t="n">
        <x:v>332877</x:v>
      </x:c>
      <x:c r="F30" s="73" t="str">
        <x:v>Татнефть_МСФО_2025.pdf</x:v>
      </x:c>
      <x:c r="G30" s="73" t="str">
        <x:v>MD&amp;A стр. 8</x:v>
      </x:c>
      <x:c r="H30" s="73" t="str">
        <x:v>Сверено: опубликованная EBITDA 332 877 млн руб.</x:v>
      </x:c>
      <x:c r="I30" s="69"/>
      <x:c r="J30" s="69"/>
      <x:c r="K30" s="69"/>
    </x:row>
    <x:row r="31" ht="15" hidden="0" customHeight="1">
      <x:c r="A31" t="str">
        <x:v>TATN</x:v>
      </x:c>
      <x:c r="B31" t="str">
        <x:v>2025</x:v>
      </x:c>
      <x:c r="C31" s="73" t="str">
        <x:v>ЧП акционеров</x:v>
      </x:c>
      <x:c r="D31" s="73" t="str">
        <x:v>Раскрытое значение / ранее внесенное значение</x:v>
      </x:c>
      <x:c r="E31" s="74" t="n">
        <x:v>158623</x:v>
      </x:c>
      <x:c r="F31" s="73" t="str">
        <x:v>Татнефть_МСФО_2025.pdf</x:v>
      </x:c>
      <x:c r="G31" s="73" t="str">
        <x:v>9</x:v>
      </x:c>
      <x:c r="H31" s="73" t="str">
        <x:v>Сверено: прибыль, относящаяся к акционерам ПАО «Татнефть»</x:v>
      </x:c>
      <x:c r="I31" s="69"/>
      <x:c r="J31" s="69"/>
      <x:c r="K31" s="69"/>
    </x:row>
    <x:row r="32" ht="15" hidden="0" customHeight="1">
      <x:c r="A32" t="str">
        <x:v>TATN</x:v>
      </x:c>
      <x:c r="B32" t="str">
        <x:v>2025</x:v>
      </x:c>
      <x:c r="C32" s="73" t="str">
        <x:v>Капитал акционеров</x:v>
      </x:c>
      <x:c r="D32" s="73" t="str">
        <x:v>Раскрытое значение / ранее внесенное значение</x:v>
      </x:c>
      <x:c r="E32" s="74" t="n">
        <x:v>1322402</x:v>
      </x:c>
      <x:c r="F32" s="73" t="str">
        <x:v>Татнефть_МСФО_2025.pdf</x:v>
      </x:c>
      <x:c r="G32" s="73" t="str">
        <x:v>7, 10</x:v>
      </x:c>
      <x:c r="H32" s="73" t="str">
        <x:v>Сверено: капитал, принадлежащий акционерам ПАО «Татнефть»</x:v>
      </x:c>
      <x:c r="I32" s="69"/>
      <x:c r="J32" s="69"/>
      <x:c r="K32" s="69"/>
    </x:row>
    <x:row r="33" ht="15" hidden="0" customHeight="1">
      <x:c r="A33" t="str">
        <x:v>NVTK</x:v>
      </x:c>
      <x:c r="B33" t="str">
        <x:v>2025</x:v>
      </x:c>
      <x:c r="C33" s="73" t="str">
        <x:v>Чистый долг</x:v>
      </x:c>
      <x:c r="D33" s="73" t="str">
        <x:v>Раскрытое значение / ранее внесенное значение</x:v>
      </x:c>
      <x:c r="E33" s="74" t="n">
        <x:v>-39270</x:v>
      </x:c>
      <x:c r="F33" s="73" t="str">
        <x:v>Отчет эмитента 2025 год для раскрытия.pdf; Novatek FS 12m2025 RUS (disclosable).pdf</x:v>
      </x:c>
      <x:c r="G33" s="73" t="str">
        <x:v>ОЭ PDF стр. 9; МСФО PDF стр. 7</x:v>
      </x:c>
      <x:c r="H33" s="73" t="str">
        <x:v>Опубликованный ЧД -39 270; арифметически подтвержден строками 1284:1287</x:v>
      </x:c>
      <x:c r="I33" s="69"/>
      <x:c r="J33" s="69"/>
      <x:c r="K33" s="69"/>
    </x:row>
    <x:row r="34" ht="15" hidden="0" customHeight="1">
      <x:c r="A34" t="str">
        <x:v>NVTK</x:v>
      </x:c>
      <x:c r="B34" t="str">
        <x:v>2025</x:v>
      </x:c>
      <x:c r="C34" s="73" t="str">
        <x:v>Выручка</x:v>
      </x:c>
      <x:c r="D34" s="73" t="str">
        <x:v>Раскрытое значение / ранее внесенное значение</x:v>
      </x:c>
      <x:c r="E34" s="74" t="n">
        <x:v>1445593</x:v>
      </x:c>
      <x:c r="F34" s="73" t="str">
        <x:v>Novatek FS 12m2025 RUS (disclosable).pdf</x:v>
      </x:c>
      <x:c r="G34" s="73" t="str">
        <x:v>PDF стр. 8</x:v>
      </x:c>
      <x:c r="H34" s="73" t="str">
        <x:v>Сверено: выручка</x:v>
      </x:c>
      <x:c r="I34" s="69"/>
      <x:c r="J34" s="69"/>
      <x:c r="K34" s="69"/>
    </x:row>
    <x:row r="35" ht="15" hidden="0" customHeight="1">
      <x:c r="A35" t="str">
        <x:v>NVTK</x:v>
      </x:c>
      <x:c r="B35" t="str">
        <x:v>2025</x:v>
      </x:c>
      <x:c r="C35" s="73" t="str">
        <x:v>Скорр. EBITDA</x:v>
      </x:c>
      <x:c r="D35" s="73" t="str">
        <x:v>Раскрытое значение / ранее внесенное значение</x:v>
      </x:c>
      <x:c r="E35" s="74" t="n">
        <x:v>859306</x:v>
      </x:c>
      <x:c r="F35" s="73" t="str">
        <x:v>Отчет эмитента 2025 год для раскрытия.pdf</x:v>
      </x:c>
      <x:c r="G35" s="73" t="str">
        <x:v>PDF стр. 9</x:v>
      </x:c>
      <x:c r="H35" s="73" t="str">
        <x:v>Нормализованная EBITDA 859 306; классифицирована как скорректированная по определению компании</x:v>
      </x:c>
      <x:c r="I35" s="69"/>
      <x:c r="J35" s="69"/>
      <x:c r="K35" s="69"/>
    </x:row>
    <x:row r="36" ht="15" hidden="0" customHeight="1">
      <x:c r="A36" t="str">
        <x:v>NVTK</x:v>
      </x:c>
      <x:c r="B36" t="str">
        <x:v>2025</x:v>
      </x:c>
      <x:c r="C36" s="73" t="str">
        <x:v>ЧП акционеров</x:v>
      </x:c>
      <x:c r="D36" s="73" t="str">
        <x:v>Раскрытое значение / ранее внесенное значение</x:v>
      </x:c>
      <x:c r="E36" s="74" t="n">
        <x:v>183027</x:v>
      </x:c>
      <x:c r="F36" s="73" t="str">
        <x:v>Novatek FS 12m2025 RUS (disclosable).pdf</x:v>
      </x:c>
      <x:c r="G36" s="73" t="str">
        <x:v>PDF стр. 8</x:v>
      </x:c>
      <x:c r="H36" s="73" t="str">
        <x:v>Сверено: прибыль, относящаяся к акционерам ПАО «НОВАТЭК»</x:v>
      </x:c>
      <x:c r="I36" s="69"/>
      <x:c r="J36" s="69"/>
      <x:c r="K36" s="69"/>
    </x:row>
    <x:row r="37" ht="15" hidden="0" customHeight="1">
      <x:c r="A37" t="str">
        <x:v>NVTK</x:v>
      </x:c>
      <x:c r="B37" t="str">
        <x:v>2025</x:v>
      </x:c>
      <x:c r="C37" s="73" t="str">
        <x:v>Капитал акционеров</x:v>
      </x:c>
      <x:c r="D37" s="73" t="str">
        <x:v>Раскрытое значение / ранее внесенное значение</x:v>
      </x:c>
      <x:c r="E37" s="74" t="n">
        <x:v>2828671</x:v>
      </x:c>
      <x:c r="F37" s="73" t="str">
        <x:v>Novatek FS 12m2025 RUS (disclosable).pdf</x:v>
      </x:c>
      <x:c r="G37" s="73" t="str">
        <x:v>PDF стр. 7, 11</x:v>
      </x:c>
      <x:c r="H37" s="73" t="str">
        <x:v>Сверено: капитал акционеров ПАО «НОВАТЭК»</x:v>
      </x:c>
      <x:c r="I37" s="69"/>
      <x:c r="J37" s="69"/>
      <x:c r="K37" s="69"/>
    </x:row>
    <x:row r="38" ht="15" hidden="0" customHeight="1">
      <x:c r="A38" t="str">
        <x:v>GMKN</x:v>
      </x:c>
      <x:c r="B38" t="str">
        <x:v>2025</x:v>
      </x:c>
      <x:c r="C38" s="73" t="str">
        <x:v>Выручка</x:v>
      </x:c>
      <x:c r="D38" s="73" t="str">
        <x:v>Раскрытое значение / ранее внесенное значение</x:v>
      </x:c>
      <x:c r="E38" s="74" t="n">
        <x:v>1150866.773356164</x:v>
      </x:c>
      <x:c r="F38" s="73" t="str">
        <x:v>Норникель_МСФО_2025.pdf; Банк России</x:v>
      </x:c>
      <x:c r="G38" s="73" t="str">
        <x:v>PDF стр. 4; средний курс USD/RUB за 2025</x:v>
      </x:c>
      <x:c r="H38" s="73" t="str">
        <x:v>Выручка 13 763 млн долл.; пересчет в млн руб.</x:v>
      </x:c>
      <x:c r="I38" s="69"/>
      <x:c r="J38" s="69"/>
      <x:c r="K38" s="69"/>
    </x:row>
    <x:row r="39" ht="15" hidden="0" customHeight="1">
      <x:c r="A39" t="str">
        <x:v>GMKN</x:v>
      </x:c>
      <x:c r="B39" t="str">
        <x:v>2025</x:v>
      </x:c>
      <x:c r="C39" s="73" t="str">
        <x:v>Скорр. EBITDA</x:v>
      </x:c>
      <x:c r="D39" s="73" t="str">
        <x:v>Раскрытое значение / ранее внесенное значение</x:v>
      </x:c>
      <x:c r="E39" s="74" t="n">
        <x:v>473960.10109589</x:v>
      </x:c>
      <x:c r="F39" s="73" t="str">
        <x:v>Норникель_МСФО_2025.pdf; Банк России</x:v>
      </x:c>
      <x:c r="G39" s="73" t="str">
        <x:v>PDF стр. 29; средний курс USD/RUB за 2025</x:v>
      </x:c>
      <x:c r="H39" s="73" t="str">
        <x:v>Консолидированная EBITDA 5 668 млн долл.; скорректированная по составу; альтернативное рублевое раскрытие 475 066 — строка 1316</x:v>
      </x:c>
      <x:c r="I39" s="69"/>
      <x:c r="J39" s="69"/>
      <x:c r="K39" s="69"/>
    </x:row>
    <x:row r="40" ht="15" hidden="0" customHeight="1">
      <x:c r="A40" t="str">
        <x:v>GMKN</x:v>
      </x:c>
      <x:c r="B40" t="str">
        <x:v>2025</x:v>
      </x:c>
      <x:c r="C40" s="73" t="str">
        <x:v>ЧП акционеров</x:v>
      </x:c>
      <x:c r="D40" s="73" t="str">
        <x:v>Раскрытое значение / ранее внесенное значение</x:v>
      </x:c>
      <x:c r="E40" s="74" t="n">
        <x:v>162808.806780822</x:v>
      </x:c>
      <x:c r="F40" s="73" t="str">
        <x:v>Норникель_МСФО_2025.pdf; Банк России</x:v>
      </x:c>
      <x:c r="G40" s="73" t="str">
        <x:v>PDF стр. 4; средний курс USD/RUB за 2025</x:v>
      </x:c>
      <x:c r="H40" s="73" t="str">
        <x:v>Прибыль, относящаяся к акционерам, 1 947 млн долл.; пересчет в млн руб.</x:v>
      </x:c>
      <x:c r="I40" s="69"/>
      <x:c r="J40" s="69"/>
      <x:c r="K40" s="69"/>
    </x:row>
    <x:row r="41" ht="15" hidden="0" customHeight="1">
      <x:c r="A41" t="str">
        <x:v>GMKN</x:v>
      </x:c>
      <x:c r="B41" t="str">
        <x:v>2025</x:v>
      </x:c>
      <x:c r="C41" s="73" t="str">
        <x:v>Капитал акционеров</x:v>
      </x:c>
      <x:c r="D41" s="73" t="str">
        <x:v>Раскрытое значение / ранее внесенное значение</x:v>
      </x:c>
      <x:c r="E41" s="74" t="n">
        <x:v>885377</x:v>
      </x:c>
      <x:c r="F41" s="73" t="str">
        <x:v>GMKN_2026H1.pdf</x:v>
      </x:c>
      <x:c r="G41" s="73" t="str">
        <x:v>PDF стр. 6</x:v>
      </x:c>
      <x:c r="H41" s="73" t="str">
        <x:v>Капитал акционеров на 31.12.2025: 885 377 млн руб.</x:v>
      </x:c>
      <x:c r="I41" s="69"/>
      <x:c r="J41" s="69"/>
      <x:c r="K41" s="69"/>
    </x:row>
    <x:row r="42" ht="15" hidden="0" customHeight="1">
      <x:c r="A42" t="str">
        <x:v>OZON</x:v>
      </x:c>
      <x:c r="B42" t="str">
        <x:v>2025</x:v>
      </x:c>
      <x:c r="C42" s="73" t="str">
        <x:v>Выручка</x:v>
      </x:c>
      <x:c r="D42" s="73" t="str">
        <x:v>Раскрытое значение / ранее внесенное значение</x:v>
      </x:c>
      <x:c r="E42" s="74" t="n">
        <x:v>997989</x:v>
      </x:c>
      <x:c r="F42" s="73" t="str">
        <x:v>Озон_МСФО_2025.pdf</x:v>
      </x:c>
      <x:c r="G42" s="73" t="str">
        <x:v>PDF стр. 29, 30, 39, 41</x:v>
      </x:c>
      <x:c r="H42" s="73" t="str">
        <x:v>Сверено: консолидированная выручка 997 989 млн руб.</x:v>
      </x:c>
      <x:c r="I42" s="69"/>
      <x:c r="J42" s="69"/>
      <x:c r="K42" s="69"/>
    </x:row>
    <x:row r="43" ht="15" hidden="0" customHeight="1">
      <x:c r="A43" t="str">
        <x:v>OZON</x:v>
      </x:c>
      <x:c r="B43" t="str">
        <x:v>2025</x:v>
      </x:c>
      <x:c r="C43" s="73" t="str">
        <x:v>Скорр. EBITDA</x:v>
      </x:c>
      <x:c r="D43" s="73" t="str">
        <x:v>Раскрытое значение / ранее внесенное значение</x:v>
      </x:c>
      <x:c r="E43" s="74" t="n">
        <x:v>156381</x:v>
      </x:c>
      <x:c r="F43" s="73" t="str">
        <x:v>Озон_МСФО_2025.pdf</x:v>
      </x:c>
      <x:c r="G43" s="73" t="str">
        <x:v>PDF стр. 28</x:v>
      </x:c>
      <x:c r="H43" s="73" t="str">
        <x:v>Сверено: компания раскрывает скорректированную EBITDA 156 381; обычная EBITDA отдельно не раскрыта</x:v>
      </x:c>
      <x:c r="I43" s="69"/>
      <x:c r="J43" s="69"/>
      <x:c r="K43" s="69"/>
    </x:row>
    <x:row r="44" ht="15" hidden="0" customHeight="1">
      <x:c r="A44" t="str">
        <x:v>OZON</x:v>
      </x:c>
      <x:c r="B44" t="str">
        <x:v>2025</x:v>
      </x:c>
      <x:c r="C44" s="73" t="str">
        <x:v>ЧП акционеров</x:v>
      </x:c>
      <x:c r="D44" s="73" t="str">
        <x:v>Раскрытое значение / ранее внесенное значение</x:v>
      </x:c>
      <x:c r="E44" s="74" t="n">
        <x:v>-938</x:v>
      </x:c>
      <x:c r="F44" s="73" t="str">
        <x:v>Озон_МСФО_2025.pdf</x:v>
      </x:c>
      <x:c r="G44" s="73" t="str">
        <x:v>PDF стр. 10, 28</x:v>
      </x:c>
      <x:c r="H44" s="73" t="str">
        <x:v>Сверено: убыток за год, относимый к акционерам, -938 млн руб.</x:v>
      </x:c>
      <x:c r="I44" s="69"/>
      <x:c r="J44" s="69"/>
      <x:c r="K44" s="69"/>
    </x:row>
    <x:row r="45" ht="15" hidden="0" customHeight="1">
      <x:c r="A45" t="str">
        <x:v>OZON</x:v>
      </x:c>
      <x:c r="B45" t="str">
        <x:v>2025</x:v>
      </x:c>
      <x:c r="C45" s="73" t="str">
        <x:v>Капитал акционеров</x:v>
      </x:c>
      <x:c r="D45" s="73" t="str">
        <x:v>Раскрытое значение / ранее внесенное значение</x:v>
      </x:c>
      <x:c r="E45" s="74" t="n">
        <x:v>-148406</x:v>
      </x:c>
      <x:c r="F45" s="73" t="str">
        <x:v>Озон_МСФО_2025.pdf</x:v>
      </x:c>
      <x:c r="G45" s="73" t="str">
        <x:v>PDF стр. 9, 10, 13</x:v>
      </x:c>
      <x:c r="H45" s="73" t="str">
        <x:v>Сверено: капитал акционеров -148 406 млн руб.</x:v>
      </x:c>
      <x:c r="I45" s="69"/>
      <x:c r="J45" s="69"/>
      <x:c r="K45" s="69"/>
    </x:row>
    <x:row r="46" ht="15" hidden="0" customHeight="1">
      <x:c r="A46" t="str">
        <x:v>OZON</x:v>
      </x:c>
      <x:c r="B46" t="str">
        <x:v>2025</x:v>
      </x:c>
      <x:c r="C46" s="73" t="str">
        <x:v>Краткосрочный долг</x:v>
      </x:c>
      <x:c r="D46" s="73" t="str">
        <x:v>Раскрытое значение / ранее внесенное значение</x:v>
      </x:c>
      <x:c r="E46" s="74" t="n">
        <x:v>80380</x:v>
      </x:c>
      <x:c r="F46" s="73" t="str">
        <x:v>Озон_МСФО_2025.pdf</x:v>
      </x:c>
      <x:c r="G46" s="73" t="str">
        <x:v>PDF стр. 9, 42</x:v>
      </x:c>
      <x:c r="H46" s="73" t="str">
        <x:v>Сверено: краткосрочные заемные средства 80 380 млн руб.</x:v>
      </x:c>
      <x:c r="I46" s="69"/>
      <x:c r="J46" s="69"/>
      <x:c r="K46" s="69"/>
    </x:row>
    <x:row r="47" ht="15" hidden="0" customHeight="1">
      <x:c r="A47" t="str">
        <x:v>OZON</x:v>
      </x:c>
      <x:c r="B47" t="str">
        <x:v>2025</x:v>
      </x:c>
      <x:c r="C47" s="73" t="str">
        <x:v>Долгосрочный долг</x:v>
      </x:c>
      <x:c r="D47" s="73" t="str">
        <x:v>Раскрытое значение / ранее внесенное значение</x:v>
      </x:c>
      <x:c r="E47" s="74" t="n">
        <x:v>1032</x:v>
      </x:c>
      <x:c r="F47" s="73" t="str">
        <x:v>Озон_МСФО_2025.pdf</x:v>
      </x:c>
      <x:c r="G47" s="73" t="str">
        <x:v>PDF стр. 9, 42</x:v>
      </x:c>
      <x:c r="H47" s="73" t="str">
        <x:v>Сверено: долгосрочные заемные средства 1 032 млн руб.</x:v>
      </x:c>
      <x:c r="I47" s="69"/>
      <x:c r="J47" s="69"/>
      <x:c r="K47" s="69"/>
    </x:row>
    <x:row r="48" ht="15" hidden="0" customHeight="1">
      <x:c r="A48" t="str">
        <x:v>OZON</x:v>
      </x:c>
      <x:c r="B48" t="str">
        <x:v>2025</x:v>
      </x:c>
      <x:c r="C48" s="73" t="str">
        <x:v>Денежные средства</x:v>
      </x:c>
      <x:c r="D48" s="73" t="str">
        <x:v>Раскрытое значение / ранее внесенное значение</x:v>
      </x:c>
      <x:c r="E48" s="74" t="n">
        <x:v>650730</x:v>
      </x:c>
      <x:c r="F48" s="73" t="str">
        <x:v>Озон_МСФО_2025.pdf</x:v>
      </x:c>
      <x:c r="G48" s="73" t="str">
        <x:v>PDF стр. 9, 12, 13, 36, 49, 54</x:v>
      </x:c>
      <x:c r="H48" s="73" t="str">
        <x:v>Сверено: денежные средства и эквиваленты 650 730 млн руб.</x:v>
      </x:c>
      <x:c r="I48" s="69"/>
      <x:c r="J48" s="69"/>
      <x:c r="K48" s="69"/>
    </x:row>
    <x:row r="49" ht="15" hidden="0" customHeight="1">
      <x:c r="A49" t="str">
        <x:v>OZON</x:v>
      </x:c>
      <x:c r="B49" t="str">
        <x:v>2025</x:v>
      </x:c>
      <x:c r="C49" s="73" t="str">
        <x:v>Арендные обязательства вне кредитов</x:v>
      </x:c>
      <x:c r="D49" s="73" t="str">
        <x:v>Раскрытое значение / ранее внесенное значение</x:v>
      </x:c>
      <x:c r="E49" s="74" t="n">
        <x:v>325960</x:v>
      </x:c>
      <x:c r="F49" s="73" t="str">
        <x:v>Озон_МСФО_2025.pdf</x:v>
      </x:c>
      <x:c r="G49" s="73" t="str">
        <x:v>PDF стр. 9, 34, 49, 56</x:v>
      </x:c>
      <x:c r="H49" s="73" t="str">
        <x:v>Сверено: обязательства по аренде 325 960 млн руб.</x:v>
      </x:c>
      <x:c r="I49" s="69"/>
      <x:c r="J49" s="69"/>
      <x:c r="K49" s="69"/>
    </x:row>
    <x:row r="50" ht="15" hidden="0" customHeight="1">
      <x:c r="A50" t="str">
        <x:v>OZON</x:v>
      </x:c>
      <x:c r="B50" t="str">
        <x:v>2025</x:v>
      </x:c>
      <x:c r="C50" s="73" t="str">
        <x:v>Неконтролирующие доли</x:v>
      </x:c>
      <x:c r="D50" s="73" t="str">
        <x:v>Раскрытое значение / ранее внесенное значение</x:v>
      </x:c>
      <x:c r="E50" s="74" t="n">
        <x:v>0</x:v>
      </x:c>
      <x:c r="F50" s="73" t="str">
        <x:v>Озон_МСФО_2025.pdf</x:v>
      </x:c>
      <x:c r="G50" s="73" t="str"/>
      <x:c r="H50" s="73" t="str">
        <x:v>Страница пока не подтверждена</x:v>
      </x:c>
      <x:c r="I50" s="69"/>
      <x:c r="J50" s="69"/>
      <x:c r="K50" s="69"/>
    </x:row>
    <x:row r="51" ht="15" hidden="0" customHeight="1">
      <x:c r="A51" t="str">
        <x:v>X5</x:v>
      </x:c>
      <x:c r="B51" t="str">
        <x:v>2025</x:v>
      </x:c>
      <x:c r="C51" s="73" t="str">
        <x:v>ЧД IAS17</x:v>
      </x:c>
      <x:c r="D51" s="73" t="str">
        <x:v>Раскрытое значение / ранее внесенное значение</x:v>
      </x:c>
      <x:c r="E51" s="74" t="n">
        <x:v>228508</x:v>
      </x:c>
      <x:c r="F51" s="73" t="str">
        <x:v>X5_IR_2026H1.pdf</x:v>
      </x:c>
      <x:c r="G51" s="73" t="str">
        <x:v>PDF стр. 12</x:v>
      </x:c>
      <x:c r="H51" s="73" t="str">
        <x:v>Сверено: раскрытый чистый долг до IFRS 16 — 228 508 млн руб.</x:v>
      </x:c>
      <x:c r="I51" s="69"/>
      <x:c r="J51" s="69"/>
      <x:c r="K51" s="69"/>
    </x:row>
    <x:row r="52" ht="15" hidden="0" customHeight="1">
      <x:c r="A52" t="str">
        <x:v>X5</x:v>
      </x:c>
      <x:c r="B52" t="str">
        <x:v>2025</x:v>
      </x:c>
      <x:c r="C52" s="73" t="str">
        <x:v>Выручка</x:v>
      </x:c>
      <x:c r="D52" s="73" t="str">
        <x:v>Раскрытое значение / ранее внесенное значение</x:v>
      </x:c>
      <x:c r="E52" s="74" t="n">
        <x:v>4642034</x:v>
      </x:c>
      <x:c r="F52" s="73" t="str">
        <x:v>КЦ_Икс_5_МСФО_2025.pdf</x:v>
      </x:c>
      <x:c r="G52" s="73" t="str">
        <x:v>PDF стр. 10</x:v>
      </x:c>
      <x:c r="H52" s="73" t="str">
        <x:v>Сверено: консолидированная выручка — 4 642 034 млн руб.</x:v>
      </x:c>
      <x:c r="I52" s="69"/>
      <x:c r="J52" s="69"/>
      <x:c r="K52" s="69"/>
    </x:row>
    <x:row r="53" ht="15" hidden="0" customHeight="1">
      <x:c r="A53" t="str">
        <x:v>X5</x:v>
      </x:c>
      <x:c r="B53" t="str">
        <x:v>2025</x:v>
      </x:c>
      <x:c r="C53" s="73" t="str">
        <x:v>EBITDA</x:v>
      </x:c>
      <x:c r="D53" s="73" t="str">
        <x:v>Раскрытое значение / ранее внесенное значение</x:v>
      </x:c>
      <x:c r="E53" s="74" t="n">
        <x:v>440676</x:v>
      </x:c>
      <x:c r="F53" s="73" t="str">
        <x:v>X5_IR_FY_2026H1.pdf</x:v>
      </x:c>
      <x:c r="G53" s="73" t="str">
        <x:v>PDF стр. 16</x:v>
      </x:c>
      <x:c r="H53" s="73" t="str">
        <x:v>Сверено: EBITDA IFRS 16 — 440 676 млн руб.</x:v>
      </x:c>
      <x:c r="I53" s="69"/>
      <x:c r="J53" s="69"/>
      <x:c r="K53" s="69"/>
    </x:row>
    <x:row r="54" ht="15" hidden="0" customHeight="1">
      <x:c r="A54" t="str">
        <x:v>X5</x:v>
      </x:c>
      <x:c r="B54" t="str">
        <x:v>2025</x:v>
      </x:c>
      <x:c r="C54" s="73" t="str">
        <x:v>Скорр. EBITDA</x:v>
      </x:c>
      <x:c r="D54" s="73" t="str">
        <x:v>Раскрытое значение / ранее внесенное значение</x:v>
      </x:c>
      <x:c r="E54" s="74" t="n">
        <x:v>453035</x:v>
      </x:c>
      <x:c r="F54" s="73" t="str">
        <x:v>X5_IR_FY_2026H1.pdf</x:v>
      </x:c>
      <x:c r="G54" s="73" t="str">
        <x:v>PDF стр. 16</x:v>
      </x:c>
      <x:c r="H54" s="73" t="str">
        <x:v>Сверено: скорректированная EBITDA IFRS 16 — 453 035 млн руб.</x:v>
      </x:c>
      <x:c r="I54" s="69"/>
      <x:c r="J54" s="69"/>
      <x:c r="K54" s="69"/>
    </x:row>
    <x:row r="55" ht="15" hidden="0" customHeight="1">
      <x:c r="A55" t="str">
        <x:v>X5</x:v>
      </x:c>
      <x:c r="B55" t="str">
        <x:v>2025</x:v>
      </x:c>
      <x:c r="C55" s="73" t="str">
        <x:v>EBITDA IAS17</x:v>
      </x:c>
      <x:c r="D55" s="73" t="str">
        <x:v>Раскрытое значение / ранее внесенное значение</x:v>
      </x:c>
      <x:c r="E55" s="74" t="n">
        <x:v>273109</x:v>
      </x:c>
      <x:c r="F55" s="73" t="str">
        <x:v>X5_IR_FY_2026H1.pdf</x:v>
      </x:c>
      <x:c r="G55" s="73" t="str">
        <x:v>PDF стр. 3, 17</x:v>
      </x:c>
      <x:c r="H55" s="73" t="str">
        <x:v>Сверено: EBITDA до IFRS 16 — 273 109 млн руб.</x:v>
      </x:c>
      <x:c r="I55" s="69"/>
      <x:c r="J55" s="69"/>
      <x:c r="K55" s="69"/>
    </x:row>
    <x:row r="56" ht="15" hidden="0" customHeight="1">
      <x:c r="A56" t="str">
        <x:v>X5</x:v>
      </x:c>
      <x:c r="B56" t="str">
        <x:v>2025</x:v>
      </x:c>
      <x:c r="C56" s="73" t="str">
        <x:v>ЧП акционеров</x:v>
      </x:c>
      <x:c r="D56" s="73" t="str">
        <x:v>Раскрытое значение / ранее внесенное значение</x:v>
      </x:c>
      <x:c r="E56" s="74" t="n">
        <x:v>83080</x:v>
      </x:c>
      <x:c r="F56" s="73" t="str">
        <x:v>КЦ_Икс_5_МСФО_2025.pdf</x:v>
      </x:c>
      <x:c r="G56" s="73" t="str">
        <x:v>PDF стр. 10</x:v>
      </x:c>
      <x:c r="H56" s="73" t="str">
        <x:v>Сверено: прибыль, относимая к акционерам, — 83 080 млн руб.</x:v>
      </x:c>
      <x:c r="I56" s="69"/>
      <x:c r="J56" s="69"/>
      <x:c r="K56" s="69"/>
    </x:row>
    <x:row r="57" ht="15" hidden="0" customHeight="1">
      <x:c r="A57" t="str">
        <x:v>X5</x:v>
      </x:c>
      <x:c r="B57" t="str">
        <x:v>2025</x:v>
      </x:c>
      <x:c r="C57" s="73" t="str">
        <x:v>Капитал акционеров</x:v>
      </x:c>
      <x:c r="D57" s="73" t="str">
        <x:v>Раскрытое значение / ранее внесенное значение</x:v>
      </x:c>
      <x:c r="E57" s="74" t="n">
        <x:v>96911</x:v>
      </x:c>
      <x:c r="F57" s="73" t="str">
        <x:v>КЦ_Икс_5_МСФО_2025.pdf</x:v>
      </x:c>
      <x:c r="G57" s="73" t="str">
        <x:v>PDF стр. 9</x:v>
      </x:c>
      <x:c r="H57" s="73" t="str">
        <x:v>Сверено: капитал, относимый к акционерам, — 96 911 млн руб.</x:v>
      </x:c>
      <x:c r="I57" s="69"/>
      <x:c r="J57" s="69"/>
      <x:c r="K57" s="69"/>
    </x:row>
    <x:row r="58" ht="15" hidden="0" customHeight="1">
      <x:c r="A58" t="str">
        <x:v>X5</x:v>
      </x:c>
      <x:c r="B58" t="str">
        <x:v>2025</x:v>
      </x:c>
      <x:c r="C58" s="73" t="str">
        <x:v>Краткосрочный долг</x:v>
      </x:c>
      <x:c r="D58" s="73" t="str">
        <x:v>Раскрытое значение / ранее внесенное значение</x:v>
      </x:c>
      <x:c r="E58" s="74" t="n">
        <x:v>120981</x:v>
      </x:c>
      <x:c r="F58" s="73" t="str">
        <x:v>X5_IR_2026H1.pdf</x:v>
      </x:c>
      <x:c r="G58" s="73" t="str">
        <x:v>PDF стр. 12</x:v>
      </x:c>
      <x:c r="H58" s="73" t="str">
        <x:v>Сверено: краткосрочный долг — 120 981 млн руб.</x:v>
      </x:c>
      <x:c r="I58" s="69"/>
      <x:c r="J58" s="69"/>
      <x:c r="K58" s="69"/>
    </x:row>
    <x:row r="59" ht="15" hidden="0" customHeight="1">
      <x:c r="A59" t="str">
        <x:v>X5</x:v>
      </x:c>
      <x:c r="B59" t="str">
        <x:v>2025</x:v>
      </x:c>
      <x:c r="C59" s="73" t="str">
        <x:v>Долгосрочный долг</x:v>
      </x:c>
      <x:c r="D59" s="73" t="str">
        <x:v>Раскрытое значение / ранее внесенное значение</x:v>
      </x:c>
      <x:c r="E59" s="74" t="n">
        <x:v>285981</x:v>
      </x:c>
      <x:c r="F59" s="73" t="str">
        <x:v>X5_IR_2026H1.pdf</x:v>
      </x:c>
      <x:c r="G59" s="73" t="str">
        <x:v>PDF стр. 12</x:v>
      </x:c>
      <x:c r="H59" s="73" t="str">
        <x:v>Сверено: долгосрочный долг — 285 981 млн руб.</x:v>
      </x:c>
      <x:c r="I59" s="69"/>
      <x:c r="J59" s="69"/>
      <x:c r="K59" s="69"/>
    </x:row>
    <x:row r="60" ht="15" hidden="0" customHeight="1">
      <x:c r="A60" t="str">
        <x:v>X5</x:v>
      </x:c>
      <x:c r="B60" t="str">
        <x:v>2025</x:v>
      </x:c>
      <x:c r="C60" s="73" t="str">
        <x:v>Денежные средства</x:v>
      </x:c>
      <x:c r="D60" s="73" t="str">
        <x:v>Раскрытое значение / ранее внесенное значение</x:v>
      </x:c>
      <x:c r="E60" s="74" t="n">
        <x:v>178454</x:v>
      </x:c>
      <x:c r="F60" s="73" t="str">
        <x:v>КЦ_Икс_5_МСФО_2025.pdf</x:v>
      </x:c>
      <x:c r="G60" s="73" t="str">
        <x:v>PDF стр. 9</x:v>
      </x:c>
      <x:c r="H60" s="73" t="str">
        <x:v>Сверено: денежные средства и эквиваленты — 178 454 млн руб.</x:v>
      </x:c>
      <x:c r="I60" s="69"/>
      <x:c r="J60" s="69"/>
      <x:c r="K60" s="69"/>
    </x:row>
    <x:row r="61" ht="15" hidden="0" customHeight="1">
      <x:c r="A61" t="str">
        <x:v>X5</x:v>
      </x:c>
      <x:c r="B61" t="str">
        <x:v>2025</x:v>
      </x:c>
      <x:c r="C61" s="73" t="str">
        <x:v>Арендные обязательства вне кредитов</x:v>
      </x:c>
      <x:c r="D61" s="73" t="str">
        <x:v>Раскрытое значение / ранее внесенное значение</x:v>
      </x:c>
      <x:c r="E61" s="74" t="n">
        <x:v>710237</x:v>
      </x:c>
      <x:c r="F61" s="73" t="str">
        <x:v>X5_IR_2026H1.pdf</x:v>
      </x:c>
      <x:c r="G61" s="73" t="str">
        <x:v>PDF стр. 12</x:v>
      </x:c>
      <x:c r="H61" s="73" t="str">
        <x:v>Сверено: обязательства по аренде — 710 237 млн руб.; показаны отдельно и включены в ЧД IFRS 16; также подтверждены КЦ_Икс_5_МСФО_2025.pdf, стр. 9</x:v>
      </x:c>
      <x:c r="I61" s="69"/>
      <x:c r="J61" s="69"/>
      <x:c r="K61" s="69"/>
    </x:row>
    <x:row r="62" ht="15" hidden="0" customHeight="1">
      <x:c r="A62" t="str">
        <x:v>X5</x:v>
      </x:c>
      <x:c r="B62" t="str">
        <x:v>2025</x:v>
      </x:c>
      <x:c r="C62" s="73" t="str">
        <x:v>Скорр. EBITDA IAS17</x:v>
      </x:c>
      <x:c r="D62" s="73" t="str">
        <x:v>Раскрытое значение / ранее внесенное значение</x:v>
      </x:c>
      <x:c r="E62" s="74" t="n">
        <x:v>285468</x:v>
      </x:c>
      <x:c r="F62" s="73" t="str">
        <x:v>X5_IR_FY_2026H1.pdf</x:v>
      </x:c>
      <x:c r="G62" s="73" t="str">
        <x:v>PDF стр. 3</x:v>
      </x:c>
      <x:c r="H62" s="73" t="str">
        <x:v>Сверено: скорректированная EBITDA до IFRS 16 — 285 468 млн руб.</x:v>
      </x:c>
      <x:c r="I62" s="69"/>
      <x:c r="J62" s="69"/>
      <x:c r="K62" s="69"/>
    </x:row>
    <x:row r="63" ht="15" hidden="0" customHeight="1">
      <x:c r="A63" t="str">
        <x:v>ROSN</x:v>
      </x:c>
      <x:c r="B63" t="str">
        <x:v>2025</x:v>
      </x:c>
      <x:c r="C63" s="73" t="str">
        <x:v>Выручка</x:v>
      </x:c>
      <x:c r="D63" s="73" t="str">
        <x:v>Раскрытое значение / ранее внесенное значение</x:v>
      </x:c>
      <x:c r="E63" s="74" t="n">
        <x:v>8236000</x:v>
      </x:c>
      <x:c r="F63" s="73" t="str">
        <x:v>Роснефть_МСФО_2025.pdf</x:v>
      </x:c>
      <x:c r="G63" s="73" t="str">
        <x:v>PDF стр. 6</x:v>
      </x:c>
      <x:c r="H63" s="73" t="str">
        <x:v>Сверено: выручка от реализации и доход от ассоциированных организаций и СП — 8 236 000 млн руб.</x:v>
      </x:c>
      <x:c r="I63" s="69"/>
      <x:c r="J63" s="69"/>
      <x:c r="K63" s="69"/>
    </x:row>
    <x:row r="64" ht="15" hidden="0" customHeight="1">
      <x:c r="A64" t="str">
        <x:v>ROSN</x:v>
      </x:c>
      <x:c r="B64" t="str">
        <x:v>2025</x:v>
      </x:c>
      <x:c r="C64" s="73" t="str">
        <x:v>EBITDA</x:v>
      </x:c>
      <x:c r="D64" s="73" t="str">
        <x:v>Раскрытое значение / ранее внесенное значение</x:v>
      </x:c>
      <x:c r="E64" s="74" t="n">
        <x:v>2173000</x:v>
      </x:c>
      <x:c r="F64" s="73" t="str">
        <x:v>Роснефть_отчет_эмитента_2025.pdf</x:v>
      </x:c>
      <x:c r="G64" s="73" t="str">
        <x:v>PDF стр. 7</x:v>
      </x:c>
      <x:c r="H64" s="73" t="str">
        <x:v>Сверено: компания раскрывает EBITDA 2 173 000 млн руб.; показатель сохранён как обычная EBITDA, отдельная скорректированная версия не раскрыта.</x:v>
      </x:c>
      <x:c r="I64" s="69"/>
      <x:c r="J64" s="69"/>
      <x:c r="K64" s="69"/>
    </x:row>
    <x:row r="65" ht="15" hidden="0" customHeight="1">
      <x:c r="A65" t="str">
        <x:v>ROSN</x:v>
      </x:c>
      <x:c r="B65" t="str">
        <x:v>2025</x:v>
      </x:c>
      <x:c r="C65" s="73" t="str">
        <x:v>ЧП акционеров</x:v>
      </x:c>
      <x:c r="D65" s="73" t="str">
        <x:v>Раскрытое значение / ранее внесенное значение</x:v>
      </x:c>
      <x:c r="E65" s="74" t="n">
        <x:v>293000</x:v>
      </x:c>
      <x:c r="F65" s="73" t="str">
        <x:v>Роснефть_МСФО_2025.pdf</x:v>
      </x:c>
      <x:c r="G65" s="73" t="str">
        <x:v>PDF стр. 6</x:v>
      </x:c>
      <x:c r="H65" s="73" t="str">
        <x:v>Сверено: прибыль, относящаяся к акционерам ПАО «НК «Роснефть», — 293 000 млн руб.</x:v>
      </x:c>
      <x:c r="I65" s="69"/>
      <x:c r="J65" s="69"/>
      <x:c r="K65" s="69"/>
    </x:row>
    <x:row r="66" ht="15" hidden="0" customHeight="1">
      <x:c r="A66" t="str">
        <x:v>ROSN</x:v>
      </x:c>
      <x:c r="B66" t="str">
        <x:v>2025</x:v>
      </x:c>
      <x:c r="C66" s="73" t="str">
        <x:v>Общий капитал</x:v>
      </x:c>
      <x:c r="D66" s="73" t="str">
        <x:v>Раскрытое значение / ранее внесенное значение</x:v>
      </x:c>
      <x:c r="E66" s="74" t="n">
        <x:v>9078000</x:v>
      </x:c>
      <x:c r="F66" s="73" t="str">
        <x:v>Роснефть_МСФО_2025.pdf</x:v>
      </x:c>
      <x:c r="G66" s="73" t="str">
        <x:v>PDF стр. 5</x:v>
      </x:c>
      <x:c r="H66" s="73" t="str">
        <x:v>Сверено: общий капитал — 9 078 000 млн руб.; неконтролирующая доля отдельно не раскрыта.</x:v>
      </x:c>
      <x:c r="I66" s="69"/>
      <x:c r="J66" s="69"/>
      <x:c r="K66" s="69"/>
    </x:row>
    <x:row r="67" ht="15" hidden="0" customHeight="1">
      <x:c r="A67" t="str">
        <x:v>PLZL</x:v>
      </x:c>
      <x:c r="B67" t="str">
        <x:v>2025</x:v>
      </x:c>
      <x:c r="C67" s="73" t="str">
        <x:v>Выручка</x:v>
      </x:c>
      <x:c r="D67" s="73" t="str">
        <x:v>Раскрытое значение / ранее внесенное значение</x:v>
      </x:c>
      <x:c r="E67" s="74" t="n">
        <x:v>712773</x:v>
      </x:c>
      <x:c r="F67" s="73" t="str">
        <x:v>Полюс_МСФО_2025.pdf</x:v>
      </x:c>
      <x:c r="G67" s="73" t="str">
        <x:v>PDF стр. 9</x:v>
      </x:c>
      <x:c r="H67" s="73" t="str">
        <x:v>Сверено: выручка 712 773 млн руб.</x:v>
      </x:c>
      <x:c r="I67" s="69"/>
      <x:c r="J67" s="69"/>
      <x:c r="K67" s="69"/>
    </x:row>
    <x:row r="68" ht="15" hidden="0" customHeight="1">
      <x:c r="A68" t="str">
        <x:v>PLZL</x:v>
      </x:c>
      <x:c r="B68" t="str">
        <x:v>2025</x:v>
      </x:c>
      <x:c r="C68" s="73" t="str">
        <x:v>Скорр. EBITDA</x:v>
      </x:c>
      <x:c r="D68" s="73" t="str">
        <x:v>Раскрытое значение / ранее внесенное значение</x:v>
      </x:c>
      <x:c r="E68" s="74" t="n">
        <x:v>517793</x:v>
      </x:c>
      <x:c r="F68" s="73" t="str">
        <x:v>Полюс_МСФО_2025.pdf</x:v>
      </x:c>
      <x:c r="G68" s="73" t="str">
        <x:v>PDF стр. 28</x:v>
      </x:c>
      <x:c r="H68" s="73" t="str">
        <x:v>Сверено: скорректированная EBITDA от продолжающейся деятельности 517 793 млн руб.; содержит дополнительные корректировки и поэтому классифицирована как скорректированная.</x:v>
      </x:c>
      <x:c r="I68" s="69"/>
      <x:c r="J68" s="69"/>
      <x:c r="K68" s="69"/>
    </x:row>
    <x:row r="69" ht="15" hidden="0" customHeight="1">
      <x:c r="A69" t="str">
        <x:v>PLZL</x:v>
      </x:c>
      <x:c r="B69" t="str">
        <x:v>2025</x:v>
      </x:c>
      <x:c r="C69" s="73" t="str">
        <x:v>ЧП акционеров</x:v>
      </x:c>
      <x:c r="D69" s="73" t="str">
        <x:v>Раскрытое значение / ранее внесенное значение</x:v>
      </x:c>
      <x:c r="E69" s="74" t="n">
        <x:v>314206</x:v>
      </x:c>
      <x:c r="F69" s="73" t="str">
        <x:v>Полюс_МСФО_2025.pdf</x:v>
      </x:c>
      <x:c r="G69" s="73" t="str">
        <x:v>PDF стр. 9, 12</x:v>
      </x:c>
      <x:c r="H69" s="73" t="str">
        <x:v>Сверено: прибыль, относящаяся к акционерам Компании, 314 206 млн руб.; не смешана с прибылью группы 314 142 млн руб.</x:v>
      </x:c>
      <x:c r="I69" s="69"/>
      <x:c r="J69" s="69"/>
      <x:c r="K69" s="69"/>
    </x:row>
    <x:row r="70" ht="15" hidden="0" customHeight="1">
      <x:c r="A70" t="str">
        <x:v>PLZL</x:v>
      </x:c>
      <x:c r="B70" t="str">
        <x:v>2025</x:v>
      </x:c>
      <x:c r="C70" s="73" t="str">
        <x:v>Капитал акционеров</x:v>
      </x:c>
      <x:c r="D70" s="73" t="str">
        <x:v>Раскрытое значение / ранее внесенное значение</x:v>
      </x:c>
      <x:c r="E70" s="74" t="n">
        <x:v>271883</x:v>
      </x:c>
      <x:c r="F70" s="73" t="str">
        <x:v>Полюс_МСФО_2025.pdf</x:v>
      </x:c>
      <x:c r="G70" s="73" t="str">
        <x:v>PDF стр. 11, 12</x:v>
      </x:c>
      <x:c r="H70" s="73" t="str">
        <x:v>Сверено: капитал акционеров материнской компании 271 883 млн руб.; НКД 36 млн руб. показана отдельно в отчёте.</x:v>
      </x:c>
      <x:c r="I70" s="69"/>
      <x:c r="J70" s="69"/>
      <x:c r="K70" s="69"/>
    </x:row>
    <x:row r="71" ht="15" hidden="0" customHeight="1">
      <x:c r="A71" t="str">
        <x:v>HEAD</x:v>
      </x:c>
      <x:c r="B71" t="str">
        <x:v>2025</x:v>
      </x:c>
      <x:c r="C71" s="73" t="str">
        <x:v>Выручка</x:v>
      </x:c>
      <x:c r="D71" s="73" t="str">
        <x:v>Раскрытое значение / ранее внесенное значение</x:v>
      </x:c>
      <x:c r="E71" s="74" t="n">
        <x:v>41203.402</x:v>
      </x:c>
      <x:c r="F71" s="73" t="str">
        <x:v>ХХ_МСФО_2025.pdf</x:v>
      </x:c>
      <x:c r="G71" s="73" t="str">
        <x:v>PDF стр. 22, 24, 28</x:v>
      </x:c>
      <x:c r="H71" s="73" t="str">
        <x:v>Сверено: консолидированная выручка 41 203,402 млн руб.</x:v>
      </x:c>
      <x:c r="I71" s="69"/>
      <x:c r="J71" s="69"/>
      <x:c r="K71" s="69"/>
    </x:row>
    <x:row r="72" ht="15" hidden="0" customHeight="1">
      <x:c r="A72" t="str">
        <x:v>HEAD</x:v>
      </x:c>
      <x:c r="B72" t="str">
        <x:v>2025</x:v>
      </x:c>
      <x:c r="C72" s="73" t="str">
        <x:v>Скорр. EBITDA</x:v>
      </x:c>
      <x:c r="D72" s="73" t="str">
        <x:v>Раскрытое значение / ранее внесенное значение</x:v>
      </x:c>
      <x:c r="E72" s="74" t="n">
        <x:v>22761.895</x:v>
      </x:c>
      <x:c r="F72" s="73" t="str">
        <x:v>ХХ_МСФО_2025.pdf</x:v>
      </x:c>
      <x:c r="G72" s="73" t="str">
        <x:v>PDF стр. 22, 23</x:v>
      </x:c>
      <x:c r="H72" s="73" t="str">
        <x:v>Сверено: EBITDA по сегменту 22 761,895 млн руб.; содержит дополнительные корректировки и классифицирована как скорректированная EBITDA.</x:v>
      </x:c>
      <x:c r="I72" s="69"/>
      <x:c r="J72" s="69"/>
      <x:c r="K72" s="69"/>
    </x:row>
    <x:row r="73" ht="15" hidden="0" customHeight="1">
      <x:c r="A73" t="str">
        <x:v>HEAD</x:v>
      </x:c>
      <x:c r="B73" t="str">
        <x:v>2025</x:v>
      </x:c>
      <x:c r="C73" s="73" t="str">
        <x:v>ЧП акционеров</x:v>
      </x:c>
      <x:c r="D73" s="73" t="str">
        <x:v>Раскрытое значение / ранее внесенное значение</x:v>
      </x:c>
      <x:c r="E73" s="74" t="n">
        <x:v>15245.646</x:v>
      </x:c>
      <x:c r="F73" s="73" t="str">
        <x:v>ХХ_МСФО_2025.pdf</x:v>
      </x:c>
      <x:c r="G73" s="73" t="str">
        <x:v>PDF стр. 10, 27</x:v>
      </x:c>
      <x:c r="H73" s="73" t="str">
        <x:v>Сверено: прибыль собственников Компании 15 245,646 млн руб.</x:v>
      </x:c>
      <x:c r="I73" s="69"/>
      <x:c r="J73" s="69"/>
      <x:c r="K73" s="69"/>
    </x:row>
    <x:row r="74" ht="15" hidden="0" customHeight="1">
      <x:c r="A74" t="str">
        <x:v>HEAD</x:v>
      </x:c>
      <x:c r="B74" t="str">
        <x:v>2025</x:v>
      </x:c>
      <x:c r="C74" s="73" t="str">
        <x:v>Капитал акционеров</x:v>
      </x:c>
      <x:c r="D74" s="73" t="str">
        <x:v>Раскрытое значение / ранее внесенное значение</x:v>
      </x:c>
      <x:c r="E74" s="74" t="n">
        <x:v>3787.44</x:v>
      </x:c>
      <x:c r="F74" s="73" t="str">
        <x:v>ХХ_МСФО_2025.pdf</x:v>
      </x:c>
      <x:c r="G74" s="73" t="str">
        <x:v>PDF стр. 8, 10</x:v>
      </x:c>
      <x:c r="H74" s="73" t="str">
        <x:v>Сверено: капитал собственников Компании 3 787,440 млн руб.; НКД показана отдельно.</x:v>
      </x:c>
      <x:c r="I74" s="69"/>
      <x:c r="J74" s="69"/>
      <x:c r="K74" s="69"/>
    </x:row>
    <x:row r="75" ht="15" hidden="0" customHeight="1">
      <x:c r="A75" t="str">
        <x:v>HEAD</x:v>
      </x:c>
      <x:c r="B75" t="str">
        <x:v>2025</x:v>
      </x:c>
      <x:c r="C75" s="73" t="str">
        <x:v>Краткосрочный долг</x:v>
      </x:c>
      <x:c r="D75" s="73" t="str">
        <x:v>Раскрытое значение / ранее внесенное значение</x:v>
      </x:c>
      <x:c r="E75" s="74" t="n">
        <x:v>4.507</x:v>
      </x:c>
      <x:c r="F75" s="73" t="str">
        <x:v>ХХ_МСФО_2025.pdf; HEAD_2026H1.pdf</x:v>
      </x:c>
      <x:c r="G75" s="73" t="str">
        <x:v>МСФО PDF стр. 8; 1П2026 PDF стр. 5</x:v>
      </x:c>
      <x:c r="H75" s="73" t="str">
        <x:v>Сверено: краткосрочные кредиты и займы 4,507 млн руб.</x:v>
      </x:c>
      <x:c r="I75" s="69"/>
      <x:c r="J75" s="69"/>
      <x:c r="K75" s="69"/>
    </x:row>
    <x:row r="76" ht="15" hidden="0" customHeight="1">
      <x:c r="A76" t="str">
        <x:v>HEAD</x:v>
      </x:c>
      <x:c r="B76" t="str">
        <x:v>2025</x:v>
      </x:c>
      <x:c r="C76" s="73" t="str">
        <x:v>Долгосрочный долг</x:v>
      </x:c>
      <x:c r="D76" s="73" t="str">
        <x:v>Раскрытое значение / ранее внесенное значение</x:v>
      </x:c>
      <x:c r="E76" s="74" t="n">
        <x:v>0</x:v>
      </x:c>
      <x:c r="F76" s="73" t="str">
        <x:v>HEAD_2026H1.pdf</x:v>
      </x:c>
      <x:c r="G76" s="73" t="str">
        <x:v>5</x:v>
      </x:c>
      <x:c r="H76" s="73" t="str">
        <x:v>Сверено с таблицей отчета</x:v>
      </x:c>
      <x:c r="I76" s="69"/>
      <x:c r="J76" s="69"/>
      <x:c r="K76" s="69"/>
    </x:row>
    <x:row r="77" ht="15" hidden="0" customHeight="1">
      <x:c r="A77" t="str">
        <x:v>HEAD</x:v>
      </x:c>
      <x:c r="B77" t="str">
        <x:v>2025</x:v>
      </x:c>
      <x:c r="C77" s="73" t="str">
        <x:v>Денежные средства</x:v>
      </x:c>
      <x:c r="D77" s="73" t="str">
        <x:v>Раскрытое значение / ранее внесенное значение</x:v>
      </x:c>
      <x:c r="E77" s="74" t="n">
        <x:v>14501.243</x:v>
      </x:c>
      <x:c r="F77" s="73" t="str">
        <x:v>ХХ_МСФО_2025.pdf; HEAD_2026H1.pdf</x:v>
      </x:c>
      <x:c r="G77" s="73" t="str">
        <x:v>МСФО PDF стр. 8; 1П2026 PDF стр. 5</x:v>
      </x:c>
      <x:c r="H77" s="73" t="str">
        <x:v>Сверено: денежные средства 14 501,243 млн руб.</x:v>
      </x:c>
      <x:c r="I77" s="69"/>
      <x:c r="J77" s="69"/>
      <x:c r="K77" s="69"/>
    </x:row>
    <x:row r="78" ht="15" hidden="0" customHeight="1">
      <x:c r="A78" t="str">
        <x:v>HEAD</x:v>
      </x:c>
      <x:c r="B78" t="str">
        <x:v>2025</x:v>
      </x:c>
      <x:c r="C78" s="73" t="str">
        <x:v>Процентные доходы</x:v>
      </x:c>
      <x:c r="D78" s="73" t="str">
        <x:v>Раскрытое значение / ранее внесенное значение</x:v>
      </x:c>
      <x:c r="E78" s="74" t="n">
        <x:v>1299.673</x:v>
      </x:c>
      <x:c r="F78" s="73" t="str">
        <x:v>ХХ_МСФО_2025.pdf</x:v>
      </x:c>
      <x:c r="G78" s="73" t="str">
        <x:v>PDF стр. 23</x:v>
      </x:c>
      <x:c r="H78" s="73" t="str">
        <x:v>Сверено: чистые финансовые доходы 1 299,673 млн руб.</x:v>
      </x:c>
      <x:c r="I78" s="69"/>
      <x:c r="J78" s="69"/>
      <x:c r="K78" s="69"/>
    </x:row>
    <x:row r="79" ht="15" hidden="0" customHeight="1">
      <x:c r="A79" t="str">
        <x:v>HEAD</x:v>
      </x:c>
      <x:c r="B79" t="str">
        <x:v>2025</x:v>
      </x:c>
      <x:c r="C79" s="73" t="str">
        <x:v>Амортизация</x:v>
      </x:c>
      <x:c r="D79" s="73" t="str">
        <x:v>Раскрытое значение / ранее внесенное значение</x:v>
      </x:c>
      <x:c r="E79" s="74" t="n">
        <x:v>1651.18</x:v>
      </x:c>
      <x:c r="F79" s="73" t="str">
        <x:v>ХХ_МСФО_2025.pdf</x:v>
      </x:c>
      <x:c r="G79" s="73" t="str">
        <x:v>PDF стр. 23</x:v>
      </x:c>
      <x:c r="H79" s="73" t="str">
        <x:v>Сверено: износ и амортизация 1 651,180 млн руб.</x:v>
      </x:c>
      <x:c r="I79" s="69"/>
      <x:c r="J79" s="69"/>
      <x:c r="K79" s="69"/>
    </x:row>
    <x:row r="80" ht="15" hidden="0" customHeight="1">
      <x:c r="A80" t="str">
        <x:v>HEAD</x:v>
      </x:c>
      <x:c r="B80" t="str">
        <x:v>2025</x:v>
      </x:c>
      <x:c r="C80" s="73" t="str">
        <x:v>Арендные обязательства вне кредитов</x:v>
      </x:c>
      <x:c r="D80" s="73" t="str">
        <x:v>Раскрытое значение / ранее внесенное значение</x:v>
      </x:c>
      <x:c r="E80" s="74" t="n">
        <x:v>3131.027</x:v>
      </x:c>
      <x:c r="F80" s="73" t="str">
        <x:v>ХХ_МСФО_2025.pdf</x:v>
      </x:c>
      <x:c r="G80" s="73" t="str">
        <x:v>PDF стр. 8, 46</x:v>
      </x:c>
      <x:c r="H80" s="73" t="str">
        <x:v>Сверено: обязательства по аренде 3 131,027 млн руб.</x:v>
      </x:c>
      <x:c r="I80" s="69"/>
      <x:c r="J80" s="69"/>
      <x:c r="K80" s="69"/>
    </x:row>
    <x:row r="81" ht="15" hidden="0" customHeight="1">
      <x:c r="A81" t="str">
        <x:v>MTSS</x:v>
      </x:c>
      <x:c r="B81" t="str">
        <x:v>2025</x:v>
      </x:c>
      <x:c r="C81" s="73" t="str">
        <x:v>Выручка</x:v>
      </x:c>
      <x:c r="D81" s="73" t="str">
        <x:v>Раскрытое значение / ранее внесенное значение</x:v>
      </x:c>
      <x:c r="E81" s="74" t="n">
        <x:v>807186</x:v>
      </x:c>
      <x:c r="F81" s="73" t="str">
        <x:v>МТС_МСФО_2025.pdf</x:v>
      </x:c>
      <x:c r="G81" s="73" t="str">
        <x:v>11, 28</x:v>
      </x:c>
      <x:c r="H81" s="73" t="str">
        <x:v>Сумма, период, единицы и определение сверены</x:v>
      </x:c>
      <x:c r="I81" s="69"/>
      <x:c r="J81" s="69"/>
      <x:c r="K81" s="69"/>
    </x:row>
    <x:row r="82" ht="15" hidden="0" customHeight="1">
      <x:c r="A82" t="str">
        <x:v>MTSS</x:v>
      </x:c>
      <x:c r="B82" t="str">
        <x:v>2025</x:v>
      </x:c>
      <x:c r="C82" s="73" t="str">
        <x:v>OIBDA</x:v>
      </x:c>
      <x:c r="D82" s="73" t="str">
        <x:v>Раскрытое значение / ранее внесенное значение</x:v>
      </x:c>
      <x:c r="E82" s="74" t="n">
        <x:v>279695</x:v>
      </x:c>
      <x:c r="F82" s="73" t="str">
        <x:v>МТС_МСФО_2025.pdf</x:v>
      </x:c>
      <x:c r="G82" s="73" t="n">
        <x:v>28</x:v>
      </x:c>
      <x:c r="H82" s="73" t="str">
        <x:v>Сумма и методология OIBDA сверены</x:v>
      </x:c>
      <x:c r="I82" s="69"/>
      <x:c r="J82" s="69"/>
      <x:c r="K82" s="69"/>
    </x:row>
    <x:row r="83" ht="15" hidden="0" customHeight="1">
      <x:c r="A83" t="str">
        <x:v>MTSS</x:v>
      </x:c>
      <x:c r="B83" t="str">
        <x:v>2025</x:v>
      </x:c>
      <x:c r="C83" s="73" t="str">
        <x:v>ЧП акционеров</x:v>
      </x:c>
      <x:c r="D83" s="73" t="str">
        <x:v>Раскрытое значение / ранее внесенное значение</x:v>
      </x:c>
      <x:c r="E83" s="74" t="n">
        <x:v>35220</x:v>
      </x:c>
      <x:c r="F83" s="73" t="str">
        <x:v>МТС_МСФО_2025.pdf</x:v>
      </x:c>
      <x:c r="G83" s="73" t="n">
        <x:v>11</x:v>
      </x:c>
      <x:c r="H83" s="73" t="str">
        <x:v>Прибыль, относимая к акционерам МТС; сверено</x:v>
      </x:c>
      <x:c r="I83" s="69"/>
      <x:c r="J83" s="69"/>
      <x:c r="K83" s="69"/>
    </x:row>
    <x:row r="84" ht="15" hidden="0" customHeight="1">
      <x:c r="A84" t="str">
        <x:v>MTSS</x:v>
      </x:c>
      <x:c r="B84" t="str">
        <x:v>2025</x:v>
      </x:c>
      <x:c r="C84" s="73" t="str">
        <x:v>Капитал акционеров</x:v>
      </x:c>
      <x:c r="D84" s="73" t="str">
        <x:v>Раскрытое значение / ранее внесенное значение</x:v>
      </x:c>
      <x:c r="E84" s="74" t="n">
        <x:v>-11717</x:v>
      </x:c>
      <x:c r="F84" s="73" t="str">
        <x:v>МТС_МСФО_2025.pdf</x:v>
      </x:c>
      <x:c r="G84" s="73" t="n">
        <x:v>10</x:v>
      </x:c>
      <x:c r="H84" s="73" t="str">
        <x:v>Капитал, относимый к акционерам МТС; сверено</x:v>
      </x:c>
      <x:c r="I84" s="69"/>
      <x:c r="J84" s="69"/>
      <x:c r="K84" s="69"/>
    </x:row>
    <x:row r="85" ht="15" hidden="0" customHeight="1">
      <x:c r="A85" t="str">
        <x:v>IRAO</x:v>
      </x:c>
      <x:c r="B85" t="str">
        <x:v>2025</x:v>
      </x:c>
      <x:c r="C85" s="73" t="str">
        <x:v>Выручка</x:v>
      </x:c>
      <x:c r="D85" s="73" t="str">
        <x:v>Раскрытое значение / ранее внесенное значение</x:v>
      </x:c>
      <x:c r="E85" s="74" t="n">
        <x:v>1760626</x:v>
      </x:c>
      <x:c r="F85" s="73" t="str">
        <x:v>Интер-Рао_МСФО_2025.pdf</x:v>
      </x:c>
      <x:c r="G85" s="73" t="str">
        <x:v>PDF стр. 10</x:v>
      </x:c>
      <x:c r="H85" s="73" t="str">
        <x:v>Выручка 1 760 626 млн руб.; подтверждено</x:v>
      </x:c>
      <x:c r="I85" s="69"/>
      <x:c r="J85" s="69"/>
      <x:c r="K85" s="69"/>
    </x:row>
    <x:row r="86" ht="15" hidden="0" customHeight="1">
      <x:c r="A86" t="str">
        <x:v>IRAO</x:v>
      </x:c>
      <x:c r="B86" t="str">
        <x:v>2025</x:v>
      </x:c>
      <x:c r="C86" s="73" t="str">
        <x:v>Скорр. EBITDA</x:v>
      </x:c>
      <x:c r="D86" s="73" t="str">
        <x:v>Раскрытое значение / ранее внесенное значение</x:v>
      </x:c>
      <x:c r="E86" s="74" t="n">
        <x:v>181544</x:v>
      </x:c>
      <x:c r="F86" s="73" t="str">
        <x:v>Интер-Рао_МСФО_2025.pdf</x:v>
      </x:c>
      <x:c r="G86" s="73" t="str">
        <x:v>PDF стр. 40</x:v>
      </x:c>
      <x:c r="H86" s="73" t="str">
        <x:v>EBITDA 181 544; классифицирована как скорректированная по составу</x:v>
      </x:c>
      <x:c r="I86" s="69"/>
      <x:c r="J86" s="69"/>
      <x:c r="K86" s="69"/>
    </x:row>
    <x:row r="87" ht="15" hidden="0" customHeight="1">
      <x:c r="A87" t="str">
        <x:v>IRAO</x:v>
      </x:c>
      <x:c r="B87" t="str">
        <x:v>2025</x:v>
      </x:c>
      <x:c r="C87" s="73" t="str">
        <x:v>ЧП акционеров</x:v>
      </x:c>
      <x:c r="D87" s="73" t="str">
        <x:v>Раскрытое значение / ранее внесенное значение</x:v>
      </x:c>
      <x:c r="E87" s="74" t="n">
        <x:v>131029</x:v>
      </x:c>
      <x:c r="F87" s="73" t="str">
        <x:v>Интер-Рао_МСФО_2025.pdf</x:v>
      </x:c>
      <x:c r="G87" s="73" t="str">
        <x:v>PDF стр. 10, 66</x:v>
      </x:c>
      <x:c r="H87" s="73" t="str">
        <x:v>Прибыль, относящаяся к акционерам, 131 029</x:v>
      </x:c>
      <x:c r="I87" s="69"/>
      <x:c r="J87" s="69"/>
      <x:c r="K87" s="69"/>
    </x:row>
    <x:row r="88" ht="15" hidden="0" customHeight="1">
      <x:c r="A88" t="str">
        <x:v>IRAO</x:v>
      </x:c>
      <x:c r="B88" t="str">
        <x:v>2025</x:v>
      </x:c>
      <x:c r="C88" s="73" t="str">
        <x:v>Капитал акционеров</x:v>
      </x:c>
      <x:c r="D88" s="73" t="str">
        <x:v>Раскрытое значение / ранее внесенное значение</x:v>
      </x:c>
      <x:c r="E88" s="74" t="n">
        <x:v>1123184</x:v>
      </x:c>
      <x:c r="F88" s="73" t="str">
        <x:v>Интер-Рао_МСФО_2025.pdf</x:v>
      </x:c>
      <x:c r="G88" s="73" t="str">
        <x:v>PDF стр. 9</x:v>
      </x:c>
      <x:c r="H88" s="73" t="str">
        <x:v>Капитал акционеров 1 123 184</x:v>
      </x:c>
      <x:c r="I88" s="69"/>
      <x:c r="J88" s="69"/>
      <x:c r="K88" s="69"/>
    </x:row>
    <x:row r="89" ht="15" hidden="0" customHeight="1">
      <x:c r="A89" t="str">
        <x:v>CHMF</x:v>
      </x:c>
      <x:c r="B89" t="str">
        <x:v>2025</x:v>
      </x:c>
      <x:c r="C89" s="73" t="str">
        <x:v>Чистый долг</x:v>
      </x:c>
      <x:c r="D89" s="73" t="str">
        <x:v>Раскрытое значение / ранее внесенное значение</x:v>
      </x:c>
      <x:c r="E89" s="74" t="n">
        <x:v>21665</x:v>
      </x:c>
      <x:c r="F89" s="73" t="str">
        <x:v>Северсталь_МСФО_2025.pdf</x:v>
      </x:c>
      <x:c r="G89" s="73" t="str">
        <x:v>PDF стр. 7, 29</x:v>
      </x:c>
      <x:c r="H89" s="73" t="str">
        <x:v>ЧД 21 665; определение и компоненты подтверждены</x:v>
      </x:c>
      <x:c r="I89" s="69"/>
      <x:c r="J89" s="69"/>
      <x:c r="K89" s="69"/>
    </x:row>
    <x:row r="90" ht="15" hidden="0" customHeight="1">
      <x:c r="A90" t="str">
        <x:v>CHMF</x:v>
      </x:c>
      <x:c r="B90" t="str">
        <x:v>2025</x:v>
      </x:c>
      <x:c r="C90" s="73" t="str">
        <x:v>Выручка</x:v>
      </x:c>
      <x:c r="D90" s="73" t="str">
        <x:v>Раскрытое значение / ранее внесенное значение</x:v>
      </x:c>
      <x:c r="E90" s="74" t="n">
        <x:v>712896</x:v>
      </x:c>
      <x:c r="F90" s="73" t="str">
        <x:v>Северсталь_МСФО_2025.pdf</x:v>
      </x:c>
      <x:c r="G90" s="73" t="str">
        <x:v>PDF стр. 5, 29</x:v>
      </x:c>
      <x:c r="H90" s="73" t="str">
        <x:v>Выручка 712 896; подтверждено</x:v>
      </x:c>
      <x:c r="I90" s="69"/>
      <x:c r="J90" s="69"/>
      <x:c r="K90" s="69"/>
    </x:row>
    <x:row r="91" ht="15" hidden="0" customHeight="1">
      <x:c r="A91" t="str">
        <x:v>CHMF</x:v>
      </x:c>
      <x:c r="B91" t="str">
        <x:v>2025</x:v>
      </x:c>
      <x:c r="C91" s="73" t="str">
        <x:v>Скорр. EBITDA</x:v>
      </x:c>
      <x:c r="D91" s="73" t="str">
        <x:v>Раскрытое значение / ранее внесенное значение</x:v>
      </x:c>
      <x:c r="E91" s="74" t="n">
        <x:v>137612</x:v>
      </x:c>
      <x:c r="F91" s="73" t="str">
        <x:v>Северсталь_МСФО_2025.pdf; CHMF_2026H1.pdf</x:v>
      </x:c>
      <x:c r="G91" s="73" t="str">
        <x:v>МСФО PDF стр. 29; 1П2026 PDF стр. 14</x:v>
      </x:c>
      <x:c r="H91" s="73" t="str">
        <x:v>EBITDA 137 612; скорректированная по составу</x:v>
      </x:c>
      <x:c r="I91" s="69"/>
      <x:c r="J91" s="69"/>
      <x:c r="K91" s="69"/>
    </x:row>
    <x:row r="92" ht="15" hidden="0" customHeight="1">
      <x:c r="A92" t="str">
        <x:v>CHMF</x:v>
      </x:c>
      <x:c r="B92" t="str">
        <x:v>2025</x:v>
      </x:c>
      <x:c r="C92" s="73" t="str">
        <x:v>ЧП акционеров</x:v>
      </x:c>
      <x:c r="D92" s="73" t="str">
        <x:v>Раскрытое значение / ранее внесенное значение</x:v>
      </x:c>
      <x:c r="E92" s="74" t="n">
        <x:v>31988</x:v>
      </x:c>
      <x:c r="F92" s="73" t="str">
        <x:v>Северсталь_МСФО_2025.pdf</x:v>
      </x:c>
      <x:c r="G92" s="73" t="str">
        <x:v>PDF стр. 9</x:v>
      </x:c>
      <x:c r="H92" s="73" t="str">
        <x:v>Прибыль акционеров 31 988; подтверждено таблицей капитала</x:v>
      </x:c>
      <x:c r="I92" s="69"/>
      <x:c r="J92" s="69"/>
      <x:c r="K92" s="69"/>
    </x:row>
    <x:row r="93" ht="15" hidden="0" customHeight="1">
      <x:c r="A93" t="str">
        <x:v>CHMF</x:v>
      </x:c>
      <x:c r="B93" t="str">
        <x:v>2025</x:v>
      </x:c>
      <x:c r="C93" s="73" t="str">
        <x:v>Капитал акционеров</x:v>
      </x:c>
      <x:c r="D93" s="73" t="str">
        <x:v>Раскрытое значение / ранее внесенное значение</x:v>
      </x:c>
      <x:c r="E93" s="74" t="n">
        <x:v>527140</x:v>
      </x:c>
      <x:c r="F93" s="73" t="str">
        <x:v>Северсталь_МСФО_2025.pdf</x:v>
      </x:c>
      <x:c r="G93" s="73" t="str">
        <x:v>PDF стр. 7</x:v>
      </x:c>
      <x:c r="H93" s="73" t="str">
        <x:v>Капитал акционеров 527 140</x:v>
      </x:c>
      <x:c r="I93" s="69"/>
      <x:c r="J93" s="69"/>
      <x:c r="K93" s="69"/>
    </x:row>
    <x:row r="94" ht="15" hidden="0" customHeight="1">
      <x:c r="A94" t="str">
        <x:v>RUAL</x:v>
      </x:c>
      <x:c r="B94" t="str">
        <x:v>2025</x:v>
      </x:c>
      <x:c r="C94" s="73" t="str">
        <x:v>Выручка</x:v>
      </x:c>
      <x:c r="D94" s="73" t="str">
        <x:v>Раскрытое значение / ранее внесенное значение</x:v>
      </x:c>
      <x:c r="E94" s="74" t="n">
        <x:v>1238584.51260274</x:v>
      </x:c>
      <x:c r="F94" s="73" t="str">
        <x:v>Русал_МСФО_2025.pdf</x:v>
      </x:c>
      <x:c r="G94" s="73" t="str">
        <x:v>PDF стр. 10</x:v>
      </x:c>
      <x:c r="H94" s="73" t="str">
        <x:v>Выручка 14 812 млн долл.; средний курс 83,6203424657534</x:v>
      </x:c>
      <x:c r="I94" s="69"/>
      <x:c r="J94" s="69"/>
      <x:c r="K94" s="69"/>
    </x:row>
    <x:row r="95" ht="15" hidden="0" customHeight="1">
      <x:c r="A95" t="str">
        <x:v>RUAL</x:v>
      </x:c>
      <x:c r="B95" t="str">
        <x:v>2025</x:v>
      </x:c>
      <x:c r="C95" s="73" t="str">
        <x:v>Скорр. EBITDA</x:v>
      </x:c>
      <x:c r="D95" s="73" t="str">
        <x:v>Раскрытое значение / ранее внесенное значение</x:v>
      </x:c>
      <x:c r="E95" s="74" t="n">
        <x:v>88052.220616438</x:v>
      </x:c>
      <x:c r="F95" s="73" t="str">
        <x:v>Русал_МСФО_2025.pdf</x:v>
      </x:c>
      <x:c r="G95" s="73" t="str">
        <x:v>PDF стр. 10, 32</x:v>
      </x:c>
      <x:c r="H95" s="73" t="str">
        <x:v>Скорректированная EBITDA 1 053 млн долл.; мост строки 1449–1453</x:v>
      </x:c>
      <x:c r="I95" s="69"/>
      <x:c r="J95" s="69"/>
      <x:c r="K95" s="69"/>
    </x:row>
    <x:row r="96" ht="15" hidden="0" customHeight="1">
      <x:c r="A96" t="str">
        <x:v>RUAL</x:v>
      </x:c>
      <x:c r="B96" t="str">
        <x:v>2025</x:v>
      </x:c>
      <x:c r="C96" s="73" t="str">
        <x:v>ЧП акционеров</x:v>
      </x:c>
      <x:c r="D96" s="73" t="str">
        <x:v>Раскрытое значение / ранее внесенное значение</x:v>
      </x:c>
      <x:c r="E96" s="74" t="n">
        <x:v>-38047.255821918</x:v>
      </x:c>
      <x:c r="F96" s="73" t="str">
        <x:v>Русал_МСФО_2025.pdf</x:v>
      </x:c>
      <x:c r="G96" s="73" t="str">
        <x:v>PDF стр. 10</x:v>
      </x:c>
      <x:c r="H96" s="73" t="str">
        <x:v>Убыток акционеров 455 млн долл.</x:v>
      </x:c>
      <x:c r="I96" s="69"/>
      <x:c r="J96" s="69"/>
      <x:c r="K96" s="69"/>
    </x:row>
    <x:row r="97" ht="15" hidden="0" customHeight="1">
      <x:c r="A97" t="str">
        <x:v>RUAL</x:v>
      </x:c>
      <x:c r="B97" t="str">
        <x:v>2025</x:v>
      </x:c>
      <x:c r="C97" s="73" t="str">
        <x:v>Капитал акционеров</x:v>
      </x:c>
      <x:c r="D97" s="73" t="str">
        <x:v>Раскрытое значение / ранее внесенное значение</x:v>
      </x:c>
      <x:c r="E97" s="74" t="n">
        <x:v>917286.2842</x:v>
      </x:c>
      <x:c r="F97" s="73" t="str">
        <x:v>Русал_МСФО_2025.pdf</x:v>
      </x:c>
      <x:c r="G97" s="73" t="str">
        <x:v>PDF стр. 13</x:v>
      </x:c>
      <x:c r="H97" s="73" t="str">
        <x:v>Капитал акционеров 11 726 млн долл.; курс 78,2267</x:v>
      </x:c>
      <x:c r="I97" s="69"/>
      <x:c r="J97" s="69"/>
      <x:c r="K97" s="69"/>
    </x:row>
    <x:row r="98" ht="15" hidden="0" customHeight="1">
      <x:c r="A98" t="str">
        <x:v>NLMK</x:v>
      </x:c>
      <x:c r="B98" t="str">
        <x:v>2025</x:v>
      </x:c>
      <x:c r="C98" s="73" t="str">
        <x:v>Выручка</x:v>
      </x:c>
      <x:c r="D98" s="73" t="str">
        <x:v>Раскрытое значение / ранее внесенное значение</x:v>
      </x:c>
      <x:c r="E98" s="74" t="n">
        <x:v>831351</x:v>
      </x:c>
      <x:c r="F98" s="73" t="str">
        <x:v>НЛМК_МСФО_2025.pdf</x:v>
      </x:c>
      <x:c r="G98" s="73" t="str">
        <x:v>PDF стр. 8</x:v>
      </x:c>
      <x:c r="H98" s="73" t="str">
        <x:v>Выручка 831 351 млн руб.</x:v>
      </x:c>
      <x:c r="I98" s="69"/>
      <x:c r="J98" s="69"/>
      <x:c r="K98" s="69"/>
    </x:row>
    <x:row r="99" ht="15" hidden="0" customHeight="1">
      <x:c r="A99" t="str">
        <x:v>NLMK</x:v>
      </x:c>
      <x:c r="B99" t="str">
        <x:v>2025</x:v>
      </x:c>
      <x:c r="C99" s="73" t="str">
        <x:v>Скорректированная EBITDA</x:v>
      </x:c>
      <x:c r="D99" s="73" t="str">
        <x:v>ИТОГО по раскрытой методике компании</x:v>
      </x:c>
      <x:c r="E99" s="84" t="n">
        <x:f>E1469</x:f>
        <x:v>140500</x:v>
      </x:c>
      <x:c r="F99" s="73" t="str">
        <x:v>НЛМК_МСФО_2025.pdf; НЛМК_Отчет_эмитента_2025.pdf</x:v>
      </x:c>
      <x:c r="G99" s="73" t="str">
        <x:v>МСФО PDF стр. 8, 11; отчет эмитента PDF стр. 8</x:v>
      </x:c>
      <x:c r="H99" s="73" t="str">
        <x:v>Скорректированная EBITDA 140 500 млн руб.; мост строки 1467–1469</x:v>
      </x:c>
      <x:c r="I99" s="69"/>
      <x:c r="J99" s="69"/>
      <x:c r="K99" s="69"/>
    </x:row>
    <x:row r="100" ht="15" hidden="0" customHeight="1">
      <x:c r="A100" t="str">
        <x:v>NLMK</x:v>
      </x:c>
      <x:c r="B100" t="str">
        <x:v>2025</x:v>
      </x:c>
      <x:c r="C100" s="73" t="str">
        <x:v>ЧП акционеров</x:v>
      </x:c>
      <x:c r="D100" s="73" t="str">
        <x:v>Раскрытое значение / ранее внесенное значение</x:v>
      </x:c>
      <x:c r="E100" s="74" t="n">
        <x:v>63105</x:v>
      </x:c>
      <x:c r="F100" s="73" t="str">
        <x:v>НЛМК_МСФО_2025.pdf</x:v>
      </x:c>
      <x:c r="G100" s="73" t="str">
        <x:v>PDF стр. 8</x:v>
      </x:c>
      <x:c r="H100" s="73" t="str">
        <x:v>Прибыль акционеров 63 105 млн руб.</x:v>
      </x:c>
      <x:c r="I100" s="69"/>
      <x:c r="J100" s="69"/>
      <x:c r="K100" s="69"/>
    </x:row>
    <x:row r="101" ht="15" hidden="0" customHeight="1">
      <x:c r="A101" t="str">
        <x:v>NLMK</x:v>
      </x:c>
      <x:c r="B101" t="str">
        <x:v>2025</x:v>
      </x:c>
      <x:c r="C101" s="73" t="str">
        <x:v>Капитал акционеров</x:v>
      </x:c>
      <x:c r="D101" s="73" t="str">
        <x:v>Раскрытое значение / ранее внесенное значение</x:v>
      </x:c>
      <x:c r="E101" s="74" t="n">
        <x:v>884251</x:v>
      </x:c>
      <x:c r="F101" s="73" t="str">
        <x:v>НЛМК_МСФО_2025.pdf</x:v>
      </x:c>
      <x:c r="G101" s="73" t="str">
        <x:v>PDF стр. 7</x:v>
      </x:c>
      <x:c r="H101" s="73" t="str">
        <x:v>Капитал акционеров 884 251 млн руб.</x:v>
      </x:c>
      <x:c r="I101" s="69"/>
      <x:c r="J101" s="69"/>
      <x:c r="K101" s="69"/>
    </x:row>
    <x:row r="102" ht="15" hidden="0" customHeight="1">
      <x:c r="A102" t="str">
        <x:v>PHOR</x:v>
      </x:c>
      <x:c r="B102" t="str">
        <x:v>2025</x:v>
      </x:c>
      <x:c r="C102" s="73" t="str">
        <x:v>Выручка</x:v>
      </x:c>
      <x:c r="D102" s="73" t="str">
        <x:v>Раскрытое значение / ранее внесенное значение</x:v>
      </x:c>
      <x:c r="E102" s="74" t="n">
        <x:v>573628</x:v>
      </x:c>
      <x:c r="F102" s="73" t="str">
        <x:v>Фосагро_МСФО_2025.pdf</x:v>
      </x:c>
      <x:c r="G102" s="73" t="str">
        <x:v>8, 22</x:v>
      </x:c>
      <x:c r="H102" s="73" t="str">
        <x:v>Страница найдена по сумме; определение требует сверки</x:v>
      </x:c>
      <x:c r="I102" s="69"/>
      <x:c r="J102" s="69"/>
      <x:c r="K102" s="69"/>
    </x:row>
    <x:row r="103" ht="15" hidden="0" customHeight="1">
      <x:c r="A103" t="str">
        <x:v>PHOR</x:v>
      </x:c>
      <x:c r="B103" t="str">
        <x:v>2025</x:v>
      </x:c>
      <x:c r="C103" s="73" t="str">
        <x:v>EBITDA</x:v>
      </x:c>
      <x:c r="D103" s="73" t="str">
        <x:v>Раскрытое значение / ранее внесенное значение</x:v>
      </x:c>
      <x:c r="E103" s="74" t="n">
        <x:v>176317</x:v>
      </x:c>
      <x:c r="F103" s="73" t="str">
        <x:v>Фосагро_МСФО_2025.pdf</x:v>
      </x:c>
      <x:c r="G103" s="73" t="str"/>
      <x:c r="H103" s="73" t="str">
        <x:v>Страница пока не подтверждена</x:v>
      </x:c>
      <x:c r="I103" s="69"/>
      <x:c r="J103" s="69"/>
      <x:c r="K103" s="69"/>
    </x:row>
    <x:row r="104" ht="15" hidden="0" customHeight="1">
      <x:c r="A104" t="str">
        <x:v>PHOR</x:v>
      </x:c>
      <x:c r="B104" t="str">
        <x:v>2025</x:v>
      </x:c>
      <x:c r="C104" s="73" t="str">
        <x:v>Скорр. EBITDA</x:v>
      </x:c>
      <x:c r="D104" s="73" t="str">
        <x:v>Раскрытое значение / ранее внесенное значение</x:v>
      </x:c>
      <x:c r="E104" s="74" t="n">
        <x:v>199448</x:v>
      </x:c>
      <x:c r="F104" s="73" t="str">
        <x:v>Фосагро_МСФО_2025.pdf</x:v>
      </x:c>
      <x:c r="G104" s="73" t="str"/>
      <x:c r="H104" s="73" t="str">
        <x:v>Страница пока не подтверждена</x:v>
      </x:c>
      <x:c r="I104" s="69"/>
      <x:c r="J104" s="69"/>
      <x:c r="K104" s="69"/>
    </x:row>
    <x:row r="105" ht="15" hidden="0" customHeight="1">
      <x:c r="A105" t="str">
        <x:v>PHOR</x:v>
      </x:c>
      <x:c r="B105" t="str">
        <x:v>2025</x:v>
      </x:c>
      <x:c r="C105" s="73" t="str">
        <x:v>ЧП акционеров</x:v>
      </x:c>
      <x:c r="D105" s="73" t="str">
        <x:v>Раскрытое значение / ранее внесенное значение</x:v>
      </x:c>
      <x:c r="E105" s="74" t="n">
        <x:v>114205</x:v>
      </x:c>
      <x:c r="F105" s="73" t="str">
        <x:v>Фосагро_МСФО_2025.pdf</x:v>
      </x:c>
      <x:c r="G105" s="73" t="str">
        <x:v>8, 11, 32</x:v>
      </x:c>
      <x:c r="H105" s="73" t="str">
        <x:v>Страница найдена по сумме; определение требует сверки</x:v>
      </x:c>
      <x:c r="I105" s="69"/>
      <x:c r="J105" s="69"/>
      <x:c r="K105" s="69"/>
    </x:row>
    <x:row r="106" ht="15" hidden="0" customHeight="1">
      <x:c r="A106" t="str">
        <x:v>PHOR</x:v>
      </x:c>
      <x:c r="B106" t="str">
        <x:v>2025</x:v>
      </x:c>
      <x:c r="C106" s="73" t="str">
        <x:v>Капитал акционеров</x:v>
      </x:c>
      <x:c r="D106" s="73" t="str">
        <x:v>Раскрытое значение / ранее внесенное значение</x:v>
      </x:c>
      <x:c r="E106" s="74" t="n">
        <x:v>239618</x:v>
      </x:c>
      <x:c r="F106" s="73" t="str">
        <x:v>Фосагро_МСФО_2025.pdf</x:v>
      </x:c>
      <x:c r="G106" s="73" t="str">
        <x:v>9, 11, 42</x:v>
      </x:c>
      <x:c r="H106" s="73" t="str">
        <x:v>Страница найдена по сумме; определение требует сверки</x:v>
      </x:c>
      <x:c r="I106" s="69"/>
      <x:c r="J106" s="69"/>
      <x:c r="K106" s="69"/>
    </x:row>
    <x:row r="107" ht="15" hidden="0" customHeight="1">
      <x:c r="A107" t="str">
        <x:v>PHOR</x:v>
      </x:c>
      <x:c r="B107" t="str">
        <x:v>2025</x:v>
      </x:c>
      <x:c r="C107" s="73" t="str">
        <x:v>Краткосрочный долг</x:v>
      </x:c>
      <x:c r="D107" s="73" t="str">
        <x:v>Раскрытое значение / ранее внесенное значение</x:v>
      </x:c>
      <x:c r="E107" s="74" t="n">
        <x:v>209715</x:v>
      </x:c>
      <x:c r="F107" s="73" t="str">
        <x:v>Фосагро_МСФО_2025.pdf</x:v>
      </x:c>
      <x:c r="G107" s="73" t="str">
        <x:v>9, 33, 34</x:v>
      </x:c>
      <x:c r="H107" s="73" t="str">
        <x:v>Страница найдена по сумме; определение требует сверки</x:v>
      </x:c>
      <x:c r="I107" s="69"/>
      <x:c r="J107" s="69"/>
      <x:c r="K107" s="69"/>
    </x:row>
    <x:row r="108" ht="15" hidden="0" customHeight="1">
      <x:c r="A108" t="str">
        <x:v>PHOR</x:v>
      </x:c>
      <x:c r="B108" t="str">
        <x:v>2025</x:v>
      </x:c>
      <x:c r="C108" s="73" t="str">
        <x:v>Долгосрочный долг</x:v>
      </x:c>
      <x:c r="D108" s="73" t="str">
        <x:v>Раскрытое значение / ранее внесенное значение</x:v>
      </x:c>
      <x:c r="E108" s="74" t="n">
        <x:v>119062</x:v>
      </x:c>
      <x:c r="F108" s="73" t="str">
        <x:v>Фосагро_МСФО_2025.pdf</x:v>
      </x:c>
      <x:c r="G108" s="73" t="str">
        <x:v>9, 33</x:v>
      </x:c>
      <x:c r="H108" s="73" t="str">
        <x:v>Страница найдена по сумме; определение требует сверки</x:v>
      </x:c>
      <x:c r="I108" s="69"/>
      <x:c r="J108" s="69"/>
      <x:c r="K108" s="69"/>
    </x:row>
    <x:row r="109" ht="15" hidden="0" customHeight="1">
      <x:c r="A109" t="str">
        <x:v>PHOR</x:v>
      </x:c>
      <x:c r="B109" t="str">
        <x:v>2025</x:v>
      </x:c>
      <x:c r="C109" s="73" t="str">
        <x:v>Денежные средства</x:v>
      </x:c>
      <x:c r="D109" s="73" t="str">
        <x:v>Раскрытое значение / ранее внесенное значение</x:v>
      </x:c>
      <x:c r="E109" s="74" t="n">
        <x:v>14681</x:v>
      </x:c>
      <x:c r="F109" s="73" t="str">
        <x:v>Фосагро_МСФО_2025.pdf</x:v>
      </x:c>
      <x:c r="G109" s="73" t="str">
        <x:v>9, 10, 31, 39</x:v>
      </x:c>
      <x:c r="H109" s="73" t="str">
        <x:v>Страница найдена по сумме; определение требует сверки</x:v>
      </x:c>
      <x:c r="I109" s="69"/>
      <x:c r="J109" s="69"/>
      <x:c r="K109" s="69"/>
    </x:row>
    <x:row r="110" ht="15" hidden="0" customHeight="1">
      <x:c r="A110" t="str">
        <x:v>PHOR</x:v>
      </x:c>
      <x:c r="B110" t="str">
        <x:v>2025</x:v>
      </x:c>
      <x:c r="C110" s="73" t="str">
        <x:v>Арендные обязательства вне кредитов</x:v>
      </x:c>
      <x:c r="D110" s="73" t="str">
        <x:v>Раскрытое значение / ранее внесенное значение</x:v>
      </x:c>
      <x:c r="E110" s="74" t="n">
        <x:v>6372</x:v>
      </x:c>
      <x:c r="F110" s="73" t="str">
        <x:v>Фосагро_МСФО_2025.pdf</x:v>
      </x:c>
      <x:c r="G110" s="73" t="str">
        <x:v>36, 39, 42</x:v>
      </x:c>
      <x:c r="H110" s="73" t="str">
        <x:v>Страница найдена по сумме; определение требует сверки</x:v>
      </x:c>
      <x:c r="I110" s="69"/>
      <x:c r="J110" s="69"/>
      <x:c r="K110" s="69"/>
    </x:row>
    <x:row r="111" ht="15" hidden="0" customHeight="1">
      <x:c r="A111" t="str">
        <x:v>RTKM</x:v>
      </x:c>
      <x:c r="B111" t="str">
        <x:v>2025</x:v>
      </x:c>
      <x:c r="C111" s="73" t="str">
        <x:v>Выручка</x:v>
      </x:c>
      <x:c r="D111" s="73" t="str">
        <x:v>Раскрытое значение / ранее внесенное значение</x:v>
      </x:c>
      <x:c r="E111" s="74" t="n">
        <x:v>872790</x:v>
      </x:c>
      <x:c r="F111" s="73" t="str">
        <x:v>Ростелеком_МСФО_2025.pdf</x:v>
      </x:c>
      <x:c r="G111" s="73" t="str">
        <x:v>3, 101, 105</x:v>
      </x:c>
      <x:c r="H111" s="73" t="str">
        <x:v>Страница найдена по сумме; определение требует сверки</x:v>
      </x:c>
      <x:c r="I111" s="69"/>
      <x:c r="J111" s="69"/>
      <x:c r="K111" s="69"/>
    </x:row>
    <x:row r="112" ht="15" hidden="0" customHeight="1">
      <x:c r="A112" t="str">
        <x:v>RTKM</x:v>
      </x:c>
      <x:c r="B112" t="str">
        <x:v>2025</x:v>
      </x:c>
      <x:c r="C112" s="73" t="str">
        <x:v>OIBDA</x:v>
      </x:c>
      <x:c r="D112" s="73" t="str">
        <x:v>Раскрытое значение / ранее внесенное значение</x:v>
      </x:c>
      <x:c r="E112" s="74" t="n">
        <x:v>331048</x:v>
      </x:c>
      <x:c r="F112" s="73" t="str">
        <x:v>Ростелеком_МСФО_2025.pdf</x:v>
      </x:c>
      <x:c r="G112" s="73" t="str">
        <x:v>105</x:v>
      </x:c>
      <x:c r="H112" s="73" t="str">
        <x:v>Страница найдена по сумме; определение требует сверки</x:v>
      </x:c>
      <x:c r="I112" s="69"/>
      <x:c r="J112" s="69"/>
      <x:c r="K112" s="69"/>
    </x:row>
    <x:row r="113" ht="15" hidden="0" customHeight="1">
      <x:c r="A113" t="str">
        <x:v>RTKM</x:v>
      </x:c>
      <x:c r="B113" t="str">
        <x:v>2025</x:v>
      </x:c>
      <x:c r="C113" s="73" t="str">
        <x:v>ЧП акционеров</x:v>
      </x:c>
      <x:c r="D113" s="73" t="str">
        <x:v>Раскрытое значение / ранее внесенное значение</x:v>
      </x:c>
      <x:c r="E113" s="74" t="n">
        <x:v>11346</x:v>
      </x:c>
      <x:c r="F113" s="73" t="str">
        <x:v>Ростелеком_МСФО_2025.pdf</x:v>
      </x:c>
      <x:c r="G113" s="73" t="str">
        <x:v>3, 5, 107</x:v>
      </x:c>
      <x:c r="H113" s="73" t="str">
        <x:v>Страница найдена по сумме; определение требует сверки</x:v>
      </x:c>
      <x:c r="I113" s="69"/>
      <x:c r="J113" s="69"/>
      <x:c r="K113" s="69"/>
    </x:row>
    <x:row r="114" ht="15" hidden="0" customHeight="1">
      <x:c r="A114" t="str">
        <x:v>RTKM</x:v>
      </x:c>
      <x:c r="B114" t="str">
        <x:v>2025</x:v>
      </x:c>
      <x:c r="C114" s="73" t="str">
        <x:v>Капитал акционеров</x:v>
      </x:c>
      <x:c r="D114" s="73" t="str">
        <x:v>Раскрытое значение / ранее внесенное значение</x:v>
      </x:c>
      <x:c r="E114" s="74" t="n">
        <x:v>222429</x:v>
      </x:c>
      <x:c r="F114" s="73" t="str">
        <x:v>Ростелеком_МСФО_2025.pdf</x:v>
      </x:c>
      <x:c r="G114" s="73" t="str">
        <x:v>2, 5</x:v>
      </x:c>
      <x:c r="H114" s="73" t="str">
        <x:v>Страница найдена по сумме; определение требует сверки</x:v>
      </x:c>
      <x:c r="I114" s="69"/>
      <x:c r="J114" s="69"/>
      <x:c r="K114" s="69"/>
    </x:row>
    <x:row r="115" ht="15" hidden="0" customHeight="1">
      <x:c r="A115" t="str">
        <x:v>AFLT</x:v>
      </x:c>
      <x:c r="B115" t="str">
        <x:v>2025</x:v>
      </x:c>
      <x:c r="C115" s="73" t="str">
        <x:v>Выручка</x:v>
      </x:c>
      <x:c r="D115" s="73" t="str">
        <x:v>Раскрытое значение / ранее внесенное значение</x:v>
      </x:c>
      <x:c r="E115" s="74" t="n">
        <x:v>902261</x:v>
      </x:c>
      <x:c r="F115" s="73" t="str">
        <x:v>Аэрофлот_МСФО_2025.pdf</x:v>
      </x:c>
      <x:c r="G115" s="73" t="str">
        <x:v>PDF стр. 70</x:v>
      </x:c>
      <x:c r="H115" s="73" t="str">
        <x:v>Выручка 902 261; подтверждено</x:v>
      </x:c>
      <x:c r="I115" s="69"/>
      <x:c r="J115" s="69"/>
      <x:c r="K115" s="69"/>
    </x:row>
    <x:row r="116" ht="15" hidden="0" customHeight="1">
      <x:c r="A116" t="str">
        <x:v>AFLT</x:v>
      </x:c>
      <x:c r="B116" t="str">
        <x:v>2025</x:v>
      </x:c>
      <x:c r="C116" s="73" t="str">
        <x:v>EBITDA</x:v>
      </x:c>
      <x:c r="D116" s="73" t="str">
        <x:v>Раскрытое значение / ранее внесенное значение</x:v>
      </x:c>
      <x:c r="E116" s="74" t="n">
        <x:v>253651</x:v>
      </x:c>
      <x:c r="F116" s="73" t="str">
        <x:v>Аэрофлот_МСФО_2025.pdf</x:v>
      </x:c>
      <x:c r="G116" s="73" t="str">
        <x:v>PDF стр. 78</x:v>
      </x:c>
      <x:c r="H116" s="73" t="str">
        <x:v>EBITDA 253 651; подтверждено</x:v>
      </x:c>
      <x:c r="I116" s="69"/>
      <x:c r="J116" s="69"/>
      <x:c r="K116" s="69"/>
    </x:row>
    <x:row r="117" ht="15" hidden="0" customHeight="1">
      <x:c r="A117" t="str">
        <x:v>AFLT</x:v>
      </x:c>
      <x:c r="B117" t="str">
        <x:v>2025</x:v>
      </x:c>
      <x:c r="C117" s="73" t="str">
        <x:v>Скорр. EBITDA</x:v>
      </x:c>
      <x:c r="D117" s="73" t="str">
        <x:v>Раскрытое значение / ранее внесенное значение</x:v>
      </x:c>
      <x:c r="E117" s="74" t="n">
        <x:v>185036</x:v>
      </x:c>
      <x:c r="F117" s="73" t="str">
        <x:v>Аэрофлот_презентация_инвесторам_2025.pdf</x:v>
      </x:c>
      <x:c r="G117" s="73" t="str">
        <x:v>PDF стр. 18</x:v>
      </x:c>
      <x:c r="H117" s="73" t="str">
        <x:v>Скорректированная EBITDA 185 036; классифицирована как скорректированная</x:v>
      </x:c>
      <x:c r="I117" s="69"/>
      <x:c r="J117" s="69"/>
      <x:c r="K117" s="69"/>
    </x:row>
    <x:row r="118" ht="15" hidden="0" customHeight="1">
      <x:c r="A118" t="str">
        <x:v>AFLT</x:v>
      </x:c>
      <x:c r="B118" t="str">
        <x:v>2025</x:v>
      </x:c>
      <x:c r="C118" s="73" t="str">
        <x:v>ЧП акционеров</x:v>
      </x:c>
      <x:c r="D118" s="73" t="str">
        <x:v>Раскрытое значение / ранее внесенное значение</x:v>
      </x:c>
      <x:c r="E118" s="74" t="n">
        <x:v>104692</x:v>
      </x:c>
      <x:c r="F118" s="73" t="str">
        <x:v>Аэрофлот_МСФО_2025.pdf</x:v>
      </x:c>
      <x:c r="G118" s="73" t="str">
        <x:v>PDF стр. 14</x:v>
      </x:c>
      <x:c r="H118" s="73" t="str">
        <x:v>Прибыль акционеров 104 692; прибыль группы 105 505</x:v>
      </x:c>
      <x:c r="I118" s="69"/>
      <x:c r="J118" s="69"/>
      <x:c r="K118" s="69"/>
    </x:row>
    <x:row r="119" ht="15" hidden="0" customHeight="1">
      <x:c r="A119" t="str">
        <x:v>AFLT</x:v>
      </x:c>
      <x:c r="B119" t="str">
        <x:v>2025</x:v>
      </x:c>
      <x:c r="C119" s="73" t="str">
        <x:v>Капитал акционеров</x:v>
      </x:c>
      <x:c r="D119" s="73" t="str">
        <x:v>Раскрытое значение / ранее внесенное значение</x:v>
      </x:c>
      <x:c r="E119" s="74" t="n">
        <x:v>66538</x:v>
      </x:c>
      <x:c r="F119" s="73" t="str">
        <x:v>Аэрофлот_МСФО_2025.pdf</x:v>
      </x:c>
      <x:c r="G119" s="73" t="str">
        <x:v>PDF стр. 11, 14</x:v>
      </x:c>
      <x:c r="H119" s="73" t="str">
        <x:v>Капитал акционеров 66 538; НКД −15 832; общий капитал 50 706</x:v>
      </x:c>
      <x:c r="I119" s="69"/>
      <x:c r="J119" s="69"/>
      <x:c r="K119" s="69"/>
    </x:row>
    <x:row r="120" ht="15" hidden="0" customHeight="1">
      <x:c r="A120" t="str">
        <x:v>MAGN</x:v>
      </x:c>
      <x:c r="B120" t="str">
        <x:v>2025</x:v>
      </x:c>
      <x:c r="C120" s="73" t="str">
        <x:v>Чистый долг</x:v>
      </x:c>
      <x:c r="D120" s="73" t="str">
        <x:v>Раскрытое значение / ранее внесенное значение</x:v>
      </x:c>
      <x:c r="E120" s="74" t="n">
        <x:v>-79923</x:v>
      </x:c>
      <x:c r="F120" s="73" t="str">
        <x:v>ММК_МСФО_2025.pdf</x:v>
      </x:c>
      <x:c r="G120" s="73" t="str">
        <x:v>48</x:v>
      </x:c>
      <x:c r="H120" s="73" t="str">
        <x:v>Страница найдена по сумме; определение требует сверки</x:v>
      </x:c>
      <x:c r="I120" s="69"/>
      <x:c r="J120" s="69"/>
      <x:c r="K120" s="69"/>
    </x:row>
    <x:row r="121" ht="15" hidden="0" customHeight="1">
      <x:c r="A121" t="str">
        <x:v>MAGN</x:v>
      </x:c>
      <x:c r="B121" t="str">
        <x:v>2025</x:v>
      </x:c>
      <x:c r="C121" s="73" t="str">
        <x:v>Выручка</x:v>
      </x:c>
      <x:c r="D121" s="73" t="str">
        <x:v>Раскрытое значение / ранее внесенное значение</x:v>
      </x:c>
      <x:c r="E121" s="74" t="n">
        <x:v>609865</x:v>
      </x:c>
      <x:c r="F121" s="73" t="str">
        <x:v>ММК_МСФО_2025.pdf</x:v>
      </x:c>
      <x:c r="G121" s="73" t="str">
        <x:v>9, 35, 36, 37</x:v>
      </x:c>
      <x:c r="H121" s="73" t="str">
        <x:v>Страница найдена по сумме; определение требует сверки</x:v>
      </x:c>
      <x:c r="I121" s="69"/>
      <x:c r="J121" s="69"/>
      <x:c r="K121" s="69"/>
    </x:row>
    <x:row r="122" ht="15" hidden="0" customHeight="1">
      <x:c r="A122" t="str">
        <x:v>MAGN</x:v>
      </x:c>
      <x:c r="B122" t="str">
        <x:v>2025</x:v>
      </x:c>
      <x:c r="C122" s="73" t="str">
        <x:v>Скорр. EBITDA</x:v>
      </x:c>
      <x:c r="D122" s="73" t="str">
        <x:v>Раскрытое значение / ранее внесенное значение</x:v>
      </x:c>
      <x:c r="E122" s="74" t="n">
        <x:v>80757</x:v>
      </x:c>
      <x:c r="F122" s="73" t="str">
        <x:v>ММК_МСФО_2025.pdf</x:v>
      </x:c>
      <x:c r="G122" s="73" t="str">
        <x:v>37</x:v>
      </x:c>
      <x:c r="H122" s="73" t="str">
        <x:v>Страница найдена по сумме; определение требует сверки</x:v>
      </x:c>
      <x:c r="I122" s="69"/>
      <x:c r="J122" s="69"/>
      <x:c r="K122" s="69"/>
    </x:row>
    <x:row r="123" ht="15" hidden="0" customHeight="1">
      <x:c r="A123" t="str">
        <x:v>MAGN</x:v>
      </x:c>
      <x:c r="B123" t="str">
        <x:v>2025</x:v>
      </x:c>
      <x:c r="C123" s="73" t="str">
        <x:v>ЧП акционеров</x:v>
      </x:c>
      <x:c r="D123" s="73" t="str">
        <x:v>Раскрытое значение / ранее внесенное значение</x:v>
      </x:c>
      <x:c r="E123" s="74" t="n">
        <x:v>-14061</x:v>
      </x:c>
      <x:c r="F123" s="73" t="str">
        <x:v>ММК_МСФО_2025.pdf</x:v>
      </x:c>
      <x:c r="G123" s="73" t="str">
        <x:v>9, 11</x:v>
      </x:c>
      <x:c r="H123" s="73" t="str">
        <x:v>Страница найдена по сумме; определение требует сверки</x:v>
      </x:c>
      <x:c r="I123" s="69"/>
      <x:c r="J123" s="69"/>
      <x:c r="K123" s="69"/>
    </x:row>
    <x:row r="124" ht="15" hidden="0" customHeight="1">
      <x:c r="A124" t="str">
        <x:v>MAGN</x:v>
      </x:c>
      <x:c r="B124" t="str">
        <x:v>2025</x:v>
      </x:c>
      <x:c r="C124" s="73" t="str">
        <x:v>Капитал акционеров</x:v>
      </x:c>
      <x:c r="D124" s="73" t="str">
        <x:v>Раскрытое значение / ранее внесенное значение</x:v>
      </x:c>
      <x:c r="E124" s="74" t="n">
        <x:v>664545</x:v>
      </x:c>
      <x:c r="F124" s="73" t="str">
        <x:v>ММК_МСФО_2025.pdf</x:v>
      </x:c>
      <x:c r="G124" s="73" t="str">
        <x:v>10, 11</x:v>
      </x:c>
      <x:c r="H124" s="73" t="str">
        <x:v>Страница найдена по сумме; определение требует сверки</x:v>
      </x:c>
      <x:c r="I124" s="69"/>
      <x:c r="J124" s="69"/>
      <x:c r="K124" s="69"/>
    </x:row>
    <x:row r="125" ht="15" hidden="0" customHeight="1">
      <x:c r="A125" t="str">
        <x:v>MAGN</x:v>
      </x:c>
      <x:c r="B125" t="str">
        <x:v>2025</x:v>
      </x:c>
      <x:c r="C125" s="73" t="str">
        <x:v>Краткосрочный долг</x:v>
      </x:c>
      <x:c r="D125" s="73" t="str">
        <x:v>Раскрытое значение / ранее внесенное значение</x:v>
      </x:c>
      <x:c r="E125" s="74" t="n">
        <x:v>22801</x:v>
      </x:c>
      <x:c r="F125" s="73" t="str">
        <x:v>MAGN_2026H1.pdf</x:v>
      </x:c>
      <x:c r="G125" s="73" t="str">
        <x:v>7</x:v>
      </x:c>
      <x:c r="H125" s="73" t="str">
        <x:v>Сверено с таблицей отчета</x:v>
      </x:c>
      <x:c r="I125" s="69"/>
      <x:c r="J125" s="69"/>
      <x:c r="K125" s="69"/>
    </x:row>
    <x:row r="126" ht="15" hidden="0" customHeight="1">
      <x:c r="A126" t="str">
        <x:v>MAGN</x:v>
      </x:c>
      <x:c r="B126" t="str">
        <x:v>2025</x:v>
      </x:c>
      <x:c r="C126" s="73" t="str">
        <x:v>Долгосрочный долг</x:v>
      </x:c>
      <x:c r="D126" s="73" t="str">
        <x:v>Раскрытое значение / ранее внесенное значение</x:v>
      </x:c>
      <x:c r="E126" s="74" t="n">
        <x:v>15513</x:v>
      </x:c>
      <x:c r="F126" s="73" t="str">
        <x:v>MAGN_2026H1.pdf</x:v>
      </x:c>
      <x:c r="G126" s="73" t="str">
        <x:v>7</x:v>
      </x:c>
      <x:c r="H126" s="73" t="str">
        <x:v>Сверено с таблицей отчета</x:v>
      </x:c>
      <x:c r="I126" s="69"/>
      <x:c r="J126" s="69"/>
      <x:c r="K126" s="69"/>
    </x:row>
    <x:row r="127" ht="15" hidden="0" customHeight="1">
      <x:c r="A127" t="str">
        <x:v>MAGN</x:v>
      </x:c>
      <x:c r="B127" t="str">
        <x:v>2025</x:v>
      </x:c>
      <x:c r="C127" s="73" t="str">
        <x:v>Денежные средства</x:v>
      </x:c>
      <x:c r="D127" s="73" t="str">
        <x:v>Раскрытое значение / ранее внесенное значение</x:v>
      </x:c>
      <x:c r="E127" s="74" t="n">
        <x:v>38107</x:v>
      </x:c>
      <x:c r="F127" s="73" t="str">
        <x:v>MAGN_2026H1.pdf</x:v>
      </x:c>
      <x:c r="G127" s="73" t="str">
        <x:v>7</x:v>
      </x:c>
      <x:c r="H127" s="73" t="str">
        <x:v>Сверено с таблицей отчета</x:v>
      </x:c>
      <x:c r="I127" s="69"/>
      <x:c r="J127" s="69"/>
      <x:c r="K127" s="69"/>
    </x:row>
    <x:row r="128" ht="15" hidden="0" customHeight="1">
      <x:c r="A128" t="str">
        <x:v>MAGN</x:v>
      </x:c>
      <x:c r="B128" t="str">
        <x:v>2025</x:v>
      </x:c>
      <x:c r="C128" s="73" t="str">
        <x:v>Арендные обязательства вне кредитов</x:v>
      </x:c>
      <x:c r="D128" s="73" t="str">
        <x:v>Раскрытое значение / ранее внесенное значение</x:v>
      </x:c>
      <x:c r="E128" s="74" t="n">
        <x:v>2170</x:v>
      </x:c>
      <x:c r="F128" s="73" t="str">
        <x:v>ММК_МСФО_2025.pdf</x:v>
      </x:c>
      <x:c r="G128" s="73" t="str">
        <x:v>48</x:v>
      </x:c>
      <x:c r="H128" s="73" t="str">
        <x:v>Страница найдена по сумме; определение требует сверки</x:v>
      </x:c>
      <x:c r="I128" s="69"/>
      <x:c r="J128" s="69"/>
      <x:c r="K128" s="69"/>
    </x:row>
    <x:row r="129" ht="15" hidden="0" customHeight="1">
      <x:c r="A129" t="str">
        <x:v>ENPG</x:v>
      </x:c>
      <x:c r="B129" t="str">
        <x:v>2025</x:v>
      </x:c>
      <x:c r="C129" s="73" t="str">
        <x:v>Выручка</x:v>
      </x:c>
      <x:c r="D129" s="73" t="str">
        <x:v>Раскрытое значение / ранее внесенное значение</x:v>
      </x:c>
      <x:c r="E129" s="74" t="n">
        <x:v>1480330.922671233</x:v>
      </x:c>
      <x:c r="F129" s="73" t="str">
        <x:v>Эн+_отчет_МСФО_2025.pdf</x:v>
      </x:c>
      <x:c r="G129" s="73" t="str"/>
      <x:c r="H129" s="73" t="str">
        <x:v>Страница пока не подтверждена</x:v>
      </x:c>
      <x:c r="I129" s="69"/>
      <x:c r="J129" s="69"/>
      <x:c r="K129" s="69"/>
    </x:row>
    <x:row r="130" ht="15" hidden="0" customHeight="1">
      <x:c r="A130" t="str">
        <x:v>ENPG</x:v>
      </x:c>
      <x:c r="B130" t="str">
        <x:v>2025</x:v>
      </x:c>
      <x:c r="C130" s="73" t="str">
        <x:v>Скорр. EBITDA</x:v>
      </x:c>
      <x:c r="D130" s="73" t="str">
        <x:v>Раскрытое значение / ранее внесенное значение</x:v>
      </x:c>
      <x:c r="E130" s="74" t="n">
        <x:v>225774.924657534</x:v>
      </x:c>
      <x:c r="F130" s="73" t="str">
        <x:v>Эн+_отчет_МСФО_2025.pdf</x:v>
      </x:c>
      <x:c r="G130" s="73" t="str"/>
      <x:c r="H130" s="73" t="str">
        <x:v>Страница пока не подтверждена</x:v>
      </x:c>
      <x:c r="I130" s="69"/>
      <x:c r="J130" s="69"/>
      <x:c r="K130" s="69"/>
    </x:row>
    <x:row r="131" ht="15" hidden="0" customHeight="1">
      <x:c r="A131" t="str">
        <x:v>ENPG</x:v>
      </x:c>
      <x:c r="B131" t="str">
        <x:v>2025</x:v>
      </x:c>
      <x:c r="C131" s="73" t="str">
        <x:v>ЧП акционеров</x:v>
      </x:c>
      <x:c r="D131" s="73" t="str">
        <x:v>Раскрытое значение / ранее внесенное значение</x:v>
      </x:c>
      <x:c r="E131" s="74" t="n">
        <x:v>35789.506575342</x:v>
      </x:c>
      <x:c r="F131" s="73" t="str">
        <x:v>Эн+_отчет_МСФО_2025.pdf</x:v>
      </x:c>
      <x:c r="G131" s="73" t="str"/>
      <x:c r="H131" s="73" t="str">
        <x:v>Страница пока не подтверждена</x:v>
      </x:c>
      <x:c r="I131" s="69"/>
      <x:c r="J131" s="69"/>
      <x:c r="K131" s="69"/>
    </x:row>
    <x:row r="132" ht="15" hidden="0" customHeight="1">
      <x:c r="A132" t="str">
        <x:v>ENPG</x:v>
      </x:c>
      <x:c r="B132" t="str">
        <x:v>2025</x:v>
      </x:c>
      <x:c r="C132" s="73" t="str">
        <x:v>Капитал акционеров</x:v>
      </x:c>
      <x:c r="D132" s="73" t="str">
        <x:v>Раскрытое значение / ранее внесенное значение</x:v>
      </x:c>
      <x:c r="E132" s="74" t="n">
        <x:v>707404.0481</x:v>
      </x:c>
      <x:c r="F132" s="73" t="str">
        <x:v>Эн+_отчет_МСФО_2025.pdf</x:v>
      </x:c>
      <x:c r="G132" s="73" t="str"/>
      <x:c r="H132" s="73" t="str">
        <x:v>Страница пока не подтверждена</x:v>
      </x:c>
      <x:c r="I132" s="69"/>
      <x:c r="J132" s="69"/>
      <x:c r="K132" s="69"/>
    </x:row>
    <x:row r="133" ht="15" hidden="0" customHeight="1">
      <x:c r="A133" t="str">
        <x:v>MDMG</x:v>
      </x:c>
      <x:c r="B133" t="str">
        <x:v>2025</x:v>
      </x:c>
      <x:c r="C133" s="73" t="str">
        <x:v>Выручка</x:v>
      </x:c>
      <x:c r="D133" s="73" t="str">
        <x:v>Раскрытое значение / ранее внесенное значение</x:v>
      </x:c>
      <x:c r="E133" s="74" t="n">
        <x:v>43454.955</x:v>
      </x:c>
      <x:c r="F133" s="73" t="str">
        <x:v>MD Medical Group — Consolidated Financial Statements for 2025 (официальный сайт компании)</x:v>
      </x:c>
      <x:c r="G133" s="73" t="str">
        <x:v>PDF стр. 42</x:v>
      </x:c>
      <x:c r="H133" s="73" t="str">
        <x:v>Подтверждено по отчету о прибыли и примечанию о выручке</x:v>
      </x:c>
      <x:c r="I133" s="69"/>
      <x:c r="J133" s="69"/>
      <x:c r="K133" s="69"/>
    </x:row>
    <x:row r="134" ht="15" hidden="0" customHeight="1">
      <x:c r="A134" t="str">
        <x:v>MDMG</x:v>
      </x:c>
      <x:c r="B134" t="str">
        <x:v>2025</x:v>
      </x:c>
      <x:c r="C134" s="73" t="str">
        <x:v>EBITDA</x:v>
      </x:c>
      <x:c r="D134" s="73" t="str">
        <x:v>Раскрытое значение / ранее внесенное значение</x:v>
      </x:c>
      <x:c r="E134" s="74" t="n">
        <x:v>13289</x:v>
      </x:c>
      <x:c r="F134" s="73" t="str">
        <x:v>MD Medical Group — FY 2025 IFRS Financial Results, 30.03.2026 (официальный пресс-релиз)</x:v>
      </x:c>
      <x:c r="G134" s="73" t="str">
        <x:v>PDF стр. 1, 4–5</x:v>
      </x:c>
      <x:c r="H134" s="73" t="str">
        <x:v>Подтверждено: раскрытая EBITDA компании, без дополнительных корректировок</x:v>
      </x:c>
      <x:c r="I134" s="69"/>
      <x:c r="J134" s="69"/>
      <x:c r="K134" s="69"/>
    </x:row>
    <x:row r="135" ht="15" hidden="0" customHeight="1">
      <x:c r="A135" t="str">
        <x:v>MDMG</x:v>
      </x:c>
      <x:c r="B135" t="str">
        <x:v>2025</x:v>
      </x:c>
      <x:c r="C135" s="73" t="str">
        <x:v>ЧП акционеров</x:v>
      </x:c>
      <x:c r="D135" s="73" t="str">
        <x:v>Раскрытое значение / ранее внесенное значение</x:v>
      </x:c>
      <x:c r="E135" s="74" t="n">
        <x:v>10753.417</x:v>
      </x:c>
      <x:c r="F135" s="73" t="str">
        <x:v>MD Medical Group — Consolidated Financial Statements for 2025 (официальный сайт компании)</x:v>
      </x:c>
      <x:c r="G135" s="73" t="str">
        <x:v>PDF стр. 20</x:v>
      </x:c>
      <x:c r="H135" s="73" t="str">
        <x:v>Подтверждено: прибыль, относимая к акционерам материнской компании</x:v>
      </x:c>
      <x:c r="I135" s="69"/>
      <x:c r="J135" s="69"/>
      <x:c r="K135" s="69"/>
    </x:row>
    <x:row r="136" ht="15" hidden="0" customHeight="1">
      <x:c r="A136" t="str">
        <x:v>MDMG</x:v>
      </x:c>
      <x:c r="B136" t="str">
        <x:v>2025</x:v>
      </x:c>
      <x:c r="C136" s="73" t="str">
        <x:v>Капитал акционеров</x:v>
      </x:c>
      <x:c r="D136" s="73" t="str">
        <x:v>Раскрытое значение / ранее внесенное значение</x:v>
      </x:c>
      <x:c r="E136" s="74" t="n">
        <x:v>36504.232</x:v>
      </x:c>
      <x:c r="F136" s="73" t="str">
        <x:v>MD Medical Group — Consolidated Financial Statements for 2025 (официальный сайт компании)</x:v>
      </x:c>
      <x:c r="G136" s="73" t="str">
        <x:v>PDF стр. 18, 20</x:v>
      </x:c>
      <x:c r="H136" s="73" t="str">
        <x:v>Подтверждено: капитал акционеров материнской компании</x:v>
      </x:c>
      <x:c r="I136" s="69"/>
      <x:c r="J136" s="69"/>
      <x:c r="K136" s="69"/>
    </x:row>
    <x:row r="137" ht="15" hidden="0" customHeight="1">
      <x:c r="A137" t="str">
        <x:v>LENT</x:v>
      </x:c>
      <x:c r="B137" t="str">
        <x:v>2025</x:v>
      </x:c>
      <x:c r="C137" s="73" t="str">
        <x:v>Выручка</x:v>
      </x:c>
      <x:c r="D137" s="73" t="str">
        <x:v>Раскрытое значение / ранее внесенное значение</x:v>
      </x:c>
      <x:c r="E137" s="74" t="n">
        <x:v>1103662.719</x:v>
      </x:c>
      <x:c r="F137" s="73" t="str">
        <x:v>Лента_МСФО_2025.pdf</x:v>
      </x:c>
      <x:c r="G137" s="73" t="str">
        <x:v>7, 55, 69</x:v>
      </x:c>
      <x:c r="H137" s="73" t="str">
        <x:v>Страница найдена по сумме; определение требует сверки</x:v>
      </x:c>
      <x:c r="I137" s="69"/>
      <x:c r="J137" s="69"/>
      <x:c r="K137" s="69"/>
    </x:row>
    <x:row r="138" ht="15" hidden="0" customHeight="1">
      <x:c r="A138" t="str">
        <x:v>LENT</x:v>
      </x:c>
      <x:c r="B138" t="str">
        <x:v>2025</x:v>
      </x:c>
      <x:c r="C138" s="73" t="str">
        <x:v>Скорр. EBITDA</x:v>
      </x:c>
      <x:c r="D138" s="73" t="str">
        <x:v>Раскрытое значение / ранее внесенное значение</x:v>
      </x:c>
      <x:c r="E138" s="74" t="n">
        <x:v>113015.443</x:v>
      </x:c>
      <x:c r="F138" s="73" t="str">
        <x:v>Лента_МСФО_2025.pdf</x:v>
      </x:c>
      <x:c r="G138" s="73" t="str">
        <x:v>55</x:v>
      </x:c>
      <x:c r="H138" s="73" t="str">
        <x:v>Страница найдена по сумме; определение требует сверки</x:v>
      </x:c>
      <x:c r="I138" s="69"/>
      <x:c r="J138" s="69"/>
      <x:c r="K138" s="69"/>
    </x:row>
    <x:row r="139" ht="15" hidden="0" customHeight="1">
      <x:c r="A139" t="str">
        <x:v>LENT</x:v>
      </x:c>
      <x:c r="B139" t="str">
        <x:v>2025</x:v>
      </x:c>
      <x:c r="C139" s="73" t="str">
        <x:v>ЧП акционеров</x:v>
      </x:c>
      <x:c r="D139" s="73" t="str">
        <x:v>Раскрытое значение / ранее внесенное значение</x:v>
      </x:c>
      <x:c r="E139" s="74" t="n">
        <x:v>34894.23</x:v>
      </x:c>
      <x:c r="F139" s="73" t="str">
        <x:v>Лента_МСФО_2025.pdf</x:v>
      </x:c>
      <x:c r="G139" s="73" t="str">
        <x:v>7, 9, 64</x:v>
      </x:c>
      <x:c r="H139" s="73" t="str">
        <x:v>Страница найдена по сумме; определение требует сверки</x:v>
      </x:c>
      <x:c r="I139" s="69"/>
      <x:c r="J139" s="69"/>
      <x:c r="K139" s="69"/>
    </x:row>
    <x:row r="140" ht="15" hidden="0" customHeight="1">
      <x:c r="A140" t="str">
        <x:v>LENT</x:v>
      </x:c>
      <x:c r="B140" t="str">
        <x:v>2025</x:v>
      </x:c>
      <x:c r="C140" s="73" t="str">
        <x:v>Капитал акционеров</x:v>
      </x:c>
      <x:c r="D140" s="73" t="str">
        <x:v>Раскрытое значение / ранее внесенное значение</x:v>
      </x:c>
      <x:c r="E140" s="74" t="n">
        <x:v>179115.797</x:v>
      </x:c>
      <x:c r="F140" s="73" t="str">
        <x:v>Лента_МСФО_2025.pdf</x:v>
      </x:c>
      <x:c r="G140" s="73" t="str">
        <x:v>9</x:v>
      </x:c>
      <x:c r="H140" s="73" t="str">
        <x:v>Страница найдена по сумме; определение требует сверки</x:v>
      </x:c>
      <x:c r="I140" s="69"/>
      <x:c r="J140" s="69"/>
      <x:c r="K140" s="69"/>
    </x:row>
    <x:row r="141" ht="15" hidden="0" customHeight="1">
      <x:c r="A141" t="str">
        <x:v>LENT</x:v>
      </x:c>
      <x:c r="B141" t="str">
        <x:v>2025</x:v>
      </x:c>
      <x:c r="C141" s="73" t="str">
        <x:v>Краткосрочный долг</x:v>
      </x:c>
      <x:c r="D141" s="73" t="str">
        <x:v>Раскрытое значение / ранее внесенное значение</x:v>
      </x:c>
      <x:c r="E141" s="74" t="n">
        <x:v>55440.666</x:v>
      </x:c>
      <x:c r="F141" s="73" t="str">
        <x:v>LENT_2026H1.pdf</x:v>
      </x:c>
      <x:c r="G141" s="73" t="str">
        <x:v>6</x:v>
      </x:c>
      <x:c r="H141" s="73" t="str">
        <x:v>Сверено с таблицей отчета</x:v>
      </x:c>
      <x:c r="I141" s="69"/>
      <x:c r="J141" s="69"/>
      <x:c r="K141" s="69"/>
    </x:row>
    <x:row r="142" ht="15" hidden="0" customHeight="1">
      <x:c r="A142" t="str">
        <x:v>LENT</x:v>
      </x:c>
      <x:c r="B142" t="str">
        <x:v>2025</x:v>
      </x:c>
      <x:c r="C142" s="73" t="str">
        <x:v>Долгосрочный долг</x:v>
      </x:c>
      <x:c r="D142" s="73" t="str">
        <x:v>Раскрытое значение / ранее внесенное значение</x:v>
      </x:c>
      <x:c r="E142" s="74" t="n">
        <x:v>44458.63</x:v>
      </x:c>
      <x:c r="F142" s="73" t="str">
        <x:v>LENT_2026H1.pdf</x:v>
      </x:c>
      <x:c r="G142" s="73" t="str">
        <x:v>6</x:v>
      </x:c>
      <x:c r="H142" s="73" t="str">
        <x:v>Сверено с таблицей отчета</x:v>
      </x:c>
      <x:c r="I142" s="69"/>
      <x:c r="J142" s="69"/>
      <x:c r="K142" s="69"/>
    </x:row>
    <x:row r="143" ht="15" hidden="0" customHeight="1">
      <x:c r="A143" t="str">
        <x:v>LENT</x:v>
      </x:c>
      <x:c r="B143" t="str">
        <x:v>2025</x:v>
      </x:c>
      <x:c r="C143" s="73" t="str">
        <x:v>Денежные средства</x:v>
      </x:c>
      <x:c r="D143" s="73" t="str">
        <x:v>Раскрытое значение / ранее внесенное значение</x:v>
      </x:c>
      <x:c r="E143" s="74" t="n">
        <x:v>51063.533</x:v>
      </x:c>
      <x:c r="F143" s="73" t="str">
        <x:v>LENT_2026H1.pdf</x:v>
      </x:c>
      <x:c r="G143" s="73" t="str">
        <x:v>6</x:v>
      </x:c>
      <x:c r="H143" s="73" t="str">
        <x:v>Сверено с таблицей отчета</x:v>
      </x:c>
      <x:c r="I143" s="69"/>
      <x:c r="J143" s="69"/>
      <x:c r="K143" s="69"/>
    </x:row>
    <x:row r="144" ht="15" hidden="0" customHeight="1">
      <x:c r="A144" t="str">
        <x:v>LENT</x:v>
      </x:c>
      <x:c r="B144" t="str">
        <x:v>2025</x:v>
      </x:c>
      <x:c r="C144" s="73" t="str">
        <x:v>Арендные обязательства вне кредитов</x:v>
      </x:c>
      <x:c r="D144" s="73" t="str">
        <x:v>Раскрытое значение / ранее внесенное значение</x:v>
      </x:c>
      <x:c r="E144" s="74" t="n">
        <x:v>119512.881</x:v>
      </x:c>
      <x:c r="F144" s="73" t="str">
        <x:v>Лента_МСФО_2025.pdf</x:v>
      </x:c>
      <x:c r="G144" s="73" t="str">
        <x:v>52, 72, 79</x:v>
      </x:c>
      <x:c r="H144" s="73" t="str">
        <x:v>Страница найдена по сумме; определение требует сверки</x:v>
      </x:c>
      <x:c r="I144" s="69"/>
      <x:c r="J144" s="69"/>
      <x:c r="K144" s="69"/>
    </x:row>
    <x:row r="145" ht="15" hidden="0" customHeight="1">
      <x:c r="A145" t="str">
        <x:v>FLOT</x:v>
      </x:c>
      <x:c r="B145" t="str">
        <x:v>2025</x:v>
      </x:c>
      <x:c r="C145" s="73" t="str">
        <x:v>Выручка</x:v>
      </x:c>
      <x:c r="D145" s="73" t="str">
        <x:v>Раскрытое значение / ранее внесенное значение</x:v>
      </x:c>
      <x:c r="E145" s="74" t="n">
        <x:v>109534.202975548</x:v>
      </x:c>
      <x:c r="F145" s="73" t="str">
        <x:v>Совкомфлот_МСФО_2025.pdf</x:v>
      </x:c>
      <x:c r="G145" s="73" t="str"/>
      <x:c r="H145" s="73" t="str">
        <x:v>Страница пока не подтверждена</x:v>
      </x:c>
      <x:c r="I145" s="69"/>
      <x:c r="J145" s="69"/>
      <x:c r="K145" s="69"/>
    </x:row>
    <x:row r="146" ht="15" hidden="0" customHeight="1">
      <x:c r="A146" t="str">
        <x:v>FLOT</x:v>
      </x:c>
      <x:c r="B146" t="str">
        <x:v>2025</x:v>
      </x:c>
      <x:c r="C146" s="73" t="str">
        <x:v>EBITDA</x:v>
      </x:c>
      <x:c r="D146" s="73" t="str">
        <x:v>Раскрытое значение / ранее внесенное значение</x:v>
      </x:c>
      <x:c r="E146" s="74" t="n">
        <x:v>43952.942508562</x:v>
      </x:c>
      <x:c r="F146" s="73" t="str">
        <x:v>Совкомфлот_МСФО_2025.pdf</x:v>
      </x:c>
      <x:c r="G146" s="73" t="str"/>
      <x:c r="H146" s="73" t="str">
        <x:v>Страница пока не подтверждена</x:v>
      </x:c>
      <x:c r="I146" s="69"/>
      <x:c r="J146" s="69"/>
      <x:c r="K146" s="69"/>
    </x:row>
    <x:row r="147" ht="15" hidden="0" customHeight="1">
      <x:c r="A147" t="str">
        <x:v>FLOT</x:v>
      </x:c>
      <x:c r="B147" t="str">
        <x:v>2025</x:v>
      </x:c>
      <x:c r="C147" s="73" t="str">
        <x:v>ЧП акционеров</x:v>
      </x:c>
      <x:c r="D147" s="73" t="str">
        <x:v>Раскрытое значение / ранее внесенное значение</x:v>
      </x:c>
      <x:c r="E147" s="74" t="n">
        <x:v>-52716.354398973</x:v>
      </x:c>
      <x:c r="F147" s="73" t="str">
        <x:v>Совкомфлот_МСФО_2025.pdf</x:v>
      </x:c>
      <x:c r="G147" s="73" t="str"/>
      <x:c r="H147" s="73" t="str">
        <x:v>Страница пока не подтверждена</x:v>
      </x:c>
      <x:c r="I147" s="69"/>
      <x:c r="J147" s="69"/>
      <x:c r="K147" s="69"/>
    </x:row>
    <x:row r="148" ht="15" hidden="0" customHeight="1">
      <x:c r="A148" t="str">
        <x:v>FLOT</x:v>
      </x:c>
      <x:c r="B148" t="str">
        <x:v>2025</x:v>
      </x:c>
      <x:c r="C148" s="73" t="str">
        <x:v>Капитал акционеров</x:v>
      </x:c>
      <x:c r="D148" s="73" t="str">
        <x:v>Раскрытое значение / ранее внесенное значение</x:v>
      </x:c>
      <x:c r="E148" s="74" t="n">
        <x:v>355681.7853736</x:v>
      </x:c>
      <x:c r="F148" s="73" t="str">
        <x:v>Совкомфлот_МСФО_2025.pdf</x:v>
      </x:c>
      <x:c r="G148" s="73" t="str"/>
      <x:c r="H148" s="73" t="str">
        <x:v>Страница пока не подтверждена</x:v>
      </x:c>
      <x:c r="I148" s="69"/>
      <x:c r="J148" s="69"/>
      <x:c r="K148" s="69"/>
    </x:row>
    <x:row r="149" ht="15" hidden="0" customHeight="1">
      <x:c r="A149" t="str">
        <x:v>FLOT</x:v>
      </x:c>
      <x:c r="B149" t="str">
        <x:v>2025</x:v>
      </x:c>
      <x:c r="C149" s="73" t="str">
        <x:v>Краткосрочный долг</x:v>
      </x:c>
      <x:c r="D149" s="73" t="str">
        <x:v>Раскрытое значение / ранее внесенное значение</x:v>
      </x:c>
      <x:c r="E149" s="74" t="n">
        <x:v>33952</x:v>
      </x:c>
      <x:c r="F149" s="73" t="str">
        <x:v>Совкомфлот_МСФО_2025.pdf</x:v>
      </x:c>
      <x:c r="G149" s="73" t="str"/>
      <x:c r="H149" s="73" t="str">
        <x:v>Страница пока не подтверждена</x:v>
      </x:c>
      <x:c r="I149" s="69"/>
      <x:c r="J149" s="69"/>
      <x:c r="K149" s="69"/>
    </x:row>
    <x:row r="150" ht="15" hidden="0" customHeight="1">
      <x:c r="A150" t="str">
        <x:v>FLOT</x:v>
      </x:c>
      <x:c r="B150" t="str">
        <x:v>2025</x:v>
      </x:c>
      <x:c r="C150" s="73" t="str">
        <x:v>Долгосрочный долг</x:v>
      </x:c>
      <x:c r="D150" s="73" t="str">
        <x:v>Раскрытое значение / ранее внесенное значение</x:v>
      </x:c>
      <x:c r="E150" s="74" t="n">
        <x:v>111304</x:v>
      </x:c>
      <x:c r="F150" s="73" t="str">
        <x:v>Совкомфлот_МСФО_2025.pdf</x:v>
      </x:c>
      <x:c r="G150" s="73" t="str"/>
      <x:c r="H150" s="73" t="str">
        <x:v>Страница пока не подтверждена</x:v>
      </x:c>
      <x:c r="I150" s="69"/>
      <x:c r="J150" s="69"/>
      <x:c r="K150" s="69"/>
    </x:row>
    <x:row r="151" ht="15" hidden="0" customHeight="1">
      <x:c r="A151" t="str">
        <x:v>FLOT</x:v>
      </x:c>
      <x:c r="B151" t="str">
        <x:v>2025</x:v>
      </x:c>
      <x:c r="C151" s="73" t="str">
        <x:v>Денежные средства</x:v>
      </x:c>
      <x:c r="D151" s="73" t="str">
        <x:v>Раскрытое значение / ранее внесенное значение</x:v>
      </x:c>
      <x:c r="E151" s="74" t="n">
        <x:v>55016</x:v>
      </x:c>
      <x:c r="F151" s="73" t="str">
        <x:v>FLOT_2026H1.pdf</x:v>
      </x:c>
      <x:c r="G151" s="73" t="str">
        <x:v>7, 9, 12</x:v>
      </x:c>
      <x:c r="H151" s="73" t="str">
        <x:v>Страница найдена по сумме; определение требует сверки</x:v>
      </x:c>
      <x:c r="I151" s="69"/>
      <x:c r="J151" s="69"/>
      <x:c r="K151" s="69"/>
    </x:row>
    <x:row r="152" ht="15" hidden="0" customHeight="1">
      <x:c r="A152" t="str">
        <x:v>FLOT</x:v>
      </x:c>
      <x:c r="B152" t="str">
        <x:v>2025</x:v>
      </x:c>
      <x:c r="C152" s="73" t="str">
        <x:v>Арендные обязательства вне кредитов</x:v>
      </x:c>
      <x:c r="D152" s="73" t="str">
        <x:v>Раскрытое значение / ранее внесенное значение</x:v>
      </x:c>
      <x:c r="E152" s="74" t="n">
        <x:v>2081</x:v>
      </x:c>
      <x:c r="F152" s="73" t="str">
        <x:v>Совкомфлот_МСФО_2025.pdf</x:v>
      </x:c>
      <x:c r="G152" s="73" t="str"/>
      <x:c r="H152" s="73" t="str">
        <x:v>Страница пока не подтверждена</x:v>
      </x:c>
      <x:c r="I152" s="69"/>
      <x:c r="J152" s="69"/>
      <x:c r="K152" s="69"/>
    </x:row>
    <x:row r="153" ht="15" hidden="0" customHeight="1">
      <x:c r="A153" t="str">
        <x:v>BSPB</x:v>
      </x:c>
      <x:c r="B153" t="str">
        <x:v>2025</x:v>
      </x:c>
      <x:c r="C153" s="73" t="str">
        <x:v>ЧП акционеров</x:v>
      </x:c>
      <x:c r="D153" s="73" t="str">
        <x:v>Раскрытое значение / ранее внесенное значение</x:v>
      </x:c>
      <x:c r="E153" s="74" t="n">
        <x:v>37847</x:v>
      </x:c>
      <x:c r="F153" s="73" t="str">
        <x:v>Банк_Санкт_Петербург_МСФО_2025.pdf</x:v>
      </x:c>
      <x:c r="G153" s="73" t="str">
        <x:v>6, 47, 55</x:v>
      </x:c>
      <x:c r="H153" s="73" t="str">
        <x:v>Страница найдена по сумме; определение требует сверки</x:v>
      </x:c>
      <x:c r="I153" s="69"/>
      <x:c r="J153" s="69"/>
      <x:c r="K153" s="69"/>
    </x:row>
    <x:row r="154" ht="15" hidden="0" customHeight="1">
      <x:c r="A154" t="str">
        <x:v>BSPB</x:v>
      </x:c>
      <x:c r="B154" t="str">
        <x:v>2025</x:v>
      </x:c>
      <x:c r="C154" s="73" t="str">
        <x:v>Капитал акционеров</x:v>
      </x:c>
      <x:c r="D154" s="73" t="str">
        <x:v>Раскрытое значение / ранее внесенное значение</x:v>
      </x:c>
      <x:c r="E154" s="74" t="n">
        <x:v>217430</x:v>
      </x:c>
      <x:c r="F154" s="73" t="str">
        <x:v>Банк_Санкт_Петербург_МСФО_2025.pdf</x:v>
      </x:c>
      <x:c r="G154" s="73" t="str">
        <x:v>76</x:v>
      </x:c>
      <x:c r="H154" s="73" t="str">
        <x:v>Страница найдена по сумме; определение требует сверки</x:v>
      </x:c>
      <x:c r="I154" s="69"/>
      <x:c r="J154" s="69"/>
      <x:c r="K154" s="69"/>
    </x:row>
    <x:row r="155" ht="15" hidden="0" customHeight="1">
      <x:c r="A155" t="str">
        <x:v>ALRS</x:v>
      </x:c>
      <x:c r="B155" t="str">
        <x:v>2025</x:v>
      </x:c>
      <x:c r="C155" s="73" t="str">
        <x:v>Чистый долг</x:v>
      </x:c>
      <x:c r="D155" s="73" t="str">
        <x:v>Раскрытое значение / ранее внесенное значение</x:v>
      </x:c>
      <x:c r="E155" s="74" t="n">
        <x:v>88391</x:v>
      </x:c>
      <x:c r="F155" s="73" t="str">
        <x:v>Алроса_МСФО_2025.pdf</x:v>
      </x:c>
      <x:c r="G155" s="73" t="str">
        <x:v>40</x:v>
      </x:c>
      <x:c r="H155" s="73" t="str">
        <x:v>Страница найдена по сумме; определение требует сверки</x:v>
      </x:c>
      <x:c r="I155" s="69"/>
      <x:c r="J155" s="69"/>
      <x:c r="K155" s="69"/>
    </x:row>
    <x:row r="156" ht="15" hidden="0" customHeight="1">
      <x:c r="A156" t="str">
        <x:v>ALRS</x:v>
      </x:c>
      <x:c r="B156" t="str">
        <x:v>2025</x:v>
      </x:c>
      <x:c r="C156" s="73" t="str">
        <x:v>Выручка</x:v>
      </x:c>
      <x:c r="D156" s="73" t="str">
        <x:v>Раскрытое значение / ранее внесенное значение</x:v>
      </x:c>
      <x:c r="E156" s="74" t="n">
        <x:v>235089</x:v>
      </x:c>
      <x:c r="F156" s="73" t="str">
        <x:v>Алроса_МСФО_2025.pdf</x:v>
      </x:c>
      <x:c r="G156" s="73" t="str">
        <x:v>7, 64, 80</x:v>
      </x:c>
      <x:c r="H156" s="73" t="str">
        <x:v>Страница найдена по сумме; определение требует сверки</x:v>
      </x:c>
      <x:c r="I156" s="69"/>
      <x:c r="J156" s="69"/>
      <x:c r="K156" s="69"/>
    </x:row>
    <x:row r="157" ht="15" hidden="0" customHeight="1">
      <x:c r="A157" t="str">
        <x:v>ALRS</x:v>
      </x:c>
      <x:c r="B157" t="str">
        <x:v>2025</x:v>
      </x:c>
      <x:c r="C157" s="73" t="str">
        <x:v>Скорр. EBITDA</x:v>
      </x:c>
      <x:c r="D157" s="73" t="str">
        <x:v>Раскрытое значение / ранее внесенное значение</x:v>
      </x:c>
      <x:c r="E157" s="74" t="n">
        <x:v>57823</x:v>
      </x:c>
      <x:c r="F157" s="73" t="str">
        <x:v>Алроса_МСФО_2025.pdf</x:v>
      </x:c>
      <x:c r="G157" s="73" t="str">
        <x:v>40</x:v>
      </x:c>
      <x:c r="H157" s="73" t="str">
        <x:v>Страница найдена по сумме; определение требует сверки</x:v>
      </x:c>
      <x:c r="I157" s="69"/>
      <x:c r="J157" s="69"/>
      <x:c r="K157" s="69"/>
    </x:row>
    <x:row r="158" ht="15" hidden="0" customHeight="1">
      <x:c r="A158" t="str">
        <x:v>ALRS</x:v>
      </x:c>
      <x:c r="B158" t="str">
        <x:v>2025</x:v>
      </x:c>
      <x:c r="C158" s="73" t="str">
        <x:v>ЧП акционеров</x:v>
      </x:c>
      <x:c r="D158" s="73" t="str">
        <x:v>Раскрытое значение / ранее внесенное значение</x:v>
      </x:c>
      <x:c r="E158" s="74" t="n">
        <x:v>36230</x:v>
      </x:c>
      <x:c r="F158" s="73" t="str">
        <x:v>Алроса_МСФО_2025.pdf</x:v>
      </x:c>
      <x:c r="G158" s="73" t="str">
        <x:v>7, 9</x:v>
      </x:c>
      <x:c r="H158" s="73" t="str">
        <x:v>Страница найдена по сумме; определение требует сверки</x:v>
      </x:c>
      <x:c r="I158" s="69"/>
      <x:c r="J158" s="69"/>
      <x:c r="K158" s="69"/>
    </x:row>
    <x:row r="159" ht="15" hidden="0" customHeight="1">
      <x:c r="A159" t="str">
        <x:v>ALRS</x:v>
      </x:c>
      <x:c r="B159" t="str">
        <x:v>2025</x:v>
      </x:c>
      <x:c r="C159" s="73" t="str">
        <x:v>Капитал акционеров</x:v>
      </x:c>
      <x:c r="D159" s="73" t="str">
        <x:v>Раскрытое значение / ранее внесенное значение</x:v>
      </x:c>
      <x:c r="E159" s="74" t="n">
        <x:v>406440</x:v>
      </x:c>
      <x:c r="F159" s="73" t="str">
        <x:v>Алроса_МСФО_2025.pdf</x:v>
      </x:c>
      <x:c r="G159" s="73" t="str">
        <x:v>9</x:v>
      </x:c>
      <x:c r="H159" s="73" t="str">
        <x:v>Страница найдена по сумме; определение требует сверки</x:v>
      </x:c>
      <x:c r="I159" s="69"/>
      <x:c r="J159" s="69"/>
      <x:c r="K159" s="69"/>
    </x:row>
    <x:row r="160" ht="15" hidden="0" customHeight="1">
      <x:c r="A160" t="str">
        <x:v>CNRU</x:v>
      </x:c>
      <x:c r="B160" t="str">
        <x:v>2025</x:v>
      </x:c>
      <x:c r="C160" s="73" t="str">
        <x:v>Выручка</x:v>
      </x:c>
      <x:c r="D160" s="73" t="str">
        <x:v>Раскрытое значение / ранее внесенное значение</x:v>
      </x:c>
      <x:c r="E160" s="74" t="n">
        <x:v>15156</x:v>
      </x:c>
      <x:c r="F160" s="73" t="str">
        <x:v>Циан_МСФО_2025.pdf</x:v>
      </x:c>
      <x:c r="G160" s="73" t="str">
        <x:v>8, 26, 28</x:v>
      </x:c>
      <x:c r="H160" s="73" t="str">
        <x:v>Страница найдена по сумме; определение требует сверки</x:v>
      </x:c>
      <x:c r="I160" s="69"/>
      <x:c r="J160" s="69"/>
      <x:c r="K160" s="69"/>
    </x:row>
    <x:row r="161" ht="15" hidden="0" customHeight="1">
      <x:c r="A161" t="str">
        <x:v>CNRU</x:v>
      </x:c>
      <x:c r="B161" t="str">
        <x:v>2025</x:v>
      </x:c>
      <x:c r="C161" s="73" t="str">
        <x:v>Скорр. EBITDA</x:v>
      </x:c>
      <x:c r="D161" s="73" t="str">
        <x:v>Раскрытое значение / ранее внесенное значение</x:v>
      </x:c>
      <x:c r="E161" s="74" t="n">
        <x:v>3570</x:v>
      </x:c>
      <x:c r="F161" s="73" t="str">
        <x:v>Циан_МСФО_2025.pdf</x:v>
      </x:c>
      <x:c r="G161" s="73" t="str">
        <x:v>28</x:v>
      </x:c>
      <x:c r="H161" s="73" t="str">
        <x:v>Страница найдена по сумме; определение требует сверки</x:v>
      </x:c>
      <x:c r="I161" s="69"/>
      <x:c r="J161" s="69"/>
      <x:c r="K161" s="69"/>
    </x:row>
    <x:row r="162" ht="15" hidden="0" customHeight="1">
      <x:c r="A162" t="str">
        <x:v>CNRU</x:v>
      </x:c>
      <x:c r="B162" t="str">
        <x:v>2025</x:v>
      </x:c>
      <x:c r="C162" s="73" t="str">
        <x:v>ЧП акционеров</x:v>
      </x:c>
      <x:c r="D162" s="73" t="str">
        <x:v>Раскрытое значение / ранее внесенное значение</x:v>
      </x:c>
      <x:c r="E162" s="74" t="n">
        <x:v>2655</x:v>
      </x:c>
      <x:c r="F162" s="73" t="str">
        <x:v>Циан_МСФО_2025.pdf</x:v>
      </x:c>
      <x:c r="G162" s="73" t="str">
        <x:v>8, 10</x:v>
      </x:c>
      <x:c r="H162" s="73" t="str">
        <x:v>Страница найдена по сумме; определение требует сверки</x:v>
      </x:c>
      <x:c r="I162" s="69"/>
      <x:c r="J162" s="69"/>
      <x:c r="K162" s="69"/>
    </x:row>
    <x:row r="163" ht="15" hidden="0" customHeight="1">
      <x:c r="A163" t="str">
        <x:v>CNRU</x:v>
      </x:c>
      <x:c r="B163" t="str">
        <x:v>2025</x:v>
      </x:c>
      <x:c r="C163" s="73" t="str">
        <x:v>Капитал акционеров</x:v>
      </x:c>
      <x:c r="D163" s="73" t="str">
        <x:v>Раскрытое значение / ранее внесенное значение</x:v>
      </x:c>
      <x:c r="E163" s="74" t="n">
        <x:v>5221</x:v>
      </x:c>
      <x:c r="F163" s="73" t="str">
        <x:v>Циан_МСФО_2025.pdf</x:v>
      </x:c>
      <x:c r="G163" s="73" t="str">
        <x:v>9</x:v>
      </x:c>
      <x:c r="H163" s="73" t="str">
        <x:v>Страница найдена по сумме; определение требует сверки</x:v>
      </x:c>
      <x:c r="I163" s="69"/>
      <x:c r="J163" s="69"/>
      <x:c r="K163" s="69"/>
    </x:row>
    <x:row r="164" ht="15" hidden="0" customHeight="1">
      <x:c r="A164" t="str">
        <x:v>AFKS</x:v>
      </x:c>
      <x:c r="B164" t="str">
        <x:v>2025</x:v>
      </x:c>
      <x:c r="C164" s="73" t="str">
        <x:v>Выручка</x:v>
      </x:c>
      <x:c r="D164" s="73" t="str">
        <x:v>Раскрытое значение / ранее внесенное значение</x:v>
      </x:c>
      <x:c r="E164" s="74" t="n">
        <x:v>1332474</x:v>
      </x:c>
      <x:c r="F164" s="73" t="str">
        <x:v>АФК_Система_МСФО_2025.pdf</x:v>
      </x:c>
      <x:c r="G164" s="73" t="str">
        <x:v>8, 28, 30, 44</x:v>
      </x:c>
      <x:c r="H164" s="73" t="str">
        <x:v>Страница найдена по сумме; определение требует сверки</x:v>
      </x:c>
      <x:c r="I164" s="69"/>
      <x:c r="J164" s="69"/>
      <x:c r="K164" s="69"/>
    </x:row>
    <x:row r="165" ht="15" hidden="0" customHeight="1">
      <x:c r="A165" t="str">
        <x:v>AFKS</x:v>
      </x:c>
      <x:c r="B165" t="str">
        <x:v>2025</x:v>
      </x:c>
      <x:c r="C165" s="73" t="str">
        <x:v>OIBDA</x:v>
      </x:c>
      <x:c r="D165" s="73" t="str">
        <x:v>Раскрытое значение / ранее внесенное значение</x:v>
      </x:c>
      <x:c r="E165" s="74" t="n">
        <x:v>306184</x:v>
      </x:c>
      <x:c r="F165" s="73" t="str">
        <x:v>АФК_Система_МСФО_2025.pdf</x:v>
      </x:c>
      <x:c r="G165" s="73" t="str">
        <x:v>99</x:v>
      </x:c>
      <x:c r="H165" s="73" t="str">
        <x:v>Страница найдена по сумме; определение требует сверки</x:v>
      </x:c>
      <x:c r="I165" s="69"/>
      <x:c r="J165" s="69"/>
      <x:c r="K165" s="69"/>
    </x:row>
    <x:row r="166" ht="15" hidden="0" customHeight="1">
      <x:c r="A166" t="str">
        <x:v>AFKS</x:v>
      </x:c>
      <x:c r="B166" t="str">
        <x:v>2025</x:v>
      </x:c>
      <x:c r="C166" s="73" t="str">
        <x:v>ЧП акционеров</x:v>
      </x:c>
      <x:c r="D166" s="73" t="str">
        <x:v>Раскрытое значение / ранее внесенное значение</x:v>
      </x:c>
      <x:c r="E166" s="74" t="n">
        <x:v>-222222</x:v>
      </x:c>
      <x:c r="F166" s="73" t="str">
        <x:v>АФК_Система_МСФО_2025.pdf</x:v>
      </x:c>
      <x:c r="G166" s="73" t="str">
        <x:v>8, 12, 98</x:v>
      </x:c>
      <x:c r="H166" s="73" t="str">
        <x:v>Страница найдена по сумме; определение требует сверки</x:v>
      </x:c>
      <x:c r="I166" s="69"/>
      <x:c r="J166" s="69"/>
      <x:c r="K166" s="69"/>
    </x:row>
    <x:row r="167" ht="15" hidden="0" customHeight="1">
      <x:c r="A167" t="str">
        <x:v>AFKS</x:v>
      </x:c>
      <x:c r="B167" t="str">
        <x:v>2025</x:v>
      </x:c>
      <x:c r="C167" s="73" t="str">
        <x:v>Капитал акционеров</x:v>
      </x:c>
      <x:c r="D167" s="73" t="str">
        <x:v>Раскрытое значение / ранее внесенное значение</x:v>
      </x:c>
      <x:c r="E167" s="74" t="n">
        <x:v>-173757</x:v>
      </x:c>
      <x:c r="F167" s="73" t="str">
        <x:v>АФК_Система_МСФО_2025.pdf</x:v>
      </x:c>
      <x:c r="G167" s="73" t="str">
        <x:v>11, 12, 16</x:v>
      </x:c>
      <x:c r="H167" s="73" t="str">
        <x:v>Страница найдена по сумме; определение требует сверки</x:v>
      </x:c>
      <x:c r="I167" s="69"/>
      <x:c r="J167" s="69"/>
      <x:c r="K167" s="69"/>
    </x:row>
    <x:row r="168" ht="15" hidden="0" customHeight="1">
      <x:c r="A168" t="str">
        <x:v>AFKS</x:v>
      </x:c>
      <x:c r="B168" t="str">
        <x:v>2025</x:v>
      </x:c>
      <x:c r="C168" s="73" t="str">
        <x:v>Краткосрочный долг</x:v>
      </x:c>
      <x:c r="D168" s="73" t="str">
        <x:v>Раскрытое значение / ранее внесенное значение</x:v>
      </x:c>
      <x:c r="E168" s="74" t="n">
        <x:v>807198</x:v>
      </x:c>
      <x:c r="F168" s="73" t="str">
        <x:v>AFKS_2026H1.pdf</x:v>
      </x:c>
      <x:c r="G168" s="73" t="str">
        <x:v>8, 31</x:v>
      </x:c>
      <x:c r="H168" s="73" t="str">
        <x:v>Страница найдена по сумме; определение требует сверки</x:v>
      </x:c>
      <x:c r="I168" s="69"/>
      <x:c r="J168" s="69"/>
      <x:c r="K168" s="69"/>
    </x:row>
    <x:row r="169" ht="15" hidden="0" customHeight="1">
      <x:c r="A169" t="str">
        <x:v>AFKS</x:v>
      </x:c>
      <x:c r="B169" t="str">
        <x:v>2025</x:v>
      </x:c>
      <x:c r="C169" s="73" t="str">
        <x:v>Долгосрочный долг</x:v>
      </x:c>
      <x:c r="D169" s="73" t="str">
        <x:v>Раскрытое значение / ранее внесенное значение</x:v>
      </x:c>
      <x:c r="E169" s="74" t="n">
        <x:v>742227</x:v>
      </x:c>
      <x:c r="F169" s="73" t="str">
        <x:v>AFKS_2026H1.pdf</x:v>
      </x:c>
      <x:c r="G169" s="73" t="str">
        <x:v>8, 31</x:v>
      </x:c>
      <x:c r="H169" s="73" t="str">
        <x:v>Страница найдена по сумме; определение требует сверки</x:v>
      </x:c>
      <x:c r="I169" s="69"/>
      <x:c r="J169" s="69"/>
      <x:c r="K169" s="69"/>
    </x:row>
    <x:row r="170" ht="39.599998474121094" hidden="0" customHeight="1">
      <x:c r="A170" t="str">
        <x:v>AFKS</x:v>
      </x:c>
      <x:c r="B170" t="str">
        <x:v>2025</x:v>
      </x:c>
      <x:c r="C170" s="73" t="str">
        <x:v>Денежные средства</x:v>
      </x:c>
      <x:c r="D170" s="73" t="str">
        <x:v>Раскрытое значение / ранее внесенное значение</x:v>
      </x:c>
      <x:c r="E170" s="74" t="n">
        <x:v>115992</x:v>
      </x:c>
      <x:c r="F170" s="73" t="str">
        <x:v>АФК_Система_МСФО_2025.pdf</x:v>
      </x:c>
      <x:c r="G170" s="73" t="str">
        <x:v>10, 14, 47, 64, 66, 74, 78, 79, 84, 93, 104, 109, 118</x:v>
      </x:c>
      <x:c r="H170" s="73" t="str">
        <x:v>Страница найдена по сумме; определение требует сверки</x:v>
      </x:c>
      <x:c r="I170" s="69"/>
      <x:c r="J170" s="69"/>
      <x:c r="K170" s="69"/>
    </x:row>
    <x:row r="171" ht="15" hidden="0" customHeight="1">
      <x:c r="A171" t="str">
        <x:v>AFKS</x:v>
      </x:c>
      <x:c r="B171" t="str">
        <x:v>2025</x:v>
      </x:c>
      <x:c r="C171" s="73" t="str">
        <x:v>Арендные обязательства вне кредитов</x:v>
      </x:c>
      <x:c r="D171" s="73" t="str">
        <x:v>Раскрытое значение / ранее внесенное значение</x:v>
      </x:c>
      <x:c r="E171" s="74" t="n">
        <x:v>159364</x:v>
      </x:c>
      <x:c r="F171" s="73" t="str">
        <x:v>АФК_Система_МСФО_2025.pdf</x:v>
      </x:c>
      <x:c r="G171" s="73" t="str"/>
      <x:c r="H171" s="73" t="str">
        <x:v>Страница пока не подтверждена</x:v>
      </x:c>
      <x:c r="I171" s="69"/>
      <x:c r="J171" s="69"/>
      <x:c r="K171" s="69"/>
    </x:row>
    <x:row r="172" ht="15" hidden="0" customHeight="1">
      <x:c r="A172" t="str">
        <x:v>UGLD</x:v>
      </x:c>
      <x:c r="B172" t="str">
        <x:v>2025</x:v>
      </x:c>
      <x:c r="C172" s="73" t="str">
        <x:v>Чистый долг</x:v>
      </x:c>
      <x:c r="D172" s="73" t="str">
        <x:v>Раскрытое значение / ранее внесенное значение</x:v>
      </x:c>
      <x:c r="E172" s="74" t="n">
        <x:v>83847</x:v>
      </x:c>
      <x:c r="F172" s="73" t="str">
        <x:v>UGLD_FY.pdf</x:v>
      </x:c>
      <x:c r="G172" s="73" t="str">
        <x:v>64</x:v>
      </x:c>
      <x:c r="H172" s="73" t="str">
        <x:v>Страница найдена по сумме; определение требует сверки</x:v>
      </x:c>
      <x:c r="I172" s="69"/>
      <x:c r="J172" s="69"/>
      <x:c r="K172" s="69"/>
    </x:row>
    <x:row r="173" ht="15" hidden="0" customHeight="1">
      <x:c r="A173" t="str">
        <x:v>UGLD</x:v>
      </x:c>
      <x:c r="B173" t="str">
        <x:v>2025</x:v>
      </x:c>
      <x:c r="C173" s="73" t="str">
        <x:v>Выручка</x:v>
      </x:c>
      <x:c r="D173" s="73" t="str">
        <x:v>Раскрытое значение / ранее внесенное значение</x:v>
      </x:c>
      <x:c r="E173" s="74" t="n">
        <x:v>108785</x:v>
      </x:c>
      <x:c r="F173" s="73" t="str">
        <x:v>UGLD_FY.pdf</x:v>
      </x:c>
      <x:c r="G173" s="73" t="str">
        <x:v>10, 38, 39</x:v>
      </x:c>
      <x:c r="H173" s="73" t="str">
        <x:v>Страница найдена по сумме; определение требует сверки</x:v>
      </x:c>
      <x:c r="I173" s="69"/>
      <x:c r="J173" s="69"/>
      <x:c r="K173" s="69"/>
    </x:row>
    <x:row r="174" ht="15" hidden="0" customHeight="1">
      <x:c r="A174" t="str">
        <x:v>UGLD</x:v>
      </x:c>
      <x:c r="B174" t="str">
        <x:v>2025</x:v>
      </x:c>
      <x:c r="C174" s="73" t="str">
        <x:v>Скорр. EBITDA</x:v>
      </x:c>
      <x:c r="D174" s="73" t="str">
        <x:v>Раскрытое значение / ранее внесенное значение</x:v>
      </x:c>
      <x:c r="E174" s="74" t="n">
        <x:v>42614</x:v>
      </x:c>
      <x:c r="F174" s="73" t="str">
        <x:v>UGLD_FY.pdf</x:v>
      </x:c>
      <x:c r="G174" s="73" t="str">
        <x:v>38, 64</x:v>
      </x:c>
      <x:c r="H174" s="73" t="str">
        <x:v>Страница найдена по сумме; определение требует сверки</x:v>
      </x:c>
      <x:c r="I174" s="69"/>
      <x:c r="J174" s="69"/>
      <x:c r="K174" s="69"/>
    </x:row>
    <x:row r="175" ht="15" hidden="0" customHeight="1">
      <x:c r="A175" t="str">
        <x:v>UGLD</x:v>
      </x:c>
      <x:c r="B175" t="str">
        <x:v>2025</x:v>
      </x:c>
      <x:c r="C175" s="73" t="str">
        <x:v>ЧП акционеров</x:v>
      </x:c>
      <x:c r="D175" s="73" t="str">
        <x:v>Раскрытое значение / ранее внесенное значение</x:v>
      </x:c>
      <x:c r="E175" s="74" t="n">
        <x:v>15203</x:v>
      </x:c>
      <x:c r="F175" s="73" t="str">
        <x:v>UGLD_FY.pdf</x:v>
      </x:c>
      <x:c r="G175" s="73" t="str">
        <x:v>10, 12, 53</x:v>
      </x:c>
      <x:c r="H175" s="73" t="str">
        <x:v>Страница найдена по сумме; определение требует сверки</x:v>
      </x:c>
      <x:c r="I175" s="69"/>
      <x:c r="J175" s="69"/>
      <x:c r="K175" s="69"/>
    </x:row>
    <x:row r="176" ht="15" hidden="0" customHeight="1">
      <x:c r="A176" t="str">
        <x:v>UGLD</x:v>
      </x:c>
      <x:c r="B176" t="str">
        <x:v>2025</x:v>
      </x:c>
      <x:c r="C176" s="73" t="str">
        <x:v>Капитал акционеров</x:v>
      </x:c>
      <x:c r="D176" s="73" t="str">
        <x:v>Раскрытое значение / ранее внесенное значение</x:v>
      </x:c>
      <x:c r="E176" s="74" t="n">
        <x:v>63022</x:v>
      </x:c>
      <x:c r="F176" s="73" t="str">
        <x:v>UGLD_FY.pdf</x:v>
      </x:c>
      <x:c r="G176" s="73" t="str">
        <x:v>11, 12</x:v>
      </x:c>
      <x:c r="H176" s="73" t="str">
        <x:v>Страница найдена по сумме; определение требует сверки</x:v>
      </x:c>
      <x:c r="I176" s="69"/>
      <x:c r="J176" s="69"/>
      <x:c r="K176" s="69"/>
    </x:row>
    <x:row r="177" ht="15" hidden="0" customHeight="1">
      <x:c r="A177" t="str">
        <x:v>UGLD</x:v>
      </x:c>
      <x:c r="B177" t="str">
        <x:v>2025</x:v>
      </x:c>
      <x:c r="C177" s="73" t="str">
        <x:v>Краткосрочный долг</x:v>
      </x:c>
      <x:c r="D177" s="73" t="str">
        <x:v>Раскрытое значение / ранее внесенное значение</x:v>
      </x:c>
      <x:c r="E177" s="74" t="n">
        <x:v>49015</x:v>
      </x:c>
      <x:c r="F177" s="73" t="str">
        <x:v>UGLD_2026H1.pdf</x:v>
      </x:c>
      <x:c r="G177" s="73" t="str">
        <x:v>7</x:v>
      </x:c>
      <x:c r="H177" s="73" t="str">
        <x:v>Сверено с таблицей отчета</x:v>
      </x:c>
      <x:c r="I177" s="69"/>
      <x:c r="J177" s="69"/>
      <x:c r="K177" s="69"/>
    </x:row>
    <x:row r="178" ht="15" hidden="0" customHeight="1">
      <x:c r="A178" t="str">
        <x:v>UGLD</x:v>
      </x:c>
      <x:c r="B178" t="str">
        <x:v>2025</x:v>
      </x:c>
      <x:c r="C178" s="73" t="str">
        <x:v>Долгосрочный долг</x:v>
      </x:c>
      <x:c r="D178" s="73" t="str">
        <x:v>Раскрытое значение / ранее внесенное значение</x:v>
      </x:c>
      <x:c r="E178" s="74" t="n">
        <x:v>12738</x:v>
      </x:c>
      <x:c r="F178" s="73" t="str">
        <x:v>UGLD_2026H1.pdf</x:v>
      </x:c>
      <x:c r="G178" s="73" t="str">
        <x:v>7</x:v>
      </x:c>
      <x:c r="H178" s="73" t="str">
        <x:v>Сверено с таблицей отчета</x:v>
      </x:c>
      <x:c r="I178" s="69"/>
      <x:c r="J178" s="69"/>
      <x:c r="K178" s="69"/>
    </x:row>
    <x:row r="179" ht="15" hidden="0" customHeight="1">
      <x:c r="A179" t="str">
        <x:v>UGLD</x:v>
      </x:c>
      <x:c r="B179" t="str">
        <x:v>2025</x:v>
      </x:c>
      <x:c r="C179" s="73" t="str">
        <x:v>Денежные средства</x:v>
      </x:c>
      <x:c r="D179" s="73" t="str">
        <x:v>Раскрытое значение / ранее внесенное значение</x:v>
      </x:c>
      <x:c r="E179" s="74" t="n">
        <x:v>2271</x:v>
      </x:c>
      <x:c r="F179" s="73" t="str">
        <x:v>UGLD_2026H1.pdf</x:v>
      </x:c>
      <x:c r="G179" s="73" t="str">
        <x:v>7</x:v>
      </x:c>
      <x:c r="H179" s="73" t="str">
        <x:v>Сверено с таблицей отчета</x:v>
      </x:c>
      <x:c r="I179" s="69"/>
      <x:c r="J179" s="69"/>
      <x:c r="K179" s="69"/>
    </x:row>
    <x:row r="180" ht="26.399999618530273" hidden="0" customHeight="1">
      <x:c r="A180" t="str">
        <x:v>UGLD</x:v>
      </x:c>
      <x:c r="B180" t="str">
        <x:v>2025</x:v>
      </x:c>
      <x:c r="C180" s="73" t="str">
        <x:v>Арендные обязательства вне кредитов</x:v>
      </x:c>
      <x:c r="D180" s="73" t="str">
        <x:v>Раскрытое значение / ранее внесенное значение</x:v>
      </x:c>
      <x:c r="E180" s="74" t="n">
        <x:v>5959</x:v>
      </x:c>
      <x:c r="F180" s="73" t="str">
        <x:v>UGLD_FY.pdf</x:v>
      </x:c>
      <x:c r="G180" s="73" t="str">
        <x:v>50, 51, 54, 55, 58, 64</x:v>
      </x:c>
      <x:c r="H180" s="73" t="str">
        <x:v>Страница найдена по сумме; определение требует сверки</x:v>
      </x:c>
      <x:c r="I180" s="69"/>
      <x:c r="J180" s="69"/>
      <x:c r="K180" s="69"/>
    </x:row>
    <x:row r="181" ht="15" hidden="0" customHeight="1">
      <x:c r="A181" t="str">
        <x:v>POSI</x:v>
      </x:c>
      <x:c r="B181" t="str">
        <x:v>2025</x:v>
      </x:c>
      <x:c r="C181" s="73" t="str">
        <x:v>Чистый долг</x:v>
      </x:c>
      <x:c r="D181" s="73" t="str">
        <x:v>Раскрытое значение / ранее внесенное значение</x:v>
      </x:c>
      <x:c r="E181" s="74" t="n">
        <x:v>20467.611</x:v>
      </x:c>
      <x:c r="F181" s="73" t="str">
        <x:v>POSI_FY.pdf</x:v>
      </x:c>
      <x:c r="G181" s="73" t="str">
        <x:v>27</x:v>
      </x:c>
      <x:c r="H181" s="73" t="str">
        <x:v>Страница найдена по сумме; определение требует сверки</x:v>
      </x:c>
      <x:c r="I181" s="69"/>
      <x:c r="J181" s="69"/>
      <x:c r="K181" s="69"/>
    </x:row>
    <x:row r="182" ht="15" hidden="0" customHeight="1">
      <x:c r="A182" t="str">
        <x:v>POSI</x:v>
      </x:c>
      <x:c r="B182" t="str">
        <x:v>2025</x:v>
      </x:c>
      <x:c r="C182" s="73" t="str">
        <x:v>Выручка</x:v>
      </x:c>
      <x:c r="D182" s="73" t="str">
        <x:v>Раскрытое значение / ранее внесенное значение</x:v>
      </x:c>
      <x:c r="E182" s="74" t="n">
        <x:v>30881.105</x:v>
      </x:c>
      <x:c r="F182" s="73" t="str">
        <x:v>POSI_FY.pdf</x:v>
      </x:c>
      <x:c r="G182" s="73" t="str">
        <x:v>7, 28</x:v>
      </x:c>
      <x:c r="H182" s="73" t="str">
        <x:v>Страница найдена по сумме; определение требует сверки</x:v>
      </x:c>
      <x:c r="I182" s="69"/>
      <x:c r="J182" s="69"/>
      <x:c r="K182" s="69"/>
    </x:row>
    <x:row r="183" ht="15" hidden="0" customHeight="1">
      <x:c r="A183" t="str">
        <x:v>POSI</x:v>
      </x:c>
      <x:c r="B183" t="str">
        <x:v>2025</x:v>
      </x:c>
      <x:c r="C183" s="73" t="str">
        <x:v>Скорр. EBITDA</x:v>
      </x:c>
      <x:c r="D183" s="73" t="str">
        <x:v>Раскрытое значение / ранее внесенное значение</x:v>
      </x:c>
      <x:c r="E183" s="74" t="n">
        <x:v>12322.39</x:v>
      </x:c>
      <x:c r="F183" s="73" t="str">
        <x:v>POSI_FY.pdf</x:v>
      </x:c>
      <x:c r="G183" s="73" t="str">
        <x:v>27, 28</x:v>
      </x:c>
      <x:c r="H183" s="73" t="str">
        <x:v>Страница найдена по сумме; определение требует сверки</x:v>
      </x:c>
      <x:c r="I183" s="69"/>
      <x:c r="J183" s="69"/>
      <x:c r="K183" s="69"/>
    </x:row>
    <x:row r="184" ht="15" hidden="0" customHeight="1">
      <x:c r="A184" t="str">
        <x:v>POSI</x:v>
      </x:c>
      <x:c r="B184" t="str">
        <x:v>2025</x:v>
      </x:c>
      <x:c r="C184" s="73" t="str">
        <x:v>EBITDAC</x:v>
      </x:c>
      <x:c r="D184" s="73" t="str">
        <x:v>Раскрытое значение / ранее внесенное значение</x:v>
      </x:c>
      <x:c r="E184" s="74" t="n">
        <x:v>7123.499</x:v>
      </x:c>
      <x:c r="F184" s="73" t="str">
        <x:v>POSI_FY.pdf</x:v>
      </x:c>
      <x:c r="G184" s="73" t="str">
        <x:v>28</x:v>
      </x:c>
      <x:c r="H184" s="73" t="str">
        <x:v>Страница найдена по сумме; определение требует сверки</x:v>
      </x:c>
      <x:c r="I184" s="69"/>
      <x:c r="J184" s="69"/>
      <x:c r="K184" s="69"/>
    </x:row>
    <x:row r="185" ht="15" hidden="0" customHeight="1">
      <x:c r="A185" t="str">
        <x:v>POSI</x:v>
      </x:c>
      <x:c r="B185" t="str">
        <x:v>2025</x:v>
      </x:c>
      <x:c r="C185" s="73" t="str">
        <x:v>ЧП акционеров</x:v>
      </x:c>
      <x:c r="D185" s="73" t="str">
        <x:v>Раскрытое значение / ранее внесенное значение</x:v>
      </x:c>
      <x:c r="E185" s="74" t="n">
        <x:v>7275.484</x:v>
      </x:c>
      <x:c r="F185" s="73" t="str">
        <x:v>POSI_FY.pdf</x:v>
      </x:c>
      <x:c r="G185" s="73" t="str">
        <x:v>7, 9</x:v>
      </x:c>
      <x:c r="H185" s="73" t="str">
        <x:v>Страница найдена по сумме; определение требует сверки</x:v>
      </x:c>
      <x:c r="I185" s="69"/>
      <x:c r="J185" s="69"/>
      <x:c r="K185" s="69"/>
    </x:row>
    <x:row r="186" ht="15" hidden="0" customHeight="1">
      <x:c r="A186" t="str">
        <x:v>POSI</x:v>
      </x:c>
      <x:c r="B186" t="str">
        <x:v>2025</x:v>
      </x:c>
      <x:c r="C186" s="73" t="str">
        <x:v>Капитал акционеров</x:v>
      </x:c>
      <x:c r="D186" s="73" t="str">
        <x:v>Раскрытое значение / ранее внесенное значение</x:v>
      </x:c>
      <x:c r="E186" s="74" t="n">
        <x:v>24339.494</x:v>
      </x:c>
      <x:c r="F186" s="73" t="str">
        <x:v>POSI_FY.pdf</x:v>
      </x:c>
      <x:c r="G186" s="73" t="str">
        <x:v>9</x:v>
      </x:c>
      <x:c r="H186" s="73" t="str">
        <x:v>Страница найдена по сумме; определение требует сверки</x:v>
      </x:c>
      <x:c r="I186" s="69"/>
      <x:c r="J186" s="69"/>
      <x:c r="K186" s="69"/>
    </x:row>
    <x:row r="187" ht="15" hidden="0" customHeight="1">
      <x:c r="A187" t="str">
        <x:v>POSI</x:v>
      </x:c>
      <x:c r="B187" t="str">
        <x:v>2025</x:v>
      </x:c>
      <x:c r="C187" s="73" t="str">
        <x:v>Капитализированные расходы</x:v>
      </x:c>
      <x:c r="D187" s="73" t="str">
        <x:v>Раскрытое значение / ранее внесенное значение</x:v>
      </x:c>
      <x:c r="E187" s="74" t="n">
        <x:v>6380.62</x:v>
      </x:c>
      <x:c r="F187" s="73" t="str">
        <x:v>POSI_FY.pdf</x:v>
      </x:c>
      <x:c r="G187" s="73" t="str">
        <x:v>28, 29</x:v>
      </x:c>
      <x:c r="H187" s="73" t="str">
        <x:v>Страница найдена по сумме; определение требует сверки</x:v>
      </x:c>
      <x:c r="I187" s="69"/>
      <x:c r="J187" s="69"/>
      <x:c r="K187" s="69"/>
    </x:row>
    <x:row r="188" ht="15" hidden="0" customHeight="1">
      <x:c r="A188" t="str">
        <x:v>POSI</x:v>
      </x:c>
      <x:c r="B188" t="str">
        <x:v>2025</x:v>
      </x:c>
      <x:c r="C188" s="73" t="str">
        <x:v>Отгрузки</x:v>
      </x:c>
      <x:c r="D188" s="73" t="str">
        <x:v>Раскрытое значение / ранее внесенное значение</x:v>
      </x:c>
      <x:c r="E188" s="74" t="n">
        <x:v>1181.729</x:v>
      </x:c>
      <x:c r="F188" s="73" t="str">
        <x:v>POSI_FY.pdf</x:v>
      </x:c>
      <x:c r="G188" s="73" t="str">
        <x:v>28, 29</x:v>
      </x:c>
      <x:c r="H188" s="73" t="str">
        <x:v>Страница найдена по сумме; определение требует сверки</x:v>
      </x:c>
      <x:c r="I188" s="69"/>
      <x:c r="J188" s="69"/>
      <x:c r="K188" s="69"/>
    </x:row>
    <x:row r="189" ht="15" hidden="0" customHeight="1">
      <x:c r="A189" t="str">
        <x:v>VKCO</x:v>
      </x:c>
      <x:c r="B189" t="str">
        <x:v>2025</x:v>
      </x:c>
      <x:c r="C189" s="73" t="str">
        <x:v>Выручка</x:v>
      </x:c>
      <x:c r="D189" s="73" t="str">
        <x:v>Раскрытое значение / ранее внесенное значение</x:v>
      </x:c>
      <x:c r="E189" s="74" t="n">
        <x:v>159960</x:v>
      </x:c>
      <x:c r="F189" s="73" t="str">
        <x:v>VKCO_FY.pdf</x:v>
      </x:c>
      <x:c r="G189" s="73" t="str">
        <x:v>9, 41, 59</x:v>
      </x:c>
      <x:c r="H189" s="73" t="str">
        <x:v>Страница найдена по сумме; определение требует сверки</x:v>
      </x:c>
      <x:c r="I189" s="69"/>
      <x:c r="J189" s="69"/>
      <x:c r="K189" s="69"/>
    </x:row>
    <x:row r="190" ht="15" hidden="0" customHeight="1">
      <x:c r="A190" t="str">
        <x:v>VKCO</x:v>
      </x:c>
      <x:c r="B190" t="str">
        <x:v>2025</x:v>
      </x:c>
      <x:c r="C190" s="73" t="str">
        <x:v>Скорр. EBITDA</x:v>
      </x:c>
      <x:c r="D190" s="73" t="str">
        <x:v>Раскрытое значение / ранее внесенное значение</x:v>
      </x:c>
      <x:c r="E190" s="74" t="n">
        <x:v>22584</x:v>
      </x:c>
      <x:c r="F190" s="73" t="str">
        <x:v>VKCO_FY.pdf</x:v>
      </x:c>
      <x:c r="G190" s="73" t="str">
        <x:v>41</x:v>
      </x:c>
      <x:c r="H190" s="73" t="str">
        <x:v>Страница найдена по сумме; определение требует сверки</x:v>
      </x:c>
      <x:c r="I190" s="69"/>
      <x:c r="J190" s="69"/>
      <x:c r="K190" s="69"/>
    </x:row>
    <x:row r="191" ht="15" hidden="0" customHeight="1">
      <x:c r="A191" t="str">
        <x:v>VKCO</x:v>
      </x:c>
      <x:c r="B191" t="str">
        <x:v>2025</x:v>
      </x:c>
      <x:c r="C191" s="73" t="str">
        <x:v>ЧП акционеров</x:v>
      </x:c>
      <x:c r="D191" s="73" t="str">
        <x:v>Раскрытое значение / ранее внесенное значение</x:v>
      </x:c>
      <x:c r="E191" s="74" t="n">
        <x:v>-25423</x:v>
      </x:c>
      <x:c r="F191" s="73" t="str">
        <x:v>VKCO_FY.pdf</x:v>
      </x:c>
      <x:c r="G191" s="73" t="str">
        <x:v>10, 14, 63</x:v>
      </x:c>
      <x:c r="H191" s="73" t="str">
        <x:v>Страница найдена по сумме; определение требует сверки</x:v>
      </x:c>
      <x:c r="I191" s="69"/>
      <x:c r="J191" s="69"/>
      <x:c r="K191" s="69"/>
    </x:row>
    <x:row r="192" ht="15" hidden="0" customHeight="1">
      <x:c r="A192" t="str">
        <x:v>VKCO</x:v>
      </x:c>
      <x:c r="B192" t="str">
        <x:v>2025</x:v>
      </x:c>
      <x:c r="C192" s="73" t="str">
        <x:v>Капитал акционеров</x:v>
      </x:c>
      <x:c r="D192" s="73" t="str">
        <x:v>Раскрытое значение / ранее внесенное значение</x:v>
      </x:c>
      <x:c r="E192" s="74" t="n">
        <x:v>132633</x:v>
      </x:c>
      <x:c r="F192" s="73" t="str">
        <x:v>VKCO_FY.pdf</x:v>
      </x:c>
      <x:c r="G192" s="73" t="str">
        <x:v>14</x:v>
      </x:c>
      <x:c r="H192" s="73" t="str">
        <x:v>Страница найдена по сумме; определение требует сверки</x:v>
      </x:c>
      <x:c r="I192" s="69"/>
      <x:c r="J192" s="69"/>
      <x:c r="K192" s="69"/>
    </x:row>
    <x:row r="193" ht="15" hidden="0" customHeight="1">
      <x:c r="A193" t="str">
        <x:v>RAGR</x:v>
      </x:c>
      <x:c r="B193" t="str">
        <x:v>2025</x:v>
      </x:c>
      <x:c r="C193" s="73" t="str">
        <x:v>Выручка</x:v>
      </x:c>
      <x:c r="D193" s="73" t="str">
        <x:v>Раскрытое значение / ранее внесенное значение</x:v>
      </x:c>
      <x:c r="E193" s="74" t="n">
        <x:v>396450.473</x:v>
      </x:c>
      <x:c r="F193" s="73" t="str">
        <x:v>RAGR_FY_IFRS.pdf</x:v>
      </x:c>
      <x:c r="G193" s="73" t="str">
        <x:v>8, 47, 66, 68</x:v>
      </x:c>
      <x:c r="H193" s="73" t="str">
        <x:v>Страница найдена по сумме; определение требует сверки</x:v>
      </x:c>
      <x:c r="I193" s="69"/>
      <x:c r="J193" s="69"/>
      <x:c r="K193" s="69"/>
    </x:row>
    <x:row r="194" ht="15" hidden="0" customHeight="1">
      <x:c r="A194" t="str">
        <x:v>RAGR</x:v>
      </x:c>
      <x:c r="B194" t="str">
        <x:v>2025</x:v>
      </x:c>
      <x:c r="C194" s="73" t="str">
        <x:v>Скорр. EBITDA</x:v>
      </x:c>
      <x:c r="D194" s="73" t="str">
        <x:v>Раскрытое значение / ранее внесенное значение</x:v>
      </x:c>
      <x:c r="E194" s="74" t="n">
        <x:v>55970.753</x:v>
      </x:c>
      <x:c r="F194" s="73" t="str">
        <x:v>RAGR_FY_IFRS.pdf</x:v>
      </x:c>
      <x:c r="G194" s="73" t="str">
        <x:v>45, 68</x:v>
      </x:c>
      <x:c r="H194" s="73" t="str">
        <x:v>Страница найдена по сумме; определение требует сверки</x:v>
      </x:c>
      <x:c r="I194" s="69"/>
      <x:c r="J194" s="69"/>
      <x:c r="K194" s="69"/>
    </x:row>
    <x:row r="195" ht="15" hidden="0" customHeight="1">
      <x:c r="A195" t="str">
        <x:v>RAGR</x:v>
      </x:c>
      <x:c r="B195" t="str">
        <x:v>2025</x:v>
      </x:c>
      <x:c r="C195" s="73" t="str">
        <x:v>ЧП акционеров</x:v>
      </x:c>
      <x:c r="D195" s="73" t="str">
        <x:v>Раскрытое значение / ранее внесенное значение</x:v>
      </x:c>
      <x:c r="E195" s="74" t="n">
        <x:v>18530.403</x:v>
      </x:c>
      <x:c r="F195" s="73" t="str">
        <x:v>RAGR_FY_IFRS.pdf</x:v>
      </x:c>
      <x:c r="G195" s="73" t="str">
        <x:v>8, 9, 64</x:v>
      </x:c>
      <x:c r="H195" s="73" t="str">
        <x:v>Страница найдена по сумме; определение требует сверки</x:v>
      </x:c>
      <x:c r="I195" s="69"/>
      <x:c r="J195" s="69"/>
      <x:c r="K195" s="69"/>
    </x:row>
    <x:row r="196" ht="15" hidden="0" customHeight="1">
      <x:c r="A196" t="str">
        <x:v>RAGR</x:v>
      </x:c>
      <x:c r="B196" t="str">
        <x:v>2025</x:v>
      </x:c>
      <x:c r="C196" s="73" t="str">
        <x:v>Капитал акционеров</x:v>
      </x:c>
      <x:c r="D196" s="73" t="str">
        <x:v>Раскрытое значение / ранее внесенное значение</x:v>
      </x:c>
      <x:c r="E196" s="74" t="n">
        <x:v>239526.265</x:v>
      </x:c>
      <x:c r="F196" s="73" t="str">
        <x:v>RAGR_FY_IFRS.pdf</x:v>
      </x:c>
      <x:c r="G196" s="73" t="str"/>
      <x:c r="H196" s="73" t="str">
        <x:v>Страница пока не подтверждена</x:v>
      </x:c>
      <x:c r="I196" s="69"/>
      <x:c r="J196" s="69"/>
      <x:c r="K196" s="69"/>
    </x:row>
    <x:row r="197" ht="15" hidden="0" customHeight="1">
      <x:c r="A197" t="str">
        <x:v>LKOH</x:v>
      </x:c>
      <x:c r="B197" t="str">
        <x:v>1П2025</x:v>
      </x:c>
      <x:c r="C197" s="73" t="str">
        <x:v>Выручка</x:v>
      </x:c>
      <x:c r="D197" s="73" t="str">
        <x:v>Раскрытое значение / ранее внесенное значение</x:v>
      </x:c>
      <x:c r="E197" s="74" t="n">
        <x:v>1907603</x:v>
      </x:c>
      <x:c r="F197" s="73" t="str">
        <x:v>LKOH_2026H1.pdf</x:v>
      </x:c>
      <x:c r="G197" s="73" t="str">
        <x:v>5, 26</x:v>
      </x:c>
      <x:c r="H197" s="73" t="str">
        <x:v>Страница найдена по сумме; определение требует сверки</x:v>
      </x:c>
      <x:c r="I197" s="69"/>
      <x:c r="J197" s="69"/>
      <x:c r="K197" s="69"/>
    </x:row>
    <x:row r="198" ht="15" hidden="0" customHeight="1">
      <x:c r="A198" t="str">
        <x:v>LKOH</x:v>
      </x:c>
      <x:c r="B198" t="str">
        <x:v>1П2025</x:v>
      </x:c>
      <x:c r="C198" s="73" t="str">
        <x:v>EBITDA</x:v>
      </x:c>
      <x:c r="D198" s="73" t="str">
        <x:v>Раскрытое значение / ранее внесенное значение</x:v>
      </x:c>
      <x:c r="E198" s="74" t="n">
        <x:v>421872</x:v>
      </x:c>
      <x:c r="F198" s="73" t="str">
        <x:v>LKOH_2026H1.pdf</x:v>
      </x:c>
      <x:c r="G198" s="73" t="str">
        <x:v>26</x:v>
      </x:c>
      <x:c r="H198" s="73" t="str">
        <x:v>Страница найдена по сумме; определение требует сверки</x:v>
      </x:c>
      <x:c r="I198" s="69"/>
      <x:c r="J198" s="69"/>
      <x:c r="K198" s="69"/>
    </x:row>
    <x:row r="199" ht="15" hidden="0" customHeight="1">
      <x:c r="A199" t="str">
        <x:v>LKOH</x:v>
      </x:c>
      <x:c r="B199" t="str">
        <x:v>1П2025</x:v>
      </x:c>
      <x:c r="C199" s="73" t="str">
        <x:v>ЧП акционеров</x:v>
      </x:c>
      <x:c r="D199" s="73" t="str">
        <x:v>Раскрытое значение / ранее внесенное значение</x:v>
      </x:c>
      <x:c r="E199" s="74" t="n">
        <x:v>287023</x:v>
      </x:c>
      <x:c r="F199" s="73" t="str">
        <x:v>LKOH_2026H1.pdf</x:v>
      </x:c>
      <x:c r="G199" s="73" t="str">
        <x:v>5, 6, 7, 21</x:v>
      </x:c>
      <x:c r="H199" s="73" t="str">
        <x:v>Страница найдена по сумме; определение требует сверки</x:v>
      </x:c>
      <x:c r="I199" s="69"/>
      <x:c r="J199" s="69"/>
      <x:c r="K199" s="69"/>
    </x:row>
    <x:row r="200" ht="15" hidden="0" customHeight="1">
      <x:c r="A200" t="str">
        <x:v>LKOH</x:v>
      </x:c>
      <x:c r="B200" t="str">
        <x:v>1П2025</x:v>
      </x:c>
      <x:c r="C200" s="73" t="str">
        <x:v>Капитал акционеров</x:v>
      </x:c>
      <x:c r="D200" s="73" t="str">
        <x:v>Раскрытое значение / ранее внесенное значение</x:v>
      </x:c>
      <x:c r="E200" s="74" t="n">
        <x:v>5380426</x:v>
      </x:c>
      <x:c r="F200" s="73" t="str">
        <x:v>LKOH_2026H1.pdf</x:v>
      </x:c>
      <x:c r="G200" s="73" t="str">
        <x:v>6</x:v>
      </x:c>
      <x:c r="H200" s="73" t="str">
        <x:v>Сверено с таблицей отчета</x:v>
      </x:c>
      <x:c r="I200" s="69"/>
      <x:c r="J200" s="69"/>
      <x:c r="K200" s="69"/>
    </x:row>
    <x:row r="201" ht="15" hidden="0" customHeight="1">
      <x:c r="A201" t="str">
        <x:v>LKOH</x:v>
      </x:c>
      <x:c r="B201" t="str">
        <x:v>1П2025</x:v>
      </x:c>
      <x:c r="C201" s="73" t="str">
        <x:v>Операционная прибыль</x:v>
      </x:c>
      <x:c r="D201" s="73" t="str">
        <x:v>Раскрытое значение / ранее внесенное значение</x:v>
      </x:c>
      <x:c r="E201" s="74" t="n">
        <x:v>244030</x:v>
      </x:c>
      <x:c r="F201" s="73" t="str">
        <x:v>LKOH_2026H1.pdf</x:v>
      </x:c>
      <x:c r="G201" s="73" t="str">
        <x:v>5</x:v>
      </x:c>
      <x:c r="H201" s="73" t="str">
        <x:v>Страница найдена по сумме; определение требует сверки</x:v>
      </x:c>
      <x:c r="I201" s="69"/>
      <x:c r="J201" s="69"/>
      <x:c r="K201" s="69"/>
    </x:row>
    <x:row r="202" ht="15" hidden="0" customHeight="1">
      <x:c r="A202" t="str">
        <x:v>LKOH</x:v>
      </x:c>
      <x:c r="B202" t="str">
        <x:v>1П2025</x:v>
      </x:c>
      <x:c r="C202" s="73" t="str">
        <x:v>Амортизация</x:v>
      </x:c>
      <x:c r="D202" s="73" t="str">
        <x:v>Раскрытое значение / ранее внесенное значение</x:v>
      </x:c>
      <x:c r="E202" s="74" t="n">
        <x:v>177842</x:v>
      </x:c>
      <x:c r="F202" s="73" t="str">
        <x:v>LKOH_2026H1.pdf</x:v>
      </x:c>
      <x:c r="G202" s="73" t="str">
        <x:v>5, 26</x:v>
      </x:c>
      <x:c r="H202" s="73" t="str">
        <x:v>Страница найдена по сумме; определение требует сверки</x:v>
      </x:c>
      <x:c r="I202" s="69"/>
      <x:c r="J202" s="69"/>
      <x:c r="K202" s="69"/>
    </x:row>
    <x:row r="203" ht="15" hidden="0" customHeight="1">
      <x:c r="A203" t="str">
        <x:v>GAZP</x:v>
      </x:c>
      <x:c r="B203" t="str">
        <x:v>1П2025</x:v>
      </x:c>
      <x:c r="C203" s="73" t="str">
        <x:v>Выручка</x:v>
      </x:c>
      <x:c r="D203" s="73" t="str">
        <x:v>Раскрытое значение / ранее внесенное значение</x:v>
      </x:c>
      <x:c r="E203" s="74" t="n">
        <x:v>4989693</x:v>
      </x:c>
      <x:c r="F203" s="73" t="str">
        <x:v>GAZP_2026H1.pdf</x:v>
      </x:c>
      <x:c r="G203" s="73" t="str">
        <x:v>6, 12, 13, 24</x:v>
      </x:c>
      <x:c r="H203" s="73" t="str">
        <x:v>Страница найдена по сумме; определение требует сверки</x:v>
      </x:c>
      <x:c r="I203" s="69"/>
      <x:c r="J203" s="69"/>
      <x:c r="K203" s="69"/>
    </x:row>
    <x:row r="204" ht="15" hidden="0" customHeight="1">
      <x:c r="A204" t="str">
        <x:v>GAZP</x:v>
      </x:c>
      <x:c r="B204" t="str">
        <x:v>1П2025</x:v>
      </x:c>
      <x:c r="C204" s="73" t="str">
        <x:v>ЧП акционеров</x:v>
      </x:c>
      <x:c r="D204" s="73" t="str">
        <x:v>Раскрытое значение / ранее внесенное значение</x:v>
      </x:c>
      <x:c r="E204" s="74" t="n">
        <x:v>983135</x:v>
      </x:c>
      <x:c r="F204" s="73" t="str">
        <x:v>GAZP_2026H1.pdf</x:v>
      </x:c>
      <x:c r="G204" s="73" t="str">
        <x:v>6, 8, 25</x:v>
      </x:c>
      <x:c r="H204" s="73" t="str">
        <x:v>Страница найдена по сумме; определение требует сверки</x:v>
      </x:c>
      <x:c r="I204" s="69"/>
      <x:c r="J204" s="69"/>
      <x:c r="K204" s="69"/>
    </x:row>
    <x:row r="205" ht="15" hidden="0" customHeight="1">
      <x:c r="A205" t="str">
        <x:v>GAZP</x:v>
      </x:c>
      <x:c r="B205" t="str">
        <x:v>1П2025</x:v>
      </x:c>
      <x:c r="C205" s="73" t="str">
        <x:v>ЧП группы для расчета</x:v>
      </x:c>
      <x:c r="D205" s="73" t="str">
        <x:v>Раскрытое значение / ранее внесенное значение</x:v>
      </x:c>
      <x:c r="E205" s="74" t="n">
        <x:v>1034473</x:v>
      </x:c>
      <x:c r="F205" s="73" t="str">
        <x:v>GAZP_2026H1.pdf</x:v>
      </x:c>
      <x:c r="G205" s="73" t="str">
        <x:v>6, 8</x:v>
      </x:c>
      <x:c r="H205" s="73" t="str">
        <x:v>Страница найдена по сумме; определение требует сверки</x:v>
      </x:c>
      <x:c r="I205" s="69"/>
      <x:c r="J205" s="69"/>
      <x:c r="K205" s="69"/>
    </x:row>
    <x:row r="206" ht="15" hidden="0" customHeight="1">
      <x:c r="A206" t="str">
        <x:v>GAZP</x:v>
      </x:c>
      <x:c r="B206" t="str">
        <x:v>1П2025</x:v>
      </x:c>
      <x:c r="C206" s="73" t="str">
        <x:v>Налог</x:v>
      </x:c>
      <x:c r="D206" s="73" t="str">
        <x:v>Раскрытое значение / ранее внесенное значение</x:v>
      </x:c>
      <x:c r="E206" s="74" t="n">
        <x:v>413926</x:v>
      </x:c>
      <x:c r="F206" s="73" t="str">
        <x:v>GAZP_2026H1.pdf</x:v>
      </x:c>
      <x:c r="G206" s="73" t="str">
        <x:v>6</x:v>
      </x:c>
      <x:c r="H206" s="73" t="str">
        <x:v>Страница найдена по сумме; определение требует сверки</x:v>
      </x:c>
      <x:c r="I206" s="69"/>
      <x:c r="J206" s="69"/>
      <x:c r="K206" s="69"/>
    </x:row>
    <x:row r="207" ht="15" hidden="0" customHeight="1">
      <x:c r="A207" t="str">
        <x:v>GAZP</x:v>
      </x:c>
      <x:c r="B207" t="str">
        <x:v>1П2025</x:v>
      </x:c>
      <x:c r="C207" s="73" t="str">
        <x:v>Процентные расходы</x:v>
      </x:c>
      <x:c r="D207" s="73" t="str">
        <x:v>Раскрытое значение / ранее внесенное значение</x:v>
      </x:c>
      <x:c r="E207" s="74" t="n">
        <x:v>170999</x:v>
      </x:c>
      <x:c r="F207" s="73" t="str">
        <x:v>GAZP_2026H1.pdf</x:v>
      </x:c>
      <x:c r="G207" s="73" t="str">
        <x:v>6, 12, 21, 25</x:v>
      </x:c>
      <x:c r="H207" s="73" t="str">
        <x:v>Страница найдена по сумме; определение требует сверки</x:v>
      </x:c>
      <x:c r="I207" s="69"/>
      <x:c r="J207" s="69"/>
      <x:c r="K207" s="69"/>
    </x:row>
    <x:row r="208" ht="15" hidden="0" customHeight="1">
      <x:c r="A208" t="str">
        <x:v>GAZP</x:v>
      </x:c>
      <x:c r="B208" t="str">
        <x:v>1П2025</x:v>
      </x:c>
      <x:c r="C208" s="73" t="str">
        <x:v>Процентные доходы</x:v>
      </x:c>
      <x:c r="D208" s="73" t="str">
        <x:v>Раскрытое значение / ранее внесенное значение</x:v>
      </x:c>
      <x:c r="E208" s="74" t="n">
        <x:v>187770</x:v>
      </x:c>
      <x:c r="F208" s="73" t="str">
        <x:v>GAZP_2026H1.pdf</x:v>
      </x:c>
      <x:c r="G208" s="73" t="str">
        <x:v>25</x:v>
      </x:c>
      <x:c r="H208" s="73" t="str">
        <x:v>Страница найдена по сумме; определение требует сверки</x:v>
      </x:c>
      <x:c r="I208" s="69"/>
      <x:c r="J208" s="69"/>
      <x:c r="K208" s="69"/>
    </x:row>
    <x:row r="209" ht="15" hidden="0" customHeight="1">
      <x:c r="A209" t="str">
        <x:v>GAZP</x:v>
      </x:c>
      <x:c r="B209" t="str">
        <x:v>1П2025</x:v>
      </x:c>
      <x:c r="C209" s="73" t="str">
        <x:v>Амортизация</x:v>
      </x:c>
      <x:c r="D209" s="73" t="str">
        <x:v>Раскрытое значение / ранее внесенное значение</x:v>
      </x:c>
      <x:c r="E209" s="74" t="n">
        <x:v>710276</x:v>
      </x:c>
      <x:c r="F209" s="73" t="str">
        <x:v>GAZP_2026H1.pdf</x:v>
      </x:c>
      <x:c r="G209" s="73" t="str">
        <x:v>7, 12, 24</x:v>
      </x:c>
      <x:c r="H209" s="73" t="str">
        <x:v>Страница найдена по сумме; определение требует сверки</x:v>
      </x:c>
      <x:c r="I209" s="69"/>
      <x:c r="J209" s="69"/>
      <x:c r="K209" s="69"/>
    </x:row>
    <x:row r="210" ht="15" hidden="0" customHeight="1">
      <x:c r="A210" t="str">
        <x:v>YDEX</x:v>
      </x:c>
      <x:c r="B210" t="str">
        <x:v>1П2025</x:v>
      </x:c>
      <x:c r="C210" s="73" t="str">
        <x:v>Выручка</x:v>
      </x:c>
      <x:c r="D210" s="73" t="str">
        <x:v>Раскрытое значение / ранее внесенное значение</x:v>
      </x:c>
      <x:c r="E210" s="74" t="n">
        <x:v>639026</x:v>
      </x:c>
      <x:c r="F210" s="73" t="str">
        <x:v>YDEX_2026H1.pdf</x:v>
      </x:c>
      <x:c r="G210" s="73" t="str">
        <x:v>5, 12, 18</x:v>
      </x:c>
      <x:c r="H210" s="73" t="str">
        <x:v>Страница найдена по сумме; определение требует сверки</x:v>
      </x:c>
      <x:c r="I210" s="69"/>
      <x:c r="J210" s="69"/>
      <x:c r="K210" s="69"/>
    </x:row>
    <x:row r="211" ht="15" hidden="0" customHeight="1">
      <x:c r="A211" t="str">
        <x:v>YDEX</x:v>
      </x:c>
      <x:c r="B211" t="str">
        <x:v>1П2025</x:v>
      </x:c>
      <x:c r="C211" s="73" t="str">
        <x:v>Скорр. EBITDA</x:v>
      </x:c>
      <x:c r="D211" s="73" t="str">
        <x:v>Раскрытое значение / ранее внесенное значение</x:v>
      </x:c>
      <x:c r="E211" s="74" t="n">
        <x:v>114942</x:v>
      </x:c>
      <x:c r="F211" s="73" t="str">
        <x:v>YDEX_2026H1.pdf</x:v>
      </x:c>
      <x:c r="G211" s="73" t="str">
        <x:v>12</x:v>
      </x:c>
      <x:c r="H211" s="73" t="str">
        <x:v>Страница найдена по сумме; определение требует сверки</x:v>
      </x:c>
      <x:c r="I211" s="69"/>
      <x:c r="J211" s="69"/>
      <x:c r="K211" s="69"/>
    </x:row>
    <x:row r="212" ht="15" hidden="0" customHeight="1">
      <x:c r="A212" t="str">
        <x:v>YDEX</x:v>
      </x:c>
      <x:c r="B212" t="str">
        <x:v>1П2025</x:v>
      </x:c>
      <x:c r="C212" s="73" t="str">
        <x:v>ЧП акционеров</x:v>
      </x:c>
      <x:c r="D212" s="73" t="str">
        <x:v>Раскрытое значение / ранее внесенное значение</x:v>
      </x:c>
      <x:c r="E212" s="74" t="n">
        <x:v>5419</x:v>
      </x:c>
      <x:c r="F212" s="73" t="str">
        <x:v>YDEX_2026H1.pdf</x:v>
      </x:c>
      <x:c r="G212" s="73" t="str">
        <x:v>5, 6, 7, 8, 10</x:v>
      </x:c>
      <x:c r="H212" s="73" t="str">
        <x:v>Страница найдена по сумме; определение требует сверки</x:v>
      </x:c>
      <x:c r="I212" s="69"/>
      <x:c r="J212" s="69"/>
      <x:c r="K212" s="69"/>
    </x:row>
    <x:row r="213" ht="15" hidden="0" customHeight="1">
      <x:c r="A213" t="str">
        <x:v>YDEX</x:v>
      </x:c>
      <x:c r="B213" t="str">
        <x:v>1П2025</x:v>
      </x:c>
      <x:c r="C213" s="73" t="str">
        <x:v>Капитал акционеров</x:v>
      </x:c>
      <x:c r="D213" s="73" t="str">
        <x:v>Раскрытое значение / ранее внесенное значение</x:v>
      </x:c>
      <x:c r="E213" s="74" t="n">
        <x:v>291637</x:v>
      </x:c>
      <x:c r="F213" s="73" t="str">
        <x:v>YDEX_2026H1.pdf</x:v>
      </x:c>
      <x:c r="G213" s="73" t="str">
        <x:v>8</x:v>
      </x:c>
      <x:c r="H213" s="73" t="str">
        <x:v>Сверено с таблицей отчета</x:v>
      </x:c>
      <x:c r="I213" s="69"/>
      <x:c r="J213" s="69"/>
      <x:c r="K213" s="69"/>
    </x:row>
    <x:row r="214" ht="15" hidden="0" customHeight="1">
      <x:c r="A214" t="str">
        <x:v>T</x:v>
      </x:c>
      <x:c r="B214" t="str">
        <x:v>1П2025</x:v>
      </x:c>
      <x:c r="C214" s="73" t="str">
        <x:v>Выручка</x:v>
      </x:c>
      <x:c r="D214" s="73" t="str">
        <x:v>Раскрытое значение / ранее внесенное значение</x:v>
      </x:c>
      <x:c r="E214" s="74" t="n">
        <x:v>719200</x:v>
      </x:c>
      <x:c r="F214" s="73" t="str">
        <x:v>T_2026H1.pdf</x:v>
      </x:c>
      <x:c r="G214" s="73" t="str">
        <x:v>4</x:v>
      </x:c>
      <x:c r="H214" s="73" t="str">
        <x:v>Сверено с таблицей отчета</x:v>
      </x:c>
      <x:c r="I214" s="69"/>
      <x:c r="J214" s="69"/>
      <x:c r="K214" s="69"/>
    </x:row>
    <x:row r="215" ht="15" hidden="0" customHeight="1">
      <x:c r="A215" t="str">
        <x:v>T</x:v>
      </x:c>
      <x:c r="B215" t="str">
        <x:v>1П2025</x:v>
      </x:c>
      <x:c r="C215" s="73" t="str">
        <x:v>EBITDA</x:v>
      </x:c>
      <x:c r="D215" s="73" t="str">
        <x:v>Раскрытое значение / ранее внесенное значение</x:v>
      </x:c>
      <x:c r="E215" s="74" t="n">
        <x:v>131600</x:v>
      </x:c>
      <x:c r="F215" s="73" t="str">
        <x:v>T_2026H1.pdf</x:v>
      </x:c>
      <x:c r="G215" s="73" t="str">
        <x:v>28</x:v>
      </x:c>
      <x:c r="H215" s="73" t="str">
        <x:v>Сверено с раскрытой компанией сверкой EBITDA</x:v>
      </x:c>
      <x:c r="I215" s="69"/>
      <x:c r="J215" s="69"/>
      <x:c r="K215" s="69"/>
    </x:row>
    <x:row r="216" ht="15" hidden="0" customHeight="1">
      <x:c r="A216" t="str">
        <x:v>T</x:v>
      </x:c>
      <x:c r="B216" t="str">
        <x:v>1П2025</x:v>
      </x:c>
      <x:c r="C216" s="73" t="str">
        <x:v>Скорр. EBITDA</x:v>
      </x:c>
      <x:c r="D216" s="73" t="str">
        <x:v>Раскрытое значение / ранее внесенное значение</x:v>
      </x:c>
      <x:c r="E216" s="74" t="n">
        <x:v>136200</x:v>
      </x:c>
      <x:c r="F216" s="73" t="str">
        <x:v>T_2026H1.pdf</x:v>
      </x:c>
      <x:c r="G216" s="73" t="str">
        <x:v>28</x:v>
      </x:c>
      <x:c r="H216" s="73" t="str">
        <x:v>Сверено с раскрытой компанией сверкой EBITDA</x:v>
      </x:c>
      <x:c r="I216" s="69"/>
      <x:c r="J216" s="69"/>
      <x:c r="K216" s="69"/>
    </x:row>
    <x:row r="217" ht="15" hidden="0" customHeight="1">
      <x:c r="A217" t="str">
        <x:v>T</x:v>
      </x:c>
      <x:c r="B217" t="str">
        <x:v>1П2025</x:v>
      </x:c>
      <x:c r="C217" s="73" t="str">
        <x:v>ЧП акционеров</x:v>
      </x:c>
      <x:c r="D217" s="73" t="str">
        <x:v>Раскрытое значение / ранее внесенное значение</x:v>
      </x:c>
      <x:c r="E217" s="74" t="n">
        <x:v>75700</x:v>
      </x:c>
      <x:c r="F217" s="73" t="str">
        <x:v>T_2026H1.pdf</x:v>
      </x:c>
      <x:c r="G217" s="73" t="str">
        <x:v>5</x:v>
      </x:c>
      <x:c r="H217" s="73" t="str">
        <x:v>Сверено с таблицей отчета</x:v>
      </x:c>
      <x:c r="I217" s="69"/>
      <x:c r="J217" s="69"/>
      <x:c r="K217" s="69"/>
    </x:row>
    <x:row r="218" ht="15" hidden="0" customHeight="1">
      <x:c r="A218" t="str">
        <x:v>T</x:v>
      </x:c>
      <x:c r="B218" t="str">
        <x:v>1П2025</x:v>
      </x:c>
      <x:c r="C218" s="73" t="str">
        <x:v>Капитал акционеров</x:v>
      </x:c>
      <x:c r="D218" s="73" t="str">
        <x:v>Раскрытое значение / ранее внесенное значение</x:v>
      </x:c>
      <x:c r="E218" s="74" t="n">
        <x:v>612500</x:v>
      </x:c>
      <x:c r="F218" s="73" t="str">
        <x:v>T_2026H1.pdf</x:v>
      </x:c>
      <x:c r="G218" s="73" t="str">
        <x:v>7</x:v>
      </x:c>
      <x:c r="H218" s="73" t="str">
        <x:v>Сверено с таблицей отчета</x:v>
      </x:c>
      <x:c r="I218" s="69"/>
      <x:c r="J218" s="69"/>
      <x:c r="K218" s="69"/>
    </x:row>
    <x:row r="219" ht="15" hidden="0" customHeight="1">
      <x:c r="A219" t="str">
        <x:v>TATN</x:v>
      </x:c>
      <x:c r="B219" t="str">
        <x:v>1П2025</x:v>
      </x:c>
      <x:c r="C219" s="73" t="str">
        <x:v>Выручка</x:v>
      </x:c>
      <x:c r="D219" s="73" t="str">
        <x:v>Раскрытое значение / ранее внесенное значение</x:v>
      </x:c>
      <x:c r="E219" s="74" t="n">
        <x:v>878148</x:v>
      </x:c>
      <x:c r="F219" s="73" t="str">
        <x:v>TATN_2026H1.pdf</x:v>
      </x:c>
      <x:c r="G219" s="73" t="str">
        <x:v>12</x:v>
      </x:c>
      <x:c r="H219" s="73" t="str">
        <x:v>Сверено: исходный, непересмотренный периметр 1П2025; сохранен для сопоставимости TTM с FY2025</x:v>
      </x:c>
      <x:c r="I219" s="69"/>
      <x:c r="J219" s="69"/>
      <x:c r="K219" s="69"/>
    </x:row>
    <x:row r="220" ht="15" hidden="0" customHeight="1">
      <x:c r="A220" t="str">
        <x:v>TATN</x:v>
      </x:c>
      <x:c r="B220" t="str">
        <x:v>1П2025</x:v>
      </x:c>
      <x:c r="C220" s="73" t="str">
        <x:v>ЧП акционеров</x:v>
      </x:c>
      <x:c r="D220" s="73" t="str">
        <x:v>Раскрытое значение / ранее внесенное значение</x:v>
      </x:c>
      <x:c r="E220" s="74" t="n">
        <x:v>58015</x:v>
      </x:c>
      <x:c r="F220" s="73" t="str">
        <x:v>TATN_2026H1.pdf</x:v>
      </x:c>
      <x:c r="G220" s="73" t="str">
        <x:v>6-7</x:v>
      </x:c>
      <x:c r="H220" s="73" t="str">
        <x:v>Сверено: прибыль акционеров</x:v>
      </x:c>
      <x:c r="I220" s="69"/>
      <x:c r="J220" s="69"/>
      <x:c r="K220" s="69"/>
    </x:row>
    <x:row r="221" ht="15" hidden="0" customHeight="1">
      <x:c r="A221" t="str">
        <x:v>TATN</x:v>
      </x:c>
      <x:c r="B221" t="str">
        <x:v>1П2025</x:v>
      </x:c>
      <x:c r="C221" s="73" t="str">
        <x:v>Капитал акционеров</x:v>
      </x:c>
      <x:c r="D221" s="73" t="str">
        <x:v>Раскрытое значение / ранее внесенное значение</x:v>
      </x:c>
      <x:c r="E221" s="74" t="n">
        <x:v>1271149</x:v>
      </x:c>
      <x:c r="F221" s="73" t="str">
        <x:v>TATN_2026H1.pdf</x:v>
      </x:c>
      <x:c r="G221" s="73" t="str">
        <x:v>7</x:v>
      </x:c>
      <x:c r="H221" s="73" t="str">
        <x:v>Сверено: капитал акционеров</x:v>
      </x:c>
      <x:c r="I221" s="69"/>
      <x:c r="J221" s="69"/>
      <x:c r="K221" s="69"/>
    </x:row>
    <x:row r="222" ht="15" hidden="0" customHeight="1">
      <x:c r="A222" t="str">
        <x:v>NVTK</x:v>
      </x:c>
      <x:c r="B222" t="str">
        <x:v>1П2025</x:v>
      </x:c>
      <x:c r="C222" s="73" t="str">
        <x:v>Выручка</x:v>
      </x:c>
      <x:c r="D222" s="73" t="str">
        <x:v>Раскрытое значение / ранее внесенное значение</x:v>
      </x:c>
      <x:c r="E222" s="74" t="n">
        <x:v>804320</x:v>
      </x:c>
      <x:c r="F222" s="73" t="str">
        <x:v>NVTK_2026H1.pdf</x:v>
      </x:c>
      <x:c r="G222" s="73" t="str">
        <x:v>PDF стр. 6</x:v>
      </x:c>
      <x:c r="H222" s="73" t="str">
        <x:v>Сверено: сравнительная выручка 1П2025</x:v>
      </x:c>
      <x:c r="I222" s="69"/>
      <x:c r="J222" s="69"/>
      <x:c r="K222" s="69"/>
    </x:row>
    <x:row r="223" ht="15" hidden="0" customHeight="1">
      <x:c r="A223" t="str">
        <x:v>NVTK</x:v>
      </x:c>
      <x:c r="B223" t="str">
        <x:v>1П2025</x:v>
      </x:c>
      <x:c r="C223" s="73" t="str">
        <x:v>Скорр. EBITDA</x:v>
      </x:c>
      <x:c r="D223" s="73" t="str">
        <x:v>Раскрытое значение / ранее внесенное значение</x:v>
      </x:c>
      <x:c r="E223" s="74" t="n">
        <x:v>471806</x:v>
      </x:c>
      <x:c r="F223" s="73" t="str">
        <x:v>NVTK_IR.html</x:v>
      </x:c>
      <x:c r="G223" s="73" t="str">
        <x:v>н.п. (HTML)</x:v>
      </x:c>
      <x:c r="H223" s="73" t="str">
        <x:v>Официальный IR-релиз 24.07.2026: нормализованная EBITDA 471 806; скорректированная</x:v>
      </x:c>
      <x:c r="I223" s="69"/>
      <x:c r="J223" s="69"/>
      <x:c r="K223" s="69"/>
    </x:row>
    <x:row r="224" ht="15" hidden="0" customHeight="1">
      <x:c r="A224" t="str">
        <x:v>NVTK</x:v>
      </x:c>
      <x:c r="B224" t="str">
        <x:v>1П2025</x:v>
      </x:c>
      <x:c r="C224" s="73" t="str">
        <x:v>ЧП акционеров</x:v>
      </x:c>
      <x:c r="D224" s="73" t="str">
        <x:v>Раскрытое значение / ранее внесенное значение</x:v>
      </x:c>
      <x:c r="E224" s="74" t="n">
        <x:v>225697</x:v>
      </x:c>
      <x:c r="F224" s="73" t="str">
        <x:v>NVTK_2026H1.pdf</x:v>
      </x:c>
      <x:c r="G224" s="73" t="str">
        <x:v>PDF стр. 6</x:v>
      </x:c>
      <x:c r="H224" s="73" t="str">
        <x:v>Сверено: сравнительная прибыль акционеров 1П2025</x:v>
      </x:c>
      <x:c r="I224" s="69"/>
      <x:c r="J224" s="69"/>
      <x:c r="K224" s="69"/>
    </x:row>
    <x:row r="225" ht="15" hidden="0" customHeight="1">
      <x:c r="A225" t="str">
        <x:v>NVTK</x:v>
      </x:c>
      <x:c r="B225" t="str">
        <x:v>1П2025</x:v>
      </x:c>
      <x:c r="C225" s="73" t="str">
        <x:v>Капитал акционеров</x:v>
      </x:c>
      <x:c r="D225" s="73" t="str">
        <x:v>Раскрытое значение / ранее внесенное значение</x:v>
      </x:c>
      <x:c r="E225" s="74" t="n">
        <x:v>2961691</x:v>
      </x:c>
      <x:c r="F225" s="73" t="str">
        <x:v>NVTK_2026H1.pdf</x:v>
      </x:c>
      <x:c r="G225" s="73" t="str">
        <x:v>PDF стр. 9</x:v>
      </x:c>
      <x:c r="H225" s="73" t="str">
        <x:v>Сверено: сравнительный капитал акционеров на 30.06.2025</x:v>
      </x:c>
      <x:c r="I225" s="69"/>
      <x:c r="J225" s="69"/>
      <x:c r="K225" s="69"/>
    </x:row>
    <x:row r="226" ht="15" hidden="0" customHeight="1">
      <x:c r="A226" t="str">
        <x:v>GMKN</x:v>
      </x:c>
      <x:c r="B226" t="str">
        <x:v>1П2025</x:v>
      </x:c>
      <x:c r="C226" s="73" t="str">
        <x:v>Выручка</x:v>
      </x:c>
      <x:c r="D226" s="73" t="str">
        <x:v>Раскрытое значение / ранее внесенное значение</x:v>
      </x:c>
      <x:c r="E226" s="74" t="n">
        <x:v>561115</x:v>
      </x:c>
      <x:c r="F226" s="73" t="str">
        <x:v>GMKN_2026H1.pdf</x:v>
      </x:c>
      <x:c r="G226" s="73" t="str">
        <x:v>PDF стр. 5</x:v>
      </x:c>
      <x:c r="H226" s="73" t="str">
        <x:v>Сравнительная выручка 1П2025</x:v>
      </x:c>
      <x:c r="I226" s="69"/>
      <x:c r="J226" s="69"/>
      <x:c r="K226" s="69"/>
    </x:row>
    <x:row r="227" ht="15" hidden="0" customHeight="1">
      <x:c r="A227" t="str">
        <x:v>GMKN</x:v>
      </x:c>
      <x:c r="B227" t="str">
        <x:v>1П2025</x:v>
      </x:c>
      <x:c r="C227" s="73" t="str">
        <x:v>Скорр. EBITDA</x:v>
      </x:c>
      <x:c r="D227" s="73" t="str">
        <x:v>Раскрытое значение / ранее внесенное значение</x:v>
      </x:c>
      <x:c r="E227" s="74" t="n">
        <x:v>230619</x:v>
      </x:c>
      <x:c r="F227" s="73" t="str">
        <x:v>GMKN_2026H1.pdf</x:v>
      </x:c>
      <x:c r="G227" s="73" t="str">
        <x:v>PDF стр. 17</x:v>
      </x:c>
      <x:c r="H227" s="73" t="str">
        <x:v>Консолидированная EBITDA; скорректированная по составу</x:v>
      </x:c>
      <x:c r="I227" s="69"/>
      <x:c r="J227" s="69"/>
      <x:c r="K227" s="69"/>
    </x:row>
    <x:row r="228" ht="15" hidden="0" customHeight="1">
      <x:c r="A228" t="str">
        <x:v>GMKN</x:v>
      </x:c>
      <x:c r="B228" t="str">
        <x:v>1П2025</x:v>
      </x:c>
      <x:c r="C228" s="73" t="str">
        <x:v>ЧП акционеров</x:v>
      </x:c>
      <x:c r="D228" s="73" t="str">
        <x:v>Раскрытое значение / ранее внесенное значение</x:v>
      </x:c>
      <x:c r="E228" s="74" t="n">
        <x:v>61495</x:v>
      </x:c>
      <x:c r="F228" s="73" t="str">
        <x:v>GMKN_2026H1.pdf</x:v>
      </x:c>
      <x:c r="G228" s="73" t="str">
        <x:v>PDF стр. 5</x:v>
      </x:c>
      <x:c r="H228" s="73" t="str">
        <x:v>Сравнительная прибыль, относящаяся к акционерам</x:v>
      </x:c>
      <x:c r="I228" s="69"/>
      <x:c r="J228" s="69"/>
      <x:c r="K228" s="69"/>
    </x:row>
    <x:row r="229" ht="15" hidden="0" customHeight="1">
      <x:c r="A229" t="str">
        <x:v>GMKN</x:v>
      </x:c>
      <x:c r="B229" t="str">
        <x:v>1П2025</x:v>
      </x:c>
      <x:c r="C229" s="73" t="str">
        <x:v>Капитал акционеров</x:v>
      </x:c>
      <x:c r="D229" s="73" t="str">
        <x:v>Раскрытое значение / ранее внесенное значение</x:v>
      </x:c>
      <x:c r="E229" s="74" t="n">
        <x:v>782952</x:v>
      </x:c>
      <x:c r="F229" s="73" t="str">
        <x:v>GMKN_2026H1.pdf</x:v>
      </x:c>
      <x:c r="G229" s="73" t="str">
        <x:v>PDF стр. 6</x:v>
      </x:c>
      <x:c r="H229" s="73" t="str">
        <x:v>Капитал акционеров на 30.06.2025</x:v>
      </x:c>
      <x:c r="I229" s="69"/>
      <x:c r="J229" s="69"/>
      <x:c r="K229" s="69"/>
    </x:row>
    <x:row r="230" ht="15" hidden="0" customHeight="1">
      <x:c r="A230" t="str">
        <x:v>OZON</x:v>
      </x:c>
      <x:c r="B230" t="str">
        <x:v>1П2025</x:v>
      </x:c>
      <x:c r="C230" s="73" t="str">
        <x:v>Выручка</x:v>
      </x:c>
      <x:c r="D230" s="73" t="str">
        <x:v>Раскрытое значение / ранее внесенное значение</x:v>
      </x:c>
      <x:c r="E230" s="74" t="n">
        <x:v>429739</x:v>
      </x:c>
      <x:c r="F230" s="73" t="str">
        <x:v>OZON_2026H1.pdf</x:v>
      </x:c>
      <x:c r="G230" s="73" t="str">
        <x:v>PDF стр. 13, 14</x:v>
      </x:c>
      <x:c r="H230" s="73" t="str">
        <x:v>Сверено: сравнительная выручка 1П2025 429 739 млн руб.</x:v>
      </x:c>
      <x:c r="I230" s="69"/>
      <x:c r="J230" s="69"/>
      <x:c r="K230" s="69"/>
    </x:row>
    <x:row r="231" ht="15" hidden="0" customHeight="1">
      <x:c r="A231" t="str">
        <x:v>OZON</x:v>
      </x:c>
      <x:c r="B231" t="str">
        <x:v>1П2025</x:v>
      </x:c>
      <x:c r="C231" s="73" t="str">
        <x:v>Скорр. EBITDA</x:v>
      </x:c>
      <x:c r="D231" s="73" t="str">
        <x:v>Раскрытое значение / ранее внесенное значение</x:v>
      </x:c>
      <x:c r="E231" s="74" t="n">
        <x:v>71662</x:v>
      </x:c>
      <x:c r="F231" s="73" t="str">
        <x:v>OZON_2026H1.pdf</x:v>
      </x:c>
      <x:c r="G231" s="73" t="str">
        <x:v>PDF стр. 11, 13</x:v>
      </x:c>
      <x:c r="H231" s="73" t="str">
        <x:v>Сверено: скорректированная EBITDA 1П2025 71 662; обычная EBITDA отдельно не раскрыта</x:v>
      </x:c>
      <x:c r="I231" s="69"/>
      <x:c r="J231" s="69"/>
      <x:c r="K231" s="69"/>
    </x:row>
    <x:row r="232" ht="15" hidden="0" customHeight="1">
      <x:c r="A232" t="str">
        <x:v>OZON</x:v>
      </x:c>
      <x:c r="B232" t="str">
        <x:v>1П2025</x:v>
      </x:c>
      <x:c r="C232" s="73" t="str">
        <x:v>ЧП акционеров</x:v>
      </x:c>
      <x:c r="D232" s="73" t="str">
        <x:v>Раскрытое значение / ранее внесенное значение</x:v>
      </x:c>
      <x:c r="E232" s="74" t="n">
        <x:v>-7535</x:v>
      </x:c>
      <x:c r="F232" s="73" t="str">
        <x:v>OZON_2026H1.pdf</x:v>
      </x:c>
      <x:c r="G232" s="73" t="str">
        <x:v>PDF стр. 7, 11</x:v>
      </x:c>
      <x:c r="H232" s="73" t="str">
        <x:v>Сверено: убыток 1П2025, относимый к акционерам, -7 535 млн руб.</x:v>
      </x:c>
      <x:c r="I232" s="69"/>
      <x:c r="J232" s="69"/>
      <x:c r="K232" s="69"/>
    </x:row>
    <x:row r="233" ht="15" hidden="0" customHeight="1">
      <x:c r="A233" t="str">
        <x:v>OZON</x:v>
      </x:c>
      <x:c r="B233" t="str">
        <x:v>1П2025</x:v>
      </x:c>
      <x:c r="C233" s="73" t="str">
        <x:v>Капитал акционеров</x:v>
      </x:c>
      <x:c r="D233" s="73" t="str">
        <x:v>Раскрытое значение / ранее внесенное значение</x:v>
      </x:c>
      <x:c r="E233" s="74" t="n">
        <x:v>-140307</x:v>
      </x:c>
      <x:c r="F233" s="73" t="str">
        <x:v>OZON_2026H1.pdf</x:v>
      </x:c>
      <x:c r="G233" s="73" t="str">
        <x:v>PDF стр. 7</x:v>
      </x:c>
      <x:c r="H233" s="73" t="str">
        <x:v>Сверено: капитал акционеров на 30.06.2025 -140 307 млн руб.</x:v>
      </x:c>
      <x:c r="I233" s="69"/>
      <x:c r="J233" s="69"/>
      <x:c r="K233" s="69"/>
    </x:row>
    <x:row r="234" ht="15" hidden="0" customHeight="1">
      <x:c r="A234" t="str">
        <x:v>OZON</x:v>
      </x:c>
      <x:c r="B234" t="str">
        <x:v>1П2025</x:v>
      </x:c>
      <x:c r="C234" s="73" t="str">
        <x:v>ЧП группы для расчета</x:v>
      </x:c>
      <x:c r="D234" s="73" t="str">
        <x:v>Раскрытое значение / ранее внесенное значение</x:v>
      </x:c>
      <x:c r="E234" s="74" t="n">
        <x:v>-7535</x:v>
      </x:c>
      <x:c r="F234" s="73" t="str">
        <x:v>OZON_2026H1.pdf</x:v>
      </x:c>
      <x:c r="G234" s="73" t="str">
        <x:v>PDF стр. 7, 11</x:v>
      </x:c>
      <x:c r="H234" s="73" t="str">
        <x:v>Сверено: убыток группы 1П2025 -7 535 млн руб.</x:v>
      </x:c>
      <x:c r="I234" s="69"/>
      <x:c r="J234" s="69"/>
      <x:c r="K234" s="69"/>
    </x:row>
    <x:row r="235" ht="15" hidden="0" customHeight="1">
      <x:c r="A235" t="str">
        <x:v>OZON</x:v>
      </x:c>
      <x:c r="B235" t="str">
        <x:v>1П2025</x:v>
      </x:c>
      <x:c r="C235" s="73" t="str">
        <x:v>Налог</x:v>
      </x:c>
      <x:c r="D235" s="73" t="str">
        <x:v>Раскрытое значение / ранее внесенное значение</x:v>
      </x:c>
      <x:c r="E235" s="74" t="n">
        <x:v>5309</x:v>
      </x:c>
      <x:c r="F235" s="73" t="str">
        <x:v>OZON_2026H1.pdf</x:v>
      </x:c>
      <x:c r="G235" s="73" t="str">
        <x:v>PDF стр. 11, 15</x:v>
      </x:c>
      <x:c r="H235" s="73" t="str">
        <x:v>Сверено: расходы по налогу на прибыль 5 309 млн руб.</x:v>
      </x:c>
      <x:c r="I235" s="69"/>
      <x:c r="J235" s="69"/>
      <x:c r="K235" s="69"/>
    </x:row>
    <x:row r="236" ht="15" hidden="0" customHeight="1">
      <x:c r="A236" t="str">
        <x:v>OZON</x:v>
      </x:c>
      <x:c r="B236" t="str">
        <x:v>1П2025</x:v>
      </x:c>
      <x:c r="C236" s="73" t="str">
        <x:v>Амортизация</x:v>
      </x:c>
      <x:c r="D236" s="73" t="str">
        <x:v>Раскрытое значение / ранее внесенное значение</x:v>
      </x:c>
      <x:c r="E236" s="74" t="n">
        <x:v>29240</x:v>
      </x:c>
      <x:c r="F236" s="73" t="str">
        <x:v>OZON_2026H1.pdf</x:v>
      </x:c>
      <x:c r="G236" s="73" t="str">
        <x:v>PDF стр. 8, 11, 13</x:v>
      </x:c>
      <x:c r="H236" s="73" t="str">
        <x:v>Сверено: амортизация внеоборотных активов 29 240 млн руб.</x:v>
      </x:c>
      <x:c r="I236" s="69"/>
      <x:c r="J236" s="69"/>
      <x:c r="K236" s="69"/>
    </x:row>
    <x:row r="237" ht="15" hidden="0" customHeight="1">
      <x:c r="A237" t="str">
        <x:v>OZON</x:v>
      </x:c>
      <x:c r="B237" t="str">
        <x:v>1П2025</x:v>
      </x:c>
      <x:c r="C237" s="73" t="str">
        <x:v>Операционная прибыль</x:v>
      </x:c>
      <x:c r="D237" s="73" t="str">
        <x:v>Раскрытое значение / ранее внесенное значение</x:v>
      </x:c>
      <x:c r="E237" s="74" t="n">
        <x:v>31688</x:v>
      </x:c>
      <x:c r="F237" s="73" t="str">
        <x:v>OZON_2026H1.pdf</x:v>
      </x:c>
      <x:c r="G237" s="73" t="str">
        <x:v>PDF стр. 11, 13</x:v>
      </x:c>
      <x:c r="H237" s="73" t="str">
        <x:v>Сверено: операционная прибыль 31 688 млн руб.</x:v>
      </x:c>
      <x:c r="I237" s="69"/>
      <x:c r="J237" s="69"/>
      <x:c r="K237" s="69"/>
    </x:row>
    <x:row r="238" ht="15" hidden="0" customHeight="1">
      <x:c r="A238" t="str">
        <x:v>OZON</x:v>
      </x:c>
      <x:c r="B238" t="str">
        <x:v>1П2025</x:v>
      </x:c>
      <x:c r="C238" s="73" t="str">
        <x:v>Амортизация</x:v>
      </x:c>
      <x:c r="D238" s="73" t="str">
        <x:v>Раскрытое значение / ранее внесенное значение</x:v>
      </x:c>
      <x:c r="E238" s="74" t="n">
        <x:v>29240</x:v>
      </x:c>
      <x:c r="F238" s="73" t="str">
        <x:v>OZON_2026H1.pdf</x:v>
      </x:c>
      <x:c r="G238" s="73" t="str">
        <x:v>PDF стр. 8, 11, 13</x:v>
      </x:c>
      <x:c r="H238" s="73" t="str">
        <x:v>Сверено: амортизация внеоборотных активов 29 240 млн руб.</x:v>
      </x:c>
      <x:c r="I238" s="69"/>
      <x:c r="J238" s="69"/>
      <x:c r="K238" s="69"/>
    </x:row>
    <x:row r="239" ht="15" hidden="0" customHeight="1">
      <x:c r="A239" t="str">
        <x:v>X5</x:v>
      </x:c>
      <x:c r="B239" t="str">
        <x:v>1П2025</x:v>
      </x:c>
      <x:c r="C239" s="73" t="str">
        <x:v>ЧД IAS17</x:v>
      </x:c>
      <x:c r="D239" s="73" t="str">
        <x:v>Раскрытое значение / ранее внесенное значение</x:v>
      </x:c>
      <x:c r="E239" s="74" t="n">
        <x:v>258359</x:v>
      </x:c>
      <x:c r="F239" s="73" t="str">
        <x:v>X5_IR_2026H1.pdf</x:v>
      </x:c>
      <x:c r="G239" s="73" t="str">
        <x:v>PDF стр. 12</x:v>
      </x:c>
      <x:c r="H239" s="73" t="str">
        <x:v>Сверено: раскрытый чистый долг до IFRS 16 — 258 359 млн руб.</x:v>
      </x:c>
      <x:c r="I239" s="69"/>
      <x:c r="J239" s="69"/>
      <x:c r="K239" s="69"/>
    </x:row>
    <x:row r="240" ht="15" hidden="0" customHeight="1">
      <x:c r="A240" t="str">
        <x:v>X5</x:v>
      </x:c>
      <x:c r="B240" t="str">
        <x:v>1П2025</x:v>
      </x:c>
      <x:c r="C240" s="73" t="str">
        <x:v>Выручка</x:v>
      </x:c>
      <x:c r="D240" s="73" t="str">
        <x:v>Раскрытое значение / ранее внесенное значение</x:v>
      </x:c>
      <x:c r="E240" s="74" t="n">
        <x:v>2243992</x:v>
      </x:c>
      <x:c r="F240" s="73" t="str">
        <x:v>X5_2026H1.pdf</x:v>
      </x:c>
      <x:c r="G240" s="73" t="str">
        <x:v>PDF стр. 6</x:v>
      </x:c>
      <x:c r="H240" s="73" t="str">
        <x:v>Сверено: сравнительная выручка 1П2025 — 2 243 992 млн руб.</x:v>
      </x:c>
      <x:c r="I240" s="69"/>
      <x:c r="J240" s="69"/>
      <x:c r="K240" s="69"/>
    </x:row>
    <x:row r="241" ht="15" hidden="0" customHeight="1">
      <x:c r="A241" t="str">
        <x:v>X5</x:v>
      </x:c>
      <x:c r="B241" t="str">
        <x:v>1П2025</x:v>
      </x:c>
      <x:c r="C241" s="73" t="str">
        <x:v>EBITDA</x:v>
      </x:c>
      <x:c r="D241" s="73" t="str">
        <x:v>Раскрытое значение / ранее внесенное значение</x:v>
      </x:c>
      <x:c r="E241" s="74" t="n">
        <x:v>204131</x:v>
      </x:c>
      <x:c r="F241" s="73" t="str">
        <x:v>X5_IR_2026H1.pdf</x:v>
      </x:c>
      <x:c r="G241" s="73" t="str">
        <x:v>PDF стр. 15, 17</x:v>
      </x:c>
      <x:c r="H241" s="73" t="str">
        <x:v>Сверено: EBITDA IFRS 16 — 204 131 млн руб.</x:v>
      </x:c>
      <x:c r="I241" s="69"/>
      <x:c r="J241" s="69"/>
      <x:c r="K241" s="69"/>
    </x:row>
    <x:row r="242" ht="15" hidden="0" customHeight="1">
      <x:c r="A242" t="str">
        <x:v>X5</x:v>
      </x:c>
      <x:c r="B242" t="str">
        <x:v>1П2025</x:v>
      </x:c>
      <x:c r="C242" s="73" t="str">
        <x:v>Скорр. EBITDA</x:v>
      </x:c>
      <x:c r="D242" s="73" t="str">
        <x:v>Раскрытое значение / ранее внесенное значение</x:v>
      </x:c>
      <x:c r="E242" s="74" t="n">
        <x:v>211446</x:v>
      </x:c>
      <x:c r="F242" s="73" t="str">
        <x:v>X5_IR_2026H1.pdf</x:v>
      </x:c>
      <x:c r="G242" s="73" t="str">
        <x:v>PDF стр. 15, 17</x:v>
      </x:c>
      <x:c r="H242" s="73" t="str">
        <x:v>Сверено: скорректированная EBITDA IFRS 16 — 211 446 млн руб.</x:v>
      </x:c>
      <x:c r="I242" s="69"/>
      <x:c r="J242" s="69"/>
      <x:c r="K242" s="69"/>
    </x:row>
    <x:row r="243" ht="15" hidden="0" customHeight="1">
      <x:c r="A243" t="str">
        <x:v>X5</x:v>
      </x:c>
      <x:c r="B243" t="str">
        <x:v>1П2025</x:v>
      </x:c>
      <x:c r="C243" s="73" t="str">
        <x:v>EBITDA IAS17</x:v>
      </x:c>
      <x:c r="D243" s="73" t="str">
        <x:v>Раскрытое значение / ранее внесенное значение</x:v>
      </x:c>
      <x:c r="E243" s="74" t="n">
        <x:v>122754</x:v>
      </x:c>
      <x:c r="F243" s="73" t="str">
        <x:v>X5_IR_2026H1.pdf</x:v>
      </x:c>
      <x:c r="G243" s="73" t="str">
        <x:v>PDF стр. 3, 18</x:v>
      </x:c>
      <x:c r="H243" s="73" t="str">
        <x:v>Сверено: EBITDA до IFRS 16 — 122 754 млн руб.</x:v>
      </x:c>
      <x:c r="I243" s="69"/>
      <x:c r="J243" s="69"/>
      <x:c r="K243" s="69"/>
    </x:row>
    <x:row r="244" ht="15" hidden="0" customHeight="1">
      <x:c r="A244" t="str">
        <x:v>X5</x:v>
      </x:c>
      <x:c r="B244" t="str">
        <x:v>1П2025</x:v>
      </x:c>
      <x:c r="C244" s="73" t="str">
        <x:v>ЧП акционеров</x:v>
      </x:c>
      <x:c r="D244" s="73" t="str">
        <x:v>Раскрытое значение / ранее внесенное значение</x:v>
      </x:c>
      <x:c r="E244" s="74" t="n">
        <x:v>42261</x:v>
      </x:c>
      <x:c r="F244" s="73" t="str">
        <x:v>X5_2026H1.pdf</x:v>
      </x:c>
      <x:c r="G244" s="73" t="str">
        <x:v>PDF стр. 6</x:v>
      </x:c>
      <x:c r="H244" s="73" t="str">
        <x:v>Сверено: сравнительная прибыль акционеров — 42 261 млн руб.</x:v>
      </x:c>
      <x:c r="I244" s="69"/>
      <x:c r="J244" s="69"/>
      <x:c r="K244" s="69"/>
    </x:row>
    <x:row r="245" ht="15" hidden="0" customHeight="1">
      <x:c r="A245" t="str">
        <x:v>X5</x:v>
      </x:c>
      <x:c r="B245" t="str">
        <x:v>1П2025</x:v>
      </x:c>
      <x:c r="C245" s="73" t="str">
        <x:v>Краткосрочный долг</x:v>
      </x:c>
      <x:c r="D245" s="73" t="str">
        <x:v>Раскрытое значение / ранее внесенное значение</x:v>
      </x:c>
      <x:c r="E245" s="74" t="n">
        <x:v>133387</x:v>
      </x:c>
      <x:c r="F245" s="73" t="str">
        <x:v>X5_IR_2026H1.pdf</x:v>
      </x:c>
      <x:c r="G245" s="73" t="str">
        <x:v>PDF стр. 12</x:v>
      </x:c>
      <x:c r="H245" s="73" t="str">
        <x:v>Сверено: краткосрочный долг — 133 387 млн руб.</x:v>
      </x:c>
      <x:c r="I245" s="69"/>
      <x:c r="J245" s="69"/>
      <x:c r="K245" s="69"/>
    </x:row>
    <x:row r="246" ht="15" hidden="0" customHeight="1">
      <x:c r="A246" t="str">
        <x:v>X5</x:v>
      </x:c>
      <x:c r="B246" t="str">
        <x:v>1П2025</x:v>
      </x:c>
      <x:c r="C246" s="73" t="str">
        <x:v>Долгосрочный долг</x:v>
      </x:c>
      <x:c r="D246" s="73" t="str">
        <x:v>Раскрытое значение / ранее внесенное значение</x:v>
      </x:c>
      <x:c r="E246" s="74" t="n">
        <x:v>180912</x:v>
      </x:c>
      <x:c r="F246" s="73" t="str">
        <x:v>X5_IR_2026H1.pdf</x:v>
      </x:c>
      <x:c r="G246" s="73" t="str">
        <x:v>PDF стр. 12</x:v>
      </x:c>
      <x:c r="H246" s="73" t="str">
        <x:v>Сверено: долгосрочный долг — 180 912 млн руб.</x:v>
      </x:c>
      <x:c r="I246" s="69"/>
      <x:c r="J246" s="69"/>
      <x:c r="K246" s="69"/>
    </x:row>
    <x:row r="247" ht="15" hidden="0" customHeight="1">
      <x:c r="A247" t="str">
        <x:v>X5</x:v>
      </x:c>
      <x:c r="B247" t="str">
        <x:v>1П2025</x:v>
      </x:c>
      <x:c r="C247" s="73" t="str">
        <x:v>Денежные средства</x:v>
      </x:c>
      <x:c r="D247" s="73" t="str">
        <x:v>Раскрытое значение / ранее внесенное значение</x:v>
      </x:c>
      <x:c r="E247" s="74" t="n">
        <x:v>55940</x:v>
      </x:c>
      <x:c r="F247" s="73" t="str">
        <x:v>X5_IR_2026H1.pdf</x:v>
      </x:c>
      <x:c r="G247" s="73" t="str">
        <x:v>PDF стр. 12</x:v>
      </x:c>
      <x:c r="H247" s="73" t="str">
        <x:v>Сверено арифметикой раскрытого ЧД: 133 387 + 180 912 − 258 359 = 55 940 млн руб.</x:v>
      </x:c>
      <x:c r="I247" s="69"/>
      <x:c r="J247" s="69"/>
      <x:c r="K247" s="69"/>
    </x:row>
    <x:row r="248" ht="15" hidden="0" customHeight="1">
      <x:c r="A248" t="str">
        <x:v>X5</x:v>
      </x:c>
      <x:c r="B248" t="str">
        <x:v>1П2025</x:v>
      </x:c>
      <x:c r="C248" s="73" t="str">
        <x:v>Арендные обязательства вне кредитов</x:v>
      </x:c>
      <x:c r="D248" s="73" t="str">
        <x:v>Раскрытое значение / ранее внесенное значение</x:v>
      </x:c>
      <x:c r="E248" s="74" t="n">
        <x:v>663252</x:v>
      </x:c>
      <x:c r="F248" s="73" t="str">
        <x:v>X5_IR_2026H1.pdf</x:v>
      </x:c>
      <x:c r="G248" s="73" t="str">
        <x:v>PDF стр. 12</x:v>
      </x:c>
      <x:c r="H248" s="73" t="str">
        <x:v>Сверено: обязательства по аренде — 663 252 млн руб.; показаны отдельно и включены в ЧД IFRS 16</x:v>
      </x:c>
      <x:c r="I248" s="69"/>
      <x:c r="J248" s="69"/>
      <x:c r="K248" s="69"/>
    </x:row>
    <x:row r="249" ht="15" hidden="0" customHeight="1">
      <x:c r="A249" t="str">
        <x:v>X5</x:v>
      </x:c>
      <x:c r="B249" t="str">
        <x:v>1П2025</x:v>
      </x:c>
      <x:c r="C249" s="73" t="str">
        <x:v>Скорр. EBITDA IAS17</x:v>
      </x:c>
      <x:c r="D249" s="73" t="str">
        <x:v>Раскрытое значение / ранее внесенное значение</x:v>
      </x:c>
      <x:c r="E249" s="74" t="n">
        <x:v>130069</x:v>
      </x:c>
      <x:c r="F249" s="73" t="str">
        <x:v>X5_IR_2026H1.pdf</x:v>
      </x:c>
      <x:c r="G249" s="73" t="str">
        <x:v>PDF стр. 3</x:v>
      </x:c>
      <x:c r="H249" s="73" t="str">
        <x:v>Сверено: скорректированная EBITDA до IFRS 16 — 130 069 млн руб.</x:v>
      </x:c>
      <x:c r="I249" s="69"/>
      <x:c r="J249" s="69"/>
      <x:c r="K249" s="69"/>
    </x:row>
    <x:row r="250" ht="15" hidden="0" customHeight="1">
      <x:c r="A250" t="str">
        <x:v>ROSN</x:v>
      </x:c>
      <x:c r="B250" t="str">
        <x:v>1П2025</x:v>
      </x:c>
      <x:c r="C250" s="73" t="str">
        <x:v>Выручка</x:v>
      </x:c>
      <x:c r="D250" s="73" t="str">
        <x:v>Раскрытое значение / ранее внесенное значение</x:v>
      </x:c>
      <x:c r="E250" s="74" t="n">
        <x:v>4263000</x:v>
      </x:c>
      <x:c r="F250" s="73" t="str">
        <x:v>ROSN_2026H1.pdf</x:v>
      </x:c>
      <x:c r="G250" s="73" t="str">
        <x:v>PDF стр. 6</x:v>
      </x:c>
      <x:c r="H250" s="73" t="str">
        <x:v>Сверено: сравнительная выручка и доход от ассоциированных организаций и СП — 4 263 000 млн руб.</x:v>
      </x:c>
      <x:c r="I250" s="69"/>
      <x:c r="J250" s="69"/>
      <x:c r="K250" s="69"/>
    </x:row>
    <x:row r="251" ht="15" hidden="0" customHeight="1">
      <x:c r="A251" t="str">
        <x:v>ROSN</x:v>
      </x:c>
      <x:c r="B251" t="str">
        <x:v>1П2025</x:v>
      </x:c>
      <x:c r="C251" s="73" t="str">
        <x:v>EBITDA</x:v>
      </x:c>
      <x:c r="D251" s="73" t="str">
        <x:v>Раскрытое значение / ранее внесенное значение</x:v>
      </x:c>
      <x:c r="E251" s="74" t="n">
        <x:v>1054000</x:v>
      </x:c>
      <x:c r="F251" s="73" t="str">
        <x:v>Официальный IR-релиз Роснефти от 30.08.2025</x:v>
      </x:c>
      <x:c r="G251" s="73" t="str">
        <x:v>веб-страница</x:v>
      </x:c>
      <x:c r="H251" s="73" t="str">
        <x:v>Сверено: EBITDA 1П2025 — 1 054 000 млн руб.; отдельная скорректированная версия не раскрыта. https://www.rosneft.ru/press/releases/item/222713/</x:v>
      </x:c>
      <x:c r="I251" s="69"/>
      <x:c r="J251" s="69"/>
      <x:c r="K251" s="69"/>
    </x:row>
    <x:row r="252" ht="15" hidden="0" customHeight="1">
      <x:c r="A252" t="str">
        <x:v>ROSN</x:v>
      </x:c>
      <x:c r="B252" t="str">
        <x:v>1П2025</x:v>
      </x:c>
      <x:c r="C252" s="73" t="str">
        <x:v>ЧП акционеров</x:v>
      </x:c>
      <x:c r="D252" s="73" t="str">
        <x:v>Раскрытое значение / ранее внесенное значение</x:v>
      </x:c>
      <x:c r="E252" s="74" t="n">
        <x:v>245000</x:v>
      </x:c>
      <x:c r="F252" s="73" t="str">
        <x:v>ROSN_2026H1.pdf</x:v>
      </x:c>
      <x:c r="G252" s="73" t="str">
        <x:v>PDF стр. 6</x:v>
      </x:c>
      <x:c r="H252" s="73" t="str">
        <x:v>Сверено: сравнительная прибыль акционеров — 245 000 млн руб.</x:v>
      </x:c>
      <x:c r="I252" s="69"/>
      <x:c r="J252" s="69"/>
      <x:c r="K252" s="69"/>
    </x:row>
    <x:row r="253" ht="15" hidden="0" customHeight="1">
      <x:c r="A253" t="str">
        <x:v>PLZL</x:v>
      </x:c>
      <x:c r="B253" t="str">
        <x:v>1П2025</x:v>
      </x:c>
      <x:c r="C253" s="73" t="str">
        <x:v>Выручка</x:v>
      </x:c>
      <x:c r="D253" s="73" t="str">
        <x:v>Раскрытое значение / ранее внесенное значение</x:v>
      </x:c>
      <x:c r="E253" s="74" t="n">
        <x:v>309794</x:v>
      </x:c>
      <x:c r="F253" s="73" t="str">
        <x:v>PLZL_2026H1.pdf</x:v>
      </x:c>
      <x:c r="G253" s="73" t="str">
        <x:v>PDF стр. 6</x:v>
      </x:c>
      <x:c r="H253" s="73" t="str">
        <x:v>Сверено: сравнительная выручка 309 794 млн руб.</x:v>
      </x:c>
      <x:c r="I253" s="69"/>
      <x:c r="J253" s="69"/>
      <x:c r="K253" s="69"/>
    </x:row>
    <x:row r="254" ht="15" hidden="0" customHeight="1">
      <x:c r="A254" t="str">
        <x:v>PLZL</x:v>
      </x:c>
      <x:c r="B254" t="str">
        <x:v>1П2025</x:v>
      </x:c>
      <x:c r="C254" s="73" t="str">
        <x:v>ЧП акционеров</x:v>
      </x:c>
      <x:c r="D254" s="73" t="str">
        <x:v>Раскрытое значение / ранее внесенное значение</x:v>
      </x:c>
      <x:c r="E254" s="74" t="n">
        <x:v>172536</x:v>
      </x:c>
      <x:c r="F254" s="73" t="str">
        <x:v>PLZL_2026H1.pdf</x:v>
      </x:c>
      <x:c r="G254" s="73" t="str">
        <x:v>PDF стр. 6, 8</x:v>
      </x:c>
      <x:c r="H254" s="73" t="str">
        <x:v>Сверено: прибыль, относящаяся к акционерам Компании, 172 536 млн руб.; прибыль группы 172 489 млн руб. не использована.</x:v>
      </x:c>
      <x:c r="I254" s="69"/>
      <x:c r="J254" s="69"/>
      <x:c r="K254" s="69"/>
    </x:row>
    <x:row r="255" ht="15" hidden="0" customHeight="1">
      <x:c r="A255" t="str">
        <x:v>PLZL</x:v>
      </x:c>
      <x:c r="B255" t="str">
        <x:v>1П2025</x:v>
      </x:c>
      <x:c r="C255" s="73" t="str">
        <x:v>Капитал акционеров</x:v>
      </x:c>
      <x:c r="D255" s="73" t="str">
        <x:v>Раскрытое значение / ранее внесенное значение</x:v>
      </x:c>
      <x:c r="E255" s="74" t="n">
        <x:v>232256</x:v>
      </x:c>
      <x:c r="F255" s="73" t="str">
        <x:v>PLZL_2026H1.pdf</x:v>
      </x:c>
      <x:c r="G255" s="73" t="str">
        <x:v>PDF стр. 8</x:v>
      </x:c>
      <x:c r="H255" s="73" t="str">
        <x:v>Сверено: капитал акционеров материнской компании на 30.06.2025 — 232 256 млн руб.; НКД 27 млн руб.</x:v>
      </x:c>
      <x:c r="I255" s="69"/>
      <x:c r="J255" s="69"/>
      <x:c r="K255" s="69"/>
    </x:row>
    <x:row r="256" ht="15" hidden="0" customHeight="1">
      <x:c r="A256" t="str">
        <x:v>HEAD</x:v>
      </x:c>
      <x:c r="B256" t="str">
        <x:v>1П2025</x:v>
      </x:c>
      <x:c r="C256" s="73" t="str">
        <x:v>Выручка</x:v>
      </x:c>
      <x:c r="D256" s="73" t="str">
        <x:v>Раскрытое значение / ранее внесенное значение</x:v>
      </x:c>
      <x:c r="E256" s="74" t="n">
        <x:v>19787.72</x:v>
      </x:c>
      <x:c r="F256" s="73" t="str">
        <x:v>HEAD_2026H1.pdf</x:v>
      </x:c>
      <x:c r="G256" s="73" t="str">
        <x:v>PDF стр. 6, 15, 17</x:v>
      </x:c>
      <x:c r="H256" s="73" t="str">
        <x:v>Сверено: сравнительная выручка 1П2025 19 787,720 млн руб.</x:v>
      </x:c>
      <x:c r="I256" s="69"/>
      <x:c r="J256" s="69"/>
      <x:c r="K256" s="69"/>
    </x:row>
    <x:row r="257" ht="15" hidden="0" customHeight="1">
      <x:c r="A257" t="str">
        <x:v>HEAD</x:v>
      </x:c>
      <x:c r="B257" t="str">
        <x:v>1П2025</x:v>
      </x:c>
      <x:c r="C257" s="73" t="str">
        <x:v>Скорр. EBITDA</x:v>
      </x:c>
      <x:c r="D257" s="73" t="str">
        <x:v>Раскрытое значение / ранее внесенное значение</x:v>
      </x:c>
      <x:c r="E257" s="74" t="n">
        <x:v>10268.621</x:v>
      </x:c>
      <x:c r="F257" s="73" t="str">
        <x:v>HEAD_2026H1.pdf</x:v>
      </x:c>
      <x:c r="G257" s="73" t="str">
        <x:v>PDF стр. 15</x:v>
      </x:c>
      <x:c r="H257" s="73" t="str">
        <x:v>Сверено: EBITDA по сегменту 10 268,621 млн руб.; классифицирована как скорректированная EBITDA.</x:v>
      </x:c>
      <x:c r="I257" s="69"/>
      <x:c r="J257" s="69"/>
      <x:c r="K257" s="69"/>
    </x:row>
    <x:row r="258" ht="15" hidden="0" customHeight="1">
      <x:c r="A258" t="str">
        <x:v>HEAD</x:v>
      </x:c>
      <x:c r="B258" t="str">
        <x:v>1П2025</x:v>
      </x:c>
      <x:c r="C258" s="73" t="str">
        <x:v>ЧП акционеров</x:v>
      </x:c>
      <x:c r="D258" s="73" t="str">
        <x:v>Раскрытое значение / ранее внесенное значение</x:v>
      </x:c>
      <x:c r="E258" s="74" t="n">
        <x:v>6421.123</x:v>
      </x:c>
      <x:c r="F258" s="73" t="str">
        <x:v>HEAD_2026H1.pdf</x:v>
      </x:c>
      <x:c r="G258" s="73" t="str">
        <x:v>PDF стр. 6, 7</x:v>
      </x:c>
      <x:c r="H258" s="73" t="str">
        <x:v>Сверено: прибыль собственников Компании 6 421,123 млн руб.</x:v>
      </x:c>
      <x:c r="I258" s="69"/>
      <x:c r="J258" s="69"/>
      <x:c r="K258" s="69"/>
    </x:row>
    <x:row r="259" ht="15" hidden="0" customHeight="1">
      <x:c r="A259" t="str">
        <x:v>HEAD</x:v>
      </x:c>
      <x:c r="B259" t="str">
        <x:v>1П2025</x:v>
      </x:c>
      <x:c r="C259" s="73" t="str">
        <x:v>Капитал акционеров</x:v>
      </x:c>
      <x:c r="D259" s="73" t="str">
        <x:v>Раскрытое значение / ранее внесенное значение</x:v>
      </x:c>
      <x:c r="E259" s="74" t="n">
        <x:v>5419.8</x:v>
      </x:c>
      <x:c r="F259" s="73" t="str">
        <x:v>HEAD_2026H1.pdf</x:v>
      </x:c>
      <x:c r="G259" s="73" t="str">
        <x:v>PDF стр. 7</x:v>
      </x:c>
      <x:c r="H259" s="73" t="str">
        <x:v>Сверено: капитал собственников Компании на 30.06.2025 5 419,800 млн руб.</x:v>
      </x:c>
      <x:c r="I259" s="69"/>
      <x:c r="J259" s="69"/>
      <x:c r="K259" s="69"/>
    </x:row>
    <x:row r="260" ht="15" hidden="0" customHeight="1">
      <x:c r="A260" t="str">
        <x:v>HEAD</x:v>
      </x:c>
      <x:c r="B260" t="str">
        <x:v>1П2025</x:v>
      </x:c>
      <x:c r="C260" s="73" t="str">
        <x:v>Процентные доходы</x:v>
      </x:c>
      <x:c r="D260" s="73" t="str">
        <x:v>Раскрытое значение / ранее внесенное значение</x:v>
      </x:c>
      <x:c r="E260" s="74" t="n">
        <x:v>594.543</x:v>
      </x:c>
      <x:c r="F260" s="73" t="str">
        <x:v>HEAD_2026H1.pdf</x:v>
      </x:c>
      <x:c r="G260" s="73" t="str">
        <x:v>8, 15</x:v>
      </x:c>
      <x:c r="H260" s="73" t="str">
        <x:v>Страница найдена по сумме; определение требует сверки</x:v>
      </x:c>
      <x:c r="I260" s="69"/>
      <x:c r="J260" s="69"/>
      <x:c r="K260" s="69"/>
    </x:row>
    <x:row r="261" ht="15" hidden="0" customHeight="1">
      <x:c r="A261" t="str">
        <x:v>HEAD</x:v>
      </x:c>
      <x:c r="B261" t="str">
        <x:v>1П2025</x:v>
      </x:c>
      <x:c r="C261" s="73" t="str">
        <x:v>Амортизация</x:v>
      </x:c>
      <x:c r="D261" s="73" t="str">
        <x:v>Раскрытое значение / ранее внесенное значение</x:v>
      </x:c>
      <x:c r="E261" s="74" t="n">
        <x:v>809.591</x:v>
      </x:c>
      <x:c r="F261" s="73" t="str">
        <x:v>HEAD_2026H1.pdf</x:v>
      </x:c>
      <x:c r="G261" s="73" t="str">
        <x:v>6, 8, 15</x:v>
      </x:c>
      <x:c r="H261" s="73" t="str">
        <x:v>Страница найдена по сумме; определение требует сверки</x:v>
      </x:c>
      <x:c r="I261" s="69"/>
      <x:c r="J261" s="69"/>
      <x:c r="K261" s="69"/>
    </x:row>
    <x:row r="262" ht="15" hidden="0" customHeight="1">
      <x:c r="A262" t="str">
        <x:v>MTSS</x:v>
      </x:c>
      <x:c r="B262" t="str">
        <x:v>1П2025</x:v>
      </x:c>
      <x:c r="C262" s="73" t="str">
        <x:v>Выручка</x:v>
      </x:c>
      <x:c r="D262" s="73" t="str">
        <x:v>Раскрытое значение / ранее внесенное значение</x:v>
      </x:c>
      <x:c r="E262" s="74" t="n">
        <x:v>370906</x:v>
      </x:c>
      <x:c r="F262" s="73" t="str">
        <x:v>MTSS_2026H1.pdf</x:v>
      </x:c>
      <x:c r="G262" s="73" t="str">
        <x:v>7, 16</x:v>
      </x:c>
      <x:c r="H262" s="73" t="str">
        <x:v>Страница найдена по сумме; определение требует сверки</x:v>
      </x:c>
      <x:c r="I262" s="69"/>
      <x:c r="J262" s="69"/>
      <x:c r="K262" s="69"/>
    </x:row>
    <x:row r="263" ht="15" hidden="0" customHeight="1">
      <x:c r="A263" t="str">
        <x:v>MTSS</x:v>
      </x:c>
      <x:c r="B263" t="str">
        <x:v>1П2025</x:v>
      </x:c>
      <x:c r="C263" s="73" t="str">
        <x:v>OIBDA</x:v>
      </x:c>
      <x:c r="D263" s="73" t="str">
        <x:v>Раскрытое значение / ранее внесенное значение</x:v>
      </x:c>
      <x:c r="E263" s="74" t="n">
        <x:v>136077</x:v>
      </x:c>
      <x:c r="F263" s="73" t="str">
        <x:v>MTSS_2026H1.pdf</x:v>
      </x:c>
      <x:c r="G263" s="73" t="str">
        <x:v>16</x:v>
      </x:c>
      <x:c r="H263" s="73" t="str">
        <x:v>Страница найдена по сумме; определение требует сверки</x:v>
      </x:c>
      <x:c r="I263" s="69"/>
      <x:c r="J263" s="69"/>
      <x:c r="K263" s="69"/>
    </x:row>
    <x:row r="264" ht="15" hidden="0" customHeight="1">
      <x:c r="A264" t="str">
        <x:v>MTSS</x:v>
      </x:c>
      <x:c r="B264" t="str">
        <x:v>1П2025</x:v>
      </x:c>
      <x:c r="C264" s="73" t="str">
        <x:v>ЧП акционеров</x:v>
      </x:c>
      <x:c r="D264" s="73" t="str">
        <x:v>Раскрытое значение / ранее внесенное значение</x:v>
      </x:c>
      <x:c r="E264" s="74" t="n">
        <x:v>7695</x:v>
      </x:c>
      <x:c r="F264" s="73" t="str">
        <x:v>MTSS_2026H1.pdf</x:v>
      </x:c>
      <x:c r="G264" s="73" t="str">
        <x:v>7, 9</x:v>
      </x:c>
      <x:c r="H264" s="73" t="str">
        <x:v>Страница найдена по сумме; определение требует сверки</x:v>
      </x:c>
      <x:c r="I264" s="69"/>
      <x:c r="J264" s="69"/>
      <x:c r="K264" s="69"/>
    </x:row>
    <x:row r="265" ht="15" hidden="0" customHeight="1">
      <x:c r="A265" t="str">
        <x:v>MTSS</x:v>
      </x:c>
      <x:c r="B265" t="str">
        <x:v>1П2025</x:v>
      </x:c>
      <x:c r="C265" s="73" t="str">
        <x:v>Капитал акционеров</x:v>
      </x:c>
      <x:c r="D265" s="73" t="str">
        <x:v>Раскрытое значение / ранее внесенное значение</x:v>
      </x:c>
      <x:c r="E265" s="74" t="n">
        <x:v>-72562</x:v>
      </x:c>
      <x:c r="F265" s="73" t="str">
        <x:v>MTSS_2026H1.pdf</x:v>
      </x:c>
      <x:c r="G265" s="73" t="str">
        <x:v>9</x:v>
      </x:c>
      <x:c r="H265" s="73" t="str">
        <x:v>Сверено с таблицей отчета</x:v>
      </x:c>
      <x:c r="I265" s="69"/>
      <x:c r="J265" s="69"/>
      <x:c r="K265" s="69"/>
    </x:row>
    <x:row r="266" ht="15" hidden="0" customHeight="1">
      <x:c r="A266" t="str">
        <x:v>IRAO</x:v>
      </x:c>
      <x:c r="B266" t="str">
        <x:v>1П2025</x:v>
      </x:c>
      <x:c r="C266" s="73" t="str">
        <x:v>Выручка</x:v>
      </x:c>
      <x:c r="D266" s="73" t="str">
        <x:v>Раскрытое значение / ранее внесенное значение</x:v>
      </x:c>
      <x:c r="E266" s="74" t="n">
        <x:v>818085</x:v>
      </x:c>
      <x:c r="F266" s="73" t="str">
        <x:v>IRAO_2026H1.pdf</x:v>
      </x:c>
      <x:c r="G266" s="73" t="str">
        <x:v>PDF стр. 6</x:v>
      </x:c>
      <x:c r="H266" s="73" t="str">
        <x:v>Сравнительная выручка 1П2025: 818 085</x:v>
      </x:c>
      <x:c r="I266" s="69"/>
      <x:c r="J266" s="69"/>
      <x:c r="K266" s="69"/>
    </x:row>
    <x:row r="267" ht="15" hidden="0" customHeight="1">
      <x:c r="A267" t="str">
        <x:v>IRAO</x:v>
      </x:c>
      <x:c r="B267" t="str">
        <x:v>1П2025</x:v>
      </x:c>
      <x:c r="C267" s="73" t="str">
        <x:v>Скорр. EBITDA</x:v>
      </x:c>
      <x:c r="D267" s="73" t="str">
        <x:v>Раскрытое значение / ранее внесенное значение</x:v>
      </x:c>
      <x:c r="E267" s="74" t="n">
        <x:v>93250</x:v>
      </x:c>
      <x:c r="F267" s="73" t="str">
        <x:v>IRAO_2026H1.pdf</x:v>
      </x:c>
      <x:c r="G267" s="73" t="str">
        <x:v>PDF стр. 20</x:v>
      </x:c>
      <x:c r="H267" s="73" t="str">
        <x:v>Сравнительная EBITDA 1П2025: 93 250; скорректированная по составу</x:v>
      </x:c>
      <x:c r="I267" s="69"/>
      <x:c r="J267" s="69"/>
      <x:c r="K267" s="69"/>
    </x:row>
    <x:row r="268" ht="15" hidden="0" customHeight="1">
      <x:c r="A268" t="str">
        <x:v>IRAO</x:v>
      </x:c>
      <x:c r="B268" t="str">
        <x:v>1П2025</x:v>
      </x:c>
      <x:c r="C268" s="73" t="str">
        <x:v>ЧП акционеров</x:v>
      </x:c>
      <x:c r="D268" s="73" t="str">
        <x:v>Раскрытое значение / ранее внесенное значение</x:v>
      </x:c>
      <x:c r="E268" s="74" t="n">
        <x:v>81716</x:v>
      </x:c>
      <x:c r="F268" s="73" t="str">
        <x:v>IRAO_2026H1.pdf</x:v>
      </x:c>
      <x:c r="G268" s="73" t="str">
        <x:v>PDF стр. 7</x:v>
      </x:c>
      <x:c r="H268" s="73" t="str">
        <x:v>Сравнительная прибыль акционеров 1П2025: 81 716</x:v>
      </x:c>
      <x:c r="I268" s="69"/>
      <x:c r="J268" s="69"/>
      <x:c r="K268" s="69"/>
    </x:row>
    <x:row r="269" ht="15" hidden="0" customHeight="1">
      <x:c r="A269" t="str">
        <x:v>CHMF</x:v>
      </x:c>
      <x:c r="B269" t="str">
        <x:v>1П2025</x:v>
      </x:c>
      <x:c r="C269" s="73" t="str">
        <x:v>Выручка</x:v>
      </x:c>
      <x:c r="D269" s="73" t="str">
        <x:v>Раскрытое значение / ранее внесенное значение</x:v>
      </x:c>
      <x:c r="E269" s="74" t="n">
        <x:v>364210</x:v>
      </x:c>
      <x:c r="F269" s="73" t="str">
        <x:v>CHMF_2026H1.pdf</x:v>
      </x:c>
      <x:c r="G269" s="73" t="str">
        <x:v>PDF стр. 14</x:v>
      </x:c>
      <x:c r="H269" s="73" t="str">
        <x:v>Сравнительная выручка 1П2025: 364 210</x:v>
      </x:c>
      <x:c r="I269" s="69"/>
      <x:c r="J269" s="69"/>
      <x:c r="K269" s="69"/>
    </x:row>
    <x:row r="270" ht="15" hidden="0" customHeight="1">
      <x:c r="A270" t="str">
        <x:v>CHMF</x:v>
      </x:c>
      <x:c r="B270" t="str">
        <x:v>1П2025</x:v>
      </x:c>
      <x:c r="C270" s="73" t="str">
        <x:v>Скорр. EBITDA</x:v>
      </x:c>
      <x:c r="D270" s="73" t="str">
        <x:v>Раскрытое значение / ранее внесенное значение</x:v>
      </x:c>
      <x:c r="E270" s="74" t="n">
        <x:v>78654</x:v>
      </x:c>
      <x:c r="F270" s="73" t="str">
        <x:v>CHMF_2026H1.pdf</x:v>
      </x:c>
      <x:c r="G270" s="73" t="str">
        <x:v>PDF стр. 14–15</x:v>
      </x:c>
      <x:c r="H270" s="73" t="str">
        <x:v>EBITDA 1П2025: 78 654; скорректированная по составу</x:v>
      </x:c>
      <x:c r="I270" s="69"/>
      <x:c r="J270" s="69"/>
      <x:c r="K270" s="69"/>
    </x:row>
    <x:row r="271" ht="15" hidden="0" customHeight="1">
      <x:c r="A271" t="str">
        <x:v>CHMF</x:v>
      </x:c>
      <x:c r="B271" t="str">
        <x:v>1П2025</x:v>
      </x:c>
      <x:c r="C271" s="73" t="str">
        <x:v>ЧП акционеров</x:v>
      </x:c>
      <x:c r="D271" s="73" t="str">
        <x:v>Раскрытое значение / ранее внесенное значение</x:v>
      </x:c>
      <x:c r="E271" s="74" t="n">
        <x:v>36757</x:v>
      </x:c>
      <x:c r="F271" s="73" t="str">
        <x:v>CHMF_2026H1.pdf</x:v>
      </x:c>
      <x:c r="G271" s="73" t="str">
        <x:v>PDF стр. 9</x:v>
      </x:c>
      <x:c r="H271" s="73" t="str">
        <x:v>Прибыль акционеров 1П2025: 36 757; исправлено с общего совокупного дохода 36 727</x:v>
      </x:c>
      <x:c r="I271" s="69"/>
      <x:c r="J271" s="69"/>
      <x:c r="K271" s="69"/>
    </x:row>
    <x:row r="272" ht="15" hidden="0" customHeight="1">
      <x:c r="A272" t="str">
        <x:v>CHMF</x:v>
      </x:c>
      <x:c r="B272" t="str">
        <x:v>1П2025</x:v>
      </x:c>
      <x:c r="C272" s="73" t="str">
        <x:v>Капитал акционеров</x:v>
      </x:c>
      <x:c r="D272" s="73" t="str">
        <x:v>Раскрытое значение / ранее внесенное значение</x:v>
      </x:c>
      <x:c r="E272" s="74" t="n">
        <x:v>532087</x:v>
      </x:c>
      <x:c r="F272" s="73" t="str">
        <x:v>CHMF_2026H1.pdf</x:v>
      </x:c>
      <x:c r="G272" s="73" t="str">
        <x:v>PDF стр. 9</x:v>
      </x:c>
      <x:c r="H272" s="73" t="str">
        <x:v>Капитал акционеров на 30.06.2025: 532 087</x:v>
      </x:c>
      <x:c r="I272" s="69"/>
      <x:c r="J272" s="69"/>
      <x:c r="K272" s="69"/>
    </x:row>
    <x:row r="273" ht="15" hidden="0" customHeight="1">
      <x:c r="A273" t="str">
        <x:v>RUAL</x:v>
      </x:c>
      <x:c r="B273" t="str">
        <x:v>1П2025</x:v>
      </x:c>
      <x:c r="C273" s="73" t="str">
        <x:v>Выручка</x:v>
      </x:c>
      <x:c r="D273" s="73" t="str">
        <x:v>Раскрытое значение / ранее внесенное значение</x:v>
      </x:c>
      <x:c r="E273" s="74" t="n">
        <x:v>654499.9177900553</x:v>
      </x:c>
      <x:c r="F273" s="73" t="str">
        <x:v>RUAL_2026H1.pdf</x:v>
      </x:c>
      <x:c r="G273" s="73" t="str">
        <x:v>PDF стр. 6</x:v>
      </x:c>
      <x:c r="H273" s="73" t="str">
        <x:v>Сравнительная выручка 1П2025: 7 520 млн долл.; средний курс 87,0345635359116</x:v>
      </x:c>
      <x:c r="I273" s="69"/>
      <x:c r="J273" s="69"/>
      <x:c r="K273" s="69"/>
    </x:row>
    <x:row r="274" ht="15" hidden="0" customHeight="1">
      <x:c r="A274" t="str">
        <x:v>RUAL</x:v>
      </x:c>
      <x:c r="B274" t="str">
        <x:v>1П2025</x:v>
      </x:c>
      <x:c r="C274" s="73" t="str">
        <x:v>Скорр. EBITDA</x:v>
      </x:c>
      <x:c r="D274" s="73" t="str">
        <x:v>Раскрытое значение / ранее внесенное значение</x:v>
      </x:c>
      <x:c r="E274" s="74" t="n">
        <x:v>65101.85352486188</x:v>
      </x:c>
      <x:c r="F274" s="73" t="str">
        <x:v>RUAL_2026H1.pdf</x:v>
      </x:c>
      <x:c r="G274" s="73" t="str">
        <x:v>PDF стр. 6, 24</x:v>
      </x:c>
      <x:c r="H274" s="73" t="str">
        <x:v>Сравнительная скорректированная EBITDA 1П2025: 748 млн долл.</x:v>
      </x:c>
      <x:c r="I274" s="69"/>
      <x:c r="J274" s="69"/>
      <x:c r="K274" s="69"/>
    </x:row>
    <x:row r="275" ht="15" hidden="0" customHeight="1">
      <x:c r="A275" t="str">
        <x:v>RUAL</x:v>
      </x:c>
      <x:c r="B275" t="str">
        <x:v>1П2025</x:v>
      </x:c>
      <x:c r="C275" s="73" t="str">
        <x:v>ЧП акционеров</x:v>
      </x:c>
      <x:c r="D275" s="73" t="str">
        <x:v>Раскрытое значение / ранее внесенное значение</x:v>
      </x:c>
      <x:c r="E275" s="74" t="n">
        <x:v>-7572.00702762431</x:v>
      </x:c>
      <x:c r="F275" s="73" t="str">
        <x:v>RUAL_2026H1.pdf</x:v>
      </x:c>
      <x:c r="G275" s="73" t="str">
        <x:v>PDF стр. 6</x:v>
      </x:c>
      <x:c r="H275" s="73" t="str">
        <x:v>Убыток акционеров 1П2025: 87 млн долл.</x:v>
      </x:c>
      <x:c r="I275" s="69"/>
      <x:c r="J275" s="69"/>
      <x:c r="K275" s="69"/>
    </x:row>
    <x:row r="276" ht="15" hidden="0" customHeight="1">
      <x:c r="A276" t="str">
        <x:v>NLMK</x:v>
      </x:c>
      <x:c r="B276" t="str">
        <x:v>1П2025</x:v>
      </x:c>
      <x:c r="C276" s="73" t="str">
        <x:v>Выручка</x:v>
      </x:c>
      <x:c r="D276" s="73" t="str">
        <x:v>Раскрытое значение / ранее внесенное значение</x:v>
      </x:c>
      <x:c r="E276" s="74" t="n">
        <x:v>438708</x:v>
      </x:c>
      <x:c r="F276" s="73" t="str">
        <x:v>NLMK_2025H1_official.pdf</x:v>
      </x:c>
      <x:c r="G276" s="73" t="str">
        <x:v>PDF стр. 6</x:v>
      </x:c>
      <x:c r="H276" s="73" t="str">
        <x:v>Выручка 438 708 млн руб.</x:v>
      </x:c>
      <x:c r="I276" s="69"/>
      <x:c r="J276" s="69"/>
      <x:c r="K276" s="69"/>
    </x:row>
    <x:row r="277" ht="15" hidden="0" customHeight="1">
      <x:c r="A277" t="str">
        <x:v>NLMK</x:v>
      </x:c>
      <x:c r="B277" t="str">
        <x:v>1П2025</x:v>
      </x:c>
      <x:c r="C277" s="73" t="str">
        <x:v>ЧП акционеров</x:v>
      </x:c>
      <x:c r="D277" s="73" t="str">
        <x:v>Раскрытое значение / ранее внесенное значение</x:v>
      </x:c>
      <x:c r="E277" s="74" t="n">
        <x:v>44884</x:v>
      </x:c>
      <x:c r="F277" s="73" t="str">
        <x:v>NLMK_2025H1_official.pdf</x:v>
      </x:c>
      <x:c r="G277" s="73" t="str">
        <x:v>PDF стр. 6</x:v>
      </x:c>
      <x:c r="H277" s="73" t="str">
        <x:v>Прибыль акционеров 44 884 млн руб.</x:v>
      </x:c>
      <x:c r="I277" s="69"/>
      <x:c r="J277" s="69"/>
      <x:c r="K277" s="69"/>
    </x:row>
    <x:row r="278" ht="15" hidden="0" customHeight="1">
      <x:c r="A278" t="str">
        <x:v>NLMK</x:v>
      </x:c>
      <x:c r="B278" t="str">
        <x:v>1П2025</x:v>
      </x:c>
      <x:c r="C278" s="73" t="str">
        <x:v>Капитал акционеров</x:v>
      </x:c>
      <x:c r="D278" s="73" t="str">
        <x:v>Раскрытое значение / ранее внесенное значение</x:v>
      </x:c>
      <x:c r="E278" s="74" t="n">
        <x:v>865413</x:v>
      </x:c>
      <x:c r="F278" s="73" t="str">
        <x:v>NLMK_2025H1_official.pdf</x:v>
      </x:c>
      <x:c r="G278" s="73" t="str">
        <x:v>PDF стр. 5</x:v>
      </x:c>
      <x:c r="H278" s="73" t="str">
        <x:v>Капитал акционеров 865 413 млн руб.</x:v>
      </x:c>
      <x:c r="I278" s="69"/>
      <x:c r="J278" s="69"/>
      <x:c r="K278" s="69"/>
    </x:row>
    <x:row r="279" ht="15" hidden="0" customHeight="1">
      <x:c r="A279" t="str">
        <x:v>PHOR</x:v>
      </x:c>
      <x:c r="B279" t="str">
        <x:v>1П2025</x:v>
      </x:c>
      <x:c r="C279" s="73" t="str">
        <x:v>Выручка</x:v>
      </x:c>
      <x:c r="D279" s="73" t="str">
        <x:v>Раскрытое значение / ранее внесенное значение</x:v>
      </x:c>
      <x:c r="E279" s="74" t="n">
        <x:v>298556</x:v>
      </x:c>
      <x:c r="F279" s="73" t="str">
        <x:v>PHOR_2026H1.pdf</x:v>
      </x:c>
      <x:c r="G279" s="73" t="str">
        <x:v>5, 12</x:v>
      </x:c>
      <x:c r="H279" s="73" t="str">
        <x:v>Страница найдена по сумме; определение требует сверки</x:v>
      </x:c>
      <x:c r="I279" s="69"/>
      <x:c r="J279" s="69"/>
      <x:c r="K279" s="69"/>
    </x:row>
    <x:row r="280" ht="15" hidden="0" customHeight="1">
      <x:c r="A280" t="str">
        <x:v>PHOR</x:v>
      </x:c>
      <x:c r="B280" t="str">
        <x:v>1П2025</x:v>
      </x:c>
      <x:c r="C280" s="73" t="str">
        <x:v>EBITDA</x:v>
      </x:c>
      <x:c r="D280" s="73" t="str">
        <x:v>Раскрытое значение / ранее внесенное значение</x:v>
      </x:c>
      <x:c r="E280" s="74" t="n">
        <x:v>94595</x:v>
      </x:c>
      <x:c r="F280" s="73" t="str">
        <x:v>PHOR_2026H1.pdf</x:v>
      </x:c>
      <x:c r="G280" s="73" t="str"/>
      <x:c r="H280" s="73" t="str">
        <x:v>Страница пока не подтверждена</x:v>
      </x:c>
      <x:c r="I280" s="69"/>
      <x:c r="J280" s="69"/>
      <x:c r="K280" s="69"/>
    </x:row>
    <x:row r="281" ht="15" hidden="0" customHeight="1">
      <x:c r="A281" t="str">
        <x:v>PHOR</x:v>
      </x:c>
      <x:c r="B281" t="str">
        <x:v>1П2025</x:v>
      </x:c>
      <x:c r="C281" s="73" t="str">
        <x:v>Скорр. EBITDA</x:v>
      </x:c>
      <x:c r="D281" s="73" t="str">
        <x:v>Раскрытое значение / ранее внесенное значение</x:v>
      </x:c>
      <x:c r="E281" s="74" t="n">
        <x:v>115277</x:v>
      </x:c>
      <x:c r="F281" s="73" t="str">
        <x:v>PHOR_2026H1.pdf</x:v>
      </x:c>
      <x:c r="G281" s="73" t="str"/>
      <x:c r="H281" s="73" t="str">
        <x:v>Страница пока не подтверждена</x:v>
      </x:c>
      <x:c r="I281" s="69"/>
      <x:c r="J281" s="69"/>
      <x:c r="K281" s="69"/>
    </x:row>
    <x:row r="282" ht="15" hidden="0" customHeight="1">
      <x:c r="A282" t="str">
        <x:v>PHOR</x:v>
      </x:c>
      <x:c r="B282" t="str">
        <x:v>1П2025</x:v>
      </x:c>
      <x:c r="C282" s="73" t="str">
        <x:v>ЧП акционеров</x:v>
      </x:c>
      <x:c r="D282" s="73" t="str">
        <x:v>Раскрытое значение / ранее внесенное значение</x:v>
      </x:c>
      <x:c r="E282" s="74" t="n">
        <x:v>75530</x:v>
      </x:c>
      <x:c r="F282" s="73" t="str">
        <x:v>PHOR_2026H1.pdf</x:v>
      </x:c>
      <x:c r="G282" s="73" t="str">
        <x:v>5, 8, 18</x:v>
      </x:c>
      <x:c r="H282" s="73" t="str">
        <x:v>Страница найдена по сумме; определение требует сверки</x:v>
      </x:c>
      <x:c r="I282" s="69"/>
      <x:c r="J282" s="69"/>
      <x:c r="K282" s="69"/>
    </x:row>
    <x:row r="283" ht="15" hidden="0" customHeight="1">
      <x:c r="A283" t="str">
        <x:v>PHOR</x:v>
      </x:c>
      <x:c r="B283" t="str">
        <x:v>1П2025</x:v>
      </x:c>
      <x:c r="C283" s="73" t="str">
        <x:v>ЧП группы для расчета</x:v>
      </x:c>
      <x:c r="D283" s="73" t="str">
        <x:v>Раскрытое значение / ранее внесенное значение</x:v>
      </x:c>
      <x:c r="E283" s="74" t="n">
        <x:v>75542</x:v>
      </x:c>
      <x:c r="F283" s="73" t="str">
        <x:v>PHOR_2026H1.pdf</x:v>
      </x:c>
      <x:c r="G283" s="73" t="str">
        <x:v>5, 8</x:v>
      </x:c>
      <x:c r="H283" s="73" t="str">
        <x:v>Страница найдена по сумме; определение требует сверки</x:v>
      </x:c>
      <x:c r="I283" s="69"/>
      <x:c r="J283" s="69"/>
      <x:c r="K283" s="69"/>
    </x:row>
    <x:row r="284" ht="15" hidden="0" customHeight="1">
      <x:c r="A284" t="str">
        <x:v>PHOR</x:v>
      </x:c>
      <x:c r="B284" t="str">
        <x:v>1П2025</x:v>
      </x:c>
      <x:c r="C284" s="73" t="str">
        <x:v>Налог</x:v>
      </x:c>
      <x:c r="D284" s="73" t="str">
        <x:v>Раскрытое значение / ранее внесенное значение</x:v>
      </x:c>
      <x:c r="E284" s="74" t="n">
        <x:v>21930</x:v>
      </x:c>
      <x:c r="F284" s="73" t="str">
        <x:v>PHOR_2026H1.pdf</x:v>
      </x:c>
      <x:c r="G284" s="73" t="str">
        <x:v>5, 14</x:v>
      </x:c>
      <x:c r="H284" s="73" t="str">
        <x:v>Страница найдена по сумме; определение требует сверки</x:v>
      </x:c>
      <x:c r="I284" s="69"/>
      <x:c r="J284" s="69"/>
      <x:c r="K284" s="69"/>
    </x:row>
    <x:row r="285" ht="15" hidden="0" customHeight="1">
      <x:c r="A285" t="str">
        <x:v>PHOR</x:v>
      </x:c>
      <x:c r="B285" t="str">
        <x:v>1П2025</x:v>
      </x:c>
      <x:c r="C285" s="73" t="str">
        <x:v>Процентные расходы</x:v>
      </x:c>
      <x:c r="D285" s="73" t="str">
        <x:v>Раскрытое значение / ранее внесенное значение</x:v>
      </x:c>
      <x:c r="E285" s="74" t="n">
        <x:v>12651</x:v>
      </x:c>
      <x:c r="F285" s="73" t="str">
        <x:v>PHOR_2026H1.pdf</x:v>
      </x:c>
      <x:c r="G285" s="73" t="str"/>
      <x:c r="H285" s="73" t="str">
        <x:v>Страница пока не подтверждена</x:v>
      </x:c>
      <x:c r="I285" s="69"/>
      <x:c r="J285" s="69"/>
      <x:c r="K285" s="69"/>
    </x:row>
    <x:row r="286" ht="15" hidden="0" customHeight="1">
      <x:c r="A286" t="str">
        <x:v>PHOR</x:v>
      </x:c>
      <x:c r="B286" t="str">
        <x:v>1П2025</x:v>
      </x:c>
      <x:c r="C286" s="73" t="str">
        <x:v>Процентные доходы</x:v>
      </x:c>
      <x:c r="D286" s="73" t="str">
        <x:v>Раскрытое значение / ранее внесенное значение</x:v>
      </x:c>
      <x:c r="E286" s="74" t="n">
        <x:v>1493</x:v>
      </x:c>
      <x:c r="F286" s="73" t="str">
        <x:v>PHOR_2026H1.pdf</x:v>
      </x:c>
      <x:c r="G286" s="73" t="str">
        <x:v>14</x:v>
      </x:c>
      <x:c r="H286" s="73" t="str">
        <x:v>Страница найдена по сумме; определение требует сверки</x:v>
      </x:c>
      <x:c r="I286" s="69"/>
      <x:c r="J286" s="69"/>
      <x:c r="K286" s="69"/>
    </x:row>
    <x:row r="287" ht="15" hidden="0" customHeight="1">
      <x:c r="A287" t="str">
        <x:v>PHOR</x:v>
      </x:c>
      <x:c r="B287" t="str">
        <x:v>1П2025</x:v>
      </x:c>
      <x:c r="C287" s="73" t="str">
        <x:v>Амортизация</x:v>
      </x:c>
      <x:c r="D287" s="73" t="str">
        <x:v>Раскрытое значение / ранее внесенное значение</x:v>
      </x:c>
      <x:c r="E287" s="74" t="n">
        <x:v>19749</x:v>
      </x:c>
      <x:c r="F287" s="73" t="str">
        <x:v>PHOR_2026H1.pdf</x:v>
      </x:c>
      <x:c r="G287" s="73" t="str">
        <x:v>7</x:v>
      </x:c>
      <x:c r="H287" s="73" t="str">
        <x:v>Страница найдена по сумме; определение требует сверки</x:v>
      </x:c>
      <x:c r="I287" s="69"/>
      <x:c r="J287" s="69"/>
      <x:c r="K287" s="69"/>
    </x:row>
    <x:row r="288" ht="15" hidden="0" customHeight="1">
      <x:c r="A288" t="str">
        <x:v>RTKM</x:v>
      </x:c>
      <x:c r="B288" t="str">
        <x:v>1П2025</x:v>
      </x:c>
      <x:c r="C288" s="73" t="str">
        <x:v>Выручка</x:v>
      </x:c>
      <x:c r="D288" s="73" t="str">
        <x:v>Раскрытое значение / ранее внесенное значение</x:v>
      </x:c>
      <x:c r="E288" s="74" t="n">
        <x:v>393605</x:v>
      </x:c>
      <x:c r="F288" s="73" t="str">
        <x:v>RTKM_2026H1.pdf</x:v>
      </x:c>
      <x:c r="G288" s="73" t="str">
        <x:v>3, 23, 27</x:v>
      </x:c>
      <x:c r="H288" s="73" t="str">
        <x:v>Страница найдена по сумме; определение требует сверки</x:v>
      </x:c>
      <x:c r="I288" s="69"/>
      <x:c r="J288" s="69"/>
      <x:c r="K288" s="69"/>
    </x:row>
    <x:row r="289" ht="15" hidden="0" customHeight="1">
      <x:c r="A289" t="str">
        <x:v>RTKM</x:v>
      </x:c>
      <x:c r="B289" t="str">
        <x:v>1П2025</x:v>
      </x:c>
      <x:c r="C289" s="73" t="str">
        <x:v>OIBDA</x:v>
      </x:c>
      <x:c r="D289" s="73" t="str">
        <x:v>Раскрытое значение / ранее внесенное значение</x:v>
      </x:c>
      <x:c r="E289" s="74" t="n">
        <x:v>154294</x:v>
      </x:c>
      <x:c r="F289" s="73" t="str">
        <x:v>RTKM_2026H1.pdf</x:v>
      </x:c>
      <x:c r="G289" s="73" t="str"/>
      <x:c r="H289" s="73" t="str">
        <x:v>Страница пока не подтверждена</x:v>
      </x:c>
      <x:c r="I289" s="69"/>
      <x:c r="J289" s="69"/>
      <x:c r="K289" s="69"/>
    </x:row>
    <x:row r="290" ht="15" hidden="0" customHeight="1">
      <x:c r="A290" t="str">
        <x:v>RTKM</x:v>
      </x:c>
      <x:c r="B290" t="str">
        <x:v>1П2025</x:v>
      </x:c>
      <x:c r="C290" s="73" t="str">
        <x:v>ЧП акционеров</x:v>
      </x:c>
      <x:c r="D290" s="73" t="str">
        <x:v>Раскрытое значение / ранее внесенное значение</x:v>
      </x:c>
      <x:c r="E290" s="74" t="n">
        <x:v>10858</x:v>
      </x:c>
      <x:c r="F290" s="73" t="str">
        <x:v>RTKM_2026H1.pdf</x:v>
      </x:c>
      <x:c r="G290" s="73" t="str">
        <x:v>3, 7</x:v>
      </x:c>
      <x:c r="H290" s="73" t="str">
        <x:v>Страница найдена по сумме; определение требует сверки</x:v>
      </x:c>
      <x:c r="I290" s="69"/>
      <x:c r="J290" s="69"/>
      <x:c r="K290" s="69"/>
    </x:row>
    <x:row r="291" ht="15" hidden="0" customHeight="1">
      <x:c r="A291" t="str">
        <x:v>MAGN</x:v>
      </x:c>
      <x:c r="B291" t="str">
        <x:v>1П2025</x:v>
      </x:c>
      <x:c r="C291" s="73" t="str">
        <x:v>Выручка</x:v>
      </x:c>
      <x:c r="D291" s="73" t="str">
        <x:v>Раскрытое значение / ранее внесенное значение</x:v>
      </x:c>
      <x:c r="E291" s="74" t="n">
        <x:v>313515</x:v>
      </x:c>
      <x:c r="F291" s="73" t="str">
        <x:v>MAGN_2026H1.pdf</x:v>
      </x:c>
      <x:c r="G291" s="73" t="str">
        <x:v>6, 12, 14</x:v>
      </x:c>
      <x:c r="H291" s="73" t="str">
        <x:v>Страница найдена по сумме; определение требует сверки</x:v>
      </x:c>
      <x:c r="I291" s="69"/>
      <x:c r="J291" s="69"/>
      <x:c r="K291" s="69"/>
    </x:row>
    <x:row r="292" ht="15" hidden="0" customHeight="1">
      <x:c r="A292" t="str">
        <x:v>MAGN</x:v>
      </x:c>
      <x:c r="B292" t="str">
        <x:v>1П2025</x:v>
      </x:c>
      <x:c r="C292" s="73" t="str">
        <x:v>Скорр. EBITDA</x:v>
      </x:c>
      <x:c r="D292" s="73" t="str">
        <x:v>Раскрытое значение / ранее внесенное значение</x:v>
      </x:c>
      <x:c r="E292" s="74" t="n">
        <x:v>41785</x:v>
      </x:c>
      <x:c r="F292" s="73" t="str">
        <x:v>MAGN_2026H1.pdf</x:v>
      </x:c>
      <x:c r="G292" s="73" t="str">
        <x:v>14</x:v>
      </x:c>
      <x:c r="H292" s="73" t="str">
        <x:v>Страница найдена по сумме; определение требует сверки</x:v>
      </x:c>
      <x:c r="I292" s="69"/>
      <x:c r="J292" s="69"/>
      <x:c r="K292" s="69"/>
    </x:row>
    <x:row r="293" ht="15" hidden="0" customHeight="1">
      <x:c r="A293" t="str">
        <x:v>MAGN</x:v>
      </x:c>
      <x:c r="B293" t="str">
        <x:v>1П2025</x:v>
      </x:c>
      <x:c r="C293" s="73" t="str">
        <x:v>ЧП акционеров</x:v>
      </x:c>
      <x:c r="D293" s="73" t="str">
        <x:v>Раскрытое значение / ранее внесенное значение</x:v>
      </x:c>
      <x:c r="E293" s="74" t="n">
        <x:v>5540</x:v>
      </x:c>
      <x:c r="F293" s="73" t="str">
        <x:v>MAGN_2026H1.pdf</x:v>
      </x:c>
      <x:c r="G293" s="73" t="str">
        <x:v>6, 8</x:v>
      </x:c>
      <x:c r="H293" s="73" t="str">
        <x:v>Страница найдена по сумме; определение требует сверки</x:v>
      </x:c>
      <x:c r="I293" s="69"/>
      <x:c r="J293" s="69"/>
      <x:c r="K293" s="69"/>
    </x:row>
    <x:row r="294" ht="15" hidden="0" customHeight="1">
      <x:c r="A294" t="str">
        <x:v>ENPG</x:v>
      </x:c>
      <x:c r="B294" t="str">
        <x:v>1П2025</x:v>
      </x:c>
      <x:c r="C294" s="73" t="str">
        <x:v>Выручка</x:v>
      </x:c>
      <x:c r="D294" s="73" t="str">
        <x:v>Раскрытое значение / ранее внесенное значение</x:v>
      </x:c>
      <x:c r="E294" s="74" t="n">
        <x:v>777914.9288839779</x:v>
      </x:c>
      <x:c r="F294" s="73" t="str">
        <x:v>ENPG_2026H1.pdf</x:v>
      </x:c>
      <x:c r="G294" s="73" t="str"/>
      <x:c r="H294" s="73" t="str">
        <x:v>Страница пока не подтверждена</x:v>
      </x:c>
      <x:c r="I294" s="69"/>
      <x:c r="J294" s="69"/>
      <x:c r="K294" s="69"/>
    </x:row>
    <x:row r="295" ht="15" hidden="0" customHeight="1">
      <x:c r="A295" t="str">
        <x:v>ENPG</x:v>
      </x:c>
      <x:c r="B295" t="str">
        <x:v>1П2025</x:v>
      </x:c>
      <x:c r="C295" s="73" t="str">
        <x:v>Скорр. EBITDA</x:v>
      </x:c>
      <x:c r="D295" s="73" t="str">
        <x:v>Раскрытое значение / ранее внесенное значение</x:v>
      </x:c>
      <x:c r="E295" s="74" t="n">
        <x:v>133075.84764640883</x:v>
      </x:c>
      <x:c r="F295" s="73" t="str">
        <x:v>ENPG_2026H1.pdf</x:v>
      </x:c>
      <x:c r="G295" s="73" t="str"/>
      <x:c r="H295" s="73" t="str">
        <x:v>Страница пока не подтверждена</x:v>
      </x:c>
      <x:c r="I295" s="69"/>
      <x:c r="J295" s="69"/>
      <x:c r="K295" s="69"/>
    </x:row>
    <x:row r="296" ht="15" hidden="0" customHeight="1">
      <x:c r="A296" t="str">
        <x:v>ENPG</x:v>
      </x:c>
      <x:c r="B296" t="str">
        <x:v>1П2025</x:v>
      </x:c>
      <x:c r="C296" s="73" t="str">
        <x:v>ЧП акционеров</x:v>
      </x:c>
      <x:c r="D296" s="73" t="str">
        <x:v>Раскрытое значение / ранее внесенное значение</x:v>
      </x:c>
      <x:c r="E296" s="74" t="n">
        <x:v>32463.892198895028</x:v>
      </x:c>
      <x:c r="F296" s="73" t="str">
        <x:v>ENPG_2026H1.pdf</x:v>
      </x:c>
      <x:c r="G296" s="73" t="str"/>
      <x:c r="H296" s="73" t="str">
        <x:v>Страница пока не подтверждена</x:v>
      </x:c>
      <x:c r="I296" s="69"/>
      <x:c r="J296" s="69"/>
      <x:c r="K296" s="69"/>
    </x:row>
    <x:row r="297" ht="15" hidden="0" customHeight="1">
      <x:c r="A297" t="str">
        <x:v>MDMG</x:v>
      </x:c>
      <x:c r="B297" t="str">
        <x:v>1П2025</x:v>
      </x:c>
      <x:c r="C297" s="73" t="str">
        <x:v>Выручка</x:v>
      </x:c>
      <x:c r="D297" s="73" t="str">
        <x:v>Раскрытое значение / ранее внесенное значение</x:v>
      </x:c>
      <x:c r="E297" s="74" t="n">
        <x:v>19264.476</x:v>
      </x:c>
      <x:c r="F297" s="73" t="str">
        <x:v>MD Medical Group — Interim Condensed Consolidated Financial Statements, 6M 2025 (официальный сайт компании)</x:v>
      </x:c>
      <x:c r="G297" s="73" t="str">
        <x:v>PDF стр. 17</x:v>
      </x:c>
      <x:c r="H297" s="73" t="str">
        <x:v>Подтверждено по промежуточной МСФО за 6 месяцев 2025</x:v>
      </x:c>
      <x:c r="I297" s="69"/>
      <x:c r="J297" s="69"/>
      <x:c r="K297" s="69"/>
    </x:row>
    <x:row r="298" ht="15" hidden="0" customHeight="1">
      <x:c r="A298" t="str">
        <x:v>MDMG</x:v>
      </x:c>
      <x:c r="B298" t="str">
        <x:v>1П2025</x:v>
      </x:c>
      <x:c r="C298" s="73" t="str">
        <x:v>EBITDA</x:v>
      </x:c>
      <x:c r="D298" s="73" t="str">
        <x:v>Раскрытое значение / ранее внесенное значение</x:v>
      </x:c>
      <x:c r="E298" s="74" t="n">
        <x:v>5823</x:v>
      </x:c>
      <x:c r="F298" s="73" t="str">
        <x:v>MD Medical Group — 6M 2025 IFRS Financial Results (официальный пресс-релиз)</x:v>
      </x:c>
      <x:c r="G298" s="73" t="str">
        <x:v>PDF стр. 1, 3, 5</x:v>
      </x:c>
      <x:c r="H298" s="73" t="str">
        <x:v>Подтверждено: раскрытая EBITDA компании</x:v>
      </x:c>
      <x:c r="I298" s="69"/>
      <x:c r="J298" s="69"/>
      <x:c r="K298" s="69"/>
    </x:row>
    <x:row r="299" ht="15" hidden="0" customHeight="1">
      <x:c r="A299" t="str">
        <x:v>MDMG</x:v>
      </x:c>
      <x:c r="B299" t="str">
        <x:v>1П2025</x:v>
      </x:c>
      <x:c r="C299" s="73" t="str">
        <x:v>ЧП акционеров</x:v>
      </x:c>
      <x:c r="D299" s="73" t="str">
        <x:v>Раскрытое значение / ранее внесенное значение</x:v>
      </x:c>
      <x:c r="E299" s="74" t="n">
        <x:v>4939.953</x:v>
      </x:c>
      <x:c r="F299" s="73" t="str">
        <x:v>MD Medical Group — Interim Condensed Consolidated Financial Statements, 6M 2025 (официальный сайт компании)</x:v>
      </x:c>
      <x:c r="G299" s="73" t="str">
        <x:v>PDF стр. 7</x:v>
      </x:c>
      <x:c r="H299" s="73" t="str">
        <x:v>Подтверждено: прибыль, относимая к акционерам материнской компании</x:v>
      </x:c>
      <x:c r="I299" s="69"/>
      <x:c r="J299" s="69"/>
      <x:c r="K299" s="69"/>
    </x:row>
    <x:row r="300" ht="15" hidden="0" customHeight="1">
      <x:c r="A300" t="str">
        <x:v>LENT</x:v>
      </x:c>
      <x:c r="B300" t="str">
        <x:v>1П2025</x:v>
      </x:c>
      <x:c r="C300" s="73" t="str">
        <x:v>Выручка</x:v>
      </x:c>
      <x:c r="D300" s="73" t="str">
        <x:v>Раскрытое значение / ранее внесенное значение</x:v>
      </x:c>
      <x:c r="E300" s="74" t="n">
        <x:v>513933.284</x:v>
      </x:c>
      <x:c r="F300" s="73" t="str">
        <x:v>LENT_2026H1.pdf</x:v>
      </x:c>
      <x:c r="G300" s="73" t="str">
        <x:v>7, 24, 34</x:v>
      </x:c>
      <x:c r="H300" s="73" t="str">
        <x:v>Страница найдена по сумме; определение требует сверки</x:v>
      </x:c>
      <x:c r="I300" s="69"/>
      <x:c r="J300" s="69"/>
      <x:c r="K300" s="69"/>
    </x:row>
    <x:row r="301" ht="15" hidden="0" customHeight="1">
      <x:c r="A301" t="str">
        <x:v>LENT</x:v>
      </x:c>
      <x:c r="B301" t="str">
        <x:v>1П2025</x:v>
      </x:c>
      <x:c r="C301" s="73" t="str">
        <x:v>Скорр. EBITDA</x:v>
      </x:c>
      <x:c r="D301" s="73" t="str">
        <x:v>Раскрытое значение / ранее внесенное значение</x:v>
      </x:c>
      <x:c r="E301" s="74" t="n">
        <x:v>52095.445</x:v>
      </x:c>
      <x:c r="F301" s="73" t="str">
        <x:v>LENT_2026H1.pdf</x:v>
      </x:c>
      <x:c r="G301" s="73" t="str">
        <x:v>24</x:v>
      </x:c>
      <x:c r="H301" s="73" t="str">
        <x:v>Страница найдена по сумме; определение требует сверки</x:v>
      </x:c>
      <x:c r="I301" s="69"/>
      <x:c r="J301" s="69"/>
      <x:c r="K301" s="69"/>
    </x:row>
    <x:row r="302" ht="15" hidden="0" customHeight="1">
      <x:c r="A302" t="str">
        <x:v>LENT</x:v>
      </x:c>
      <x:c r="B302" t="str">
        <x:v>1П2025</x:v>
      </x:c>
      <x:c r="C302" s="73" t="str">
        <x:v>ЧП акционеров</x:v>
      </x:c>
      <x:c r="D302" s="73" t="str">
        <x:v>Раскрытое значение / ранее внесенное значение</x:v>
      </x:c>
      <x:c r="E302" s="74" t="n">
        <x:v>14314.184</x:v>
      </x:c>
      <x:c r="F302" s="73" t="str">
        <x:v>LENT_2026H1.pdf</x:v>
      </x:c>
      <x:c r="G302" s="73" t="str">
        <x:v>7, 9, 24, 30</x:v>
      </x:c>
      <x:c r="H302" s="73" t="str">
        <x:v>Страница найдена по сумме; определение требует сверки</x:v>
      </x:c>
      <x:c r="I302" s="69"/>
      <x:c r="J302" s="69"/>
      <x:c r="K302" s="69"/>
    </x:row>
    <x:row r="303" ht="15" hidden="0" customHeight="1">
      <x:c r="A303" t="str">
        <x:v>LENT</x:v>
      </x:c>
      <x:c r="B303" t="str">
        <x:v>1П2025</x:v>
      </x:c>
      <x:c r="C303" s="73" t="str">
        <x:v>Капитал акционеров</x:v>
      </x:c>
      <x:c r="D303" s="73" t="str">
        <x:v>Раскрытое значение / ранее внесенное значение</x:v>
      </x:c>
      <x:c r="E303" s="74" t="n">
        <x:v>163301.853</x:v>
      </x:c>
      <x:c r="F303" s="73" t="str">
        <x:v>LENT_2026H1.pdf</x:v>
      </x:c>
      <x:c r="G303" s="73" t="str">
        <x:v>9</x:v>
      </x:c>
      <x:c r="H303" s="73" t="str">
        <x:v>Сверено с таблицей отчета</x:v>
      </x:c>
      <x:c r="I303" s="69"/>
      <x:c r="J303" s="69"/>
      <x:c r="K303" s="69"/>
    </x:row>
    <x:row r="304" ht="15" hidden="0" customHeight="1">
      <x:c r="A304" t="str">
        <x:v>FLOT</x:v>
      </x:c>
      <x:c r="B304" t="str">
        <x:v>1П2025</x:v>
      </x:c>
      <x:c r="C304" s="73" t="str">
        <x:v>Выручка</x:v>
      </x:c>
      <x:c r="D304" s="73" t="str">
        <x:v>Раскрытое значение / ранее внесенное значение</x:v>
      </x:c>
      <x:c r="E304" s="74" t="n">
        <x:v>53429</x:v>
      </x:c>
      <x:c r="F304" s="73" t="str">
        <x:v>FLOT_2026H1.pdf</x:v>
      </x:c>
      <x:c r="G304" s="73" t="str">
        <x:v>5</x:v>
      </x:c>
      <x:c r="H304" s="73" t="str">
        <x:v>Страница найдена по сумме; определение требует сверки</x:v>
      </x:c>
      <x:c r="I304" s="69"/>
      <x:c r="J304" s="69"/>
      <x:c r="K304" s="69"/>
    </x:row>
    <x:row r="305" ht="15" hidden="0" customHeight="1">
      <x:c r="A305" t="str">
        <x:v>FLOT</x:v>
      </x:c>
      <x:c r="B305" t="str">
        <x:v>1П2025</x:v>
      </x:c>
      <x:c r="C305" s="73" t="str">
        <x:v>ЧП акционеров</x:v>
      </x:c>
      <x:c r="D305" s="73" t="str">
        <x:v>Раскрытое значение / ранее внесенное значение</x:v>
      </x:c>
      <x:c r="E305" s="74" t="n">
        <x:v>-35869</x:v>
      </x:c>
      <x:c r="F305" s="73" t="str">
        <x:v>FLOT_2026H1.pdf</x:v>
      </x:c>
      <x:c r="G305" s="73" t="str">
        <x:v>5, 8</x:v>
      </x:c>
      <x:c r="H305" s="73" t="str">
        <x:v>Страница найдена по сумме; определение требует сверки</x:v>
      </x:c>
      <x:c r="I305" s="69"/>
      <x:c r="J305" s="69"/>
      <x:c r="K305" s="69"/>
    </x:row>
    <x:row r="306" ht="15" hidden="0" customHeight="1">
      <x:c r="A306" t="str">
        <x:v>FLOT</x:v>
      </x:c>
      <x:c r="B306" t="str">
        <x:v>1П2025</x:v>
      </x:c>
      <x:c r="C306" s="73" t="str">
        <x:v>Капитал акционеров</x:v>
      </x:c>
      <x:c r="D306" s="73" t="str">
        <x:v>Раскрытое значение / ранее внесенное значение</x:v>
      </x:c>
      <x:c r="E306" s="74" t="n">
        <x:v>370573</x:v>
      </x:c>
      <x:c r="F306" s="73" t="str">
        <x:v>FLOT_2026H1.pdf</x:v>
      </x:c>
      <x:c r="G306" s="73" t="str">
        <x:v>8</x:v>
      </x:c>
      <x:c r="H306" s="73" t="str">
        <x:v>Сверено с таблицей отчета</x:v>
      </x:c>
      <x:c r="I306" s="69"/>
      <x:c r="J306" s="69"/>
      <x:c r="K306" s="69"/>
    </x:row>
    <x:row r="307" ht="15" hidden="0" customHeight="1">
      <x:c r="A307" t="str">
        <x:v>BSPB</x:v>
      </x:c>
      <x:c r="B307" t="str">
        <x:v>1П2025</x:v>
      </x:c>
      <x:c r="C307" s="73" t="str">
        <x:v>ЧП акционеров</x:v>
      </x:c>
      <x:c r="D307" s="73" t="str">
        <x:v>Раскрытое значение / ранее внесенное значение</x:v>
      </x:c>
      <x:c r="E307" s="74" t="n">
        <x:v>24652</x:v>
      </x:c>
      <x:c r="F307" s="73" t="str">
        <x:v>BSPB_2026H1.pdf</x:v>
      </x:c>
      <x:c r="G307" s="73" t="str">
        <x:v>6, 8, 41</x:v>
      </x:c>
      <x:c r="H307" s="73" t="str">
        <x:v>Страница найдена по сумме; определение требует сверки</x:v>
      </x:c>
      <x:c r="I307" s="69"/>
      <x:c r="J307" s="69"/>
      <x:c r="K307" s="69"/>
    </x:row>
    <x:row r="308" ht="15" hidden="0" customHeight="1">
      <x:c r="A308" t="str">
        <x:v>ALRS</x:v>
      </x:c>
      <x:c r="B308" t="str">
        <x:v>1П2025</x:v>
      </x:c>
      <x:c r="C308" s="73" t="str">
        <x:v>Выручка</x:v>
      </x:c>
      <x:c r="D308" s="73" t="str">
        <x:v>Раскрытое значение / ранее внесенное значение</x:v>
      </x:c>
      <x:c r="E308" s="74" t="n">
        <x:v>134257</x:v>
      </x:c>
      <x:c r="F308" s="73" t="str">
        <x:v>ALRS_2026H1.pdf</x:v>
      </x:c>
      <x:c r="G308" s="73" t="str">
        <x:v>7, 27, 39</x:v>
      </x:c>
      <x:c r="H308" s="73" t="str">
        <x:v>Страница найдена по сумме; определение требует сверки</x:v>
      </x:c>
      <x:c r="I308" s="69"/>
      <x:c r="J308" s="69"/>
      <x:c r="K308" s="69"/>
    </x:row>
    <x:row r="309" ht="15" hidden="0" customHeight="1">
      <x:c r="A309" t="str">
        <x:v>ALRS</x:v>
      </x:c>
      <x:c r="B309" t="str">
        <x:v>1П2025</x:v>
      </x:c>
      <x:c r="C309" s="73" t="str">
        <x:v>Скорр. EBITDA</x:v>
      </x:c>
      <x:c r="D309" s="73" t="str">
        <x:v>Раскрытое значение / ранее внесенное значение</x:v>
      </x:c>
      <x:c r="E309" s="74" t="n">
        <x:v>37095</x:v>
      </x:c>
      <x:c r="F309" s="73" t="str">
        <x:v>ALRS_2026H1.pdf</x:v>
      </x:c>
      <x:c r="G309" s="73" t="str">
        <x:v>14</x:v>
      </x:c>
      <x:c r="H309" s="73" t="str">
        <x:v>Страница найдена по сумме; определение требует сверки</x:v>
      </x:c>
      <x:c r="I309" s="69"/>
      <x:c r="J309" s="69"/>
      <x:c r="K309" s="69"/>
    </x:row>
    <x:row r="310" ht="15" hidden="0" customHeight="1">
      <x:c r="A310" t="str">
        <x:v>ALRS</x:v>
      </x:c>
      <x:c r="B310" t="str">
        <x:v>1П2025</x:v>
      </x:c>
      <x:c r="C310" s="73" t="str">
        <x:v>ЧП акционеров</x:v>
      </x:c>
      <x:c r="D310" s="73" t="str">
        <x:v>Раскрытое значение / ранее внесенное значение</x:v>
      </x:c>
      <x:c r="E310" s="74" t="n">
        <x:v>40616</x:v>
      </x:c>
      <x:c r="F310" s="73" t="str">
        <x:v>ALRS_2026H1.pdf</x:v>
      </x:c>
      <x:c r="G310" s="73" t="str">
        <x:v>7, 9</x:v>
      </x:c>
      <x:c r="H310" s="73" t="str">
        <x:v>Страница найдена по сумме; определение требует сверки</x:v>
      </x:c>
      <x:c r="I310" s="69"/>
      <x:c r="J310" s="69"/>
      <x:c r="K310" s="69"/>
    </x:row>
    <x:row r="311" ht="15" hidden="0" customHeight="1">
      <x:c r="A311" t="str">
        <x:v>ALRS</x:v>
      </x:c>
      <x:c r="B311" t="str">
        <x:v>1П2025</x:v>
      </x:c>
      <x:c r="C311" s="73" t="str">
        <x:v>Капитал акционеров</x:v>
      </x:c>
      <x:c r="D311" s="73" t="str">
        <x:v>Раскрытое значение / ранее внесенное значение</x:v>
      </x:c>
      <x:c r="E311" s="74" t="n">
        <x:v>410537</x:v>
      </x:c>
      <x:c r="F311" s="73" t="str">
        <x:v>ALRS_2026H1.pdf</x:v>
      </x:c>
      <x:c r="G311" s="73" t="str">
        <x:v>9</x:v>
      </x:c>
      <x:c r="H311" s="73" t="str">
        <x:v>Сверено с таблицей отчета</x:v>
      </x:c>
      <x:c r="I311" s="69"/>
      <x:c r="J311" s="69"/>
      <x:c r="K311" s="69"/>
    </x:row>
    <x:row r="312" ht="15" hidden="0" customHeight="1">
      <x:c r="A312" t="str">
        <x:v>CNRU</x:v>
      </x:c>
      <x:c r="B312" t="str">
        <x:v>1П2025</x:v>
      </x:c>
      <x:c r="C312" s="73" t="str">
        <x:v>Выручка</x:v>
      </x:c>
      <x:c r="D312" s="73" t="str">
        <x:v>Раскрытое значение / ранее внесенное значение</x:v>
      </x:c>
      <x:c r="E312" s="74" t="n">
        <x:v>6906</x:v>
      </x:c>
      <x:c r="F312" s="73" t="str">
        <x:v>CNRU_2026H1.pdf</x:v>
      </x:c>
      <x:c r="G312" s="73" t="str">
        <x:v>12</x:v>
      </x:c>
      <x:c r="H312" s="73" t="str">
        <x:v>Сверено с таблицей отчета</x:v>
      </x:c>
      <x:c r="I312" s="69"/>
      <x:c r="J312" s="69"/>
      <x:c r="K312" s="69"/>
    </x:row>
    <x:row r="313" ht="15" hidden="0" customHeight="1">
      <x:c r="A313" t="str">
        <x:v>CNRU</x:v>
      </x:c>
      <x:c r="B313" t="str">
        <x:v>1П2025</x:v>
      </x:c>
      <x:c r="C313" s="73" t="str">
        <x:v>Скорр. EBITDA</x:v>
      </x:c>
      <x:c r="D313" s="73" t="str">
        <x:v>Раскрытое значение / ранее внесенное значение</x:v>
      </x:c>
      <x:c r="E313" s="74" t="n">
        <x:v>1618</x:v>
      </x:c>
      <x:c r="F313" s="73" t="str">
        <x:v>CNRU_2026H1.pdf</x:v>
      </x:c>
      <x:c r="G313" s="73" t="str">
        <x:v>12</x:v>
      </x:c>
      <x:c r="H313" s="73" t="str">
        <x:v>Сверено с таблицей отчета</x:v>
      </x:c>
      <x:c r="I313" s="69"/>
      <x:c r="J313" s="69"/>
      <x:c r="K313" s="69"/>
    </x:row>
    <x:row r="314" ht="15" hidden="0" customHeight="1">
      <x:c r="A314" t="str">
        <x:v>CNRU</x:v>
      </x:c>
      <x:c r="B314" t="str">
        <x:v>1П2025</x:v>
      </x:c>
      <x:c r="C314" s="73" t="str">
        <x:v>ЧП акционеров</x:v>
      </x:c>
      <x:c r="D314" s="73" t="str">
        <x:v>Раскрытое значение / ранее внесенное значение</x:v>
      </x:c>
      <x:c r="E314" s="74" t="n">
        <x:v>929</x:v>
      </x:c>
      <x:c r="F314" s="73" t="str">
        <x:v>CNRU_2026H1.pdf</x:v>
      </x:c>
      <x:c r="G314" s="73" t="str"/>
      <x:c r="H314" s="73" t="str">
        <x:v>Страница пока не подтверждена</x:v>
      </x:c>
      <x:c r="I314" s="69"/>
      <x:c r="J314" s="69"/>
      <x:c r="K314" s="69"/>
    </x:row>
    <x:row r="315" ht="15" hidden="0" customHeight="1">
      <x:c r="A315" t="str">
        <x:v>CNRU</x:v>
      </x:c>
      <x:c r="B315" t="str">
        <x:v>1П2025</x:v>
      </x:c>
      <x:c r="C315" s="73" t="str">
        <x:v>Капитал акционеров</x:v>
      </x:c>
      <x:c r="D315" s="73" t="str">
        <x:v>Раскрытое значение / ранее внесенное значение</x:v>
      </x:c>
      <x:c r="E315" s="74" t="n">
        <x:v>10371</x:v>
      </x:c>
      <x:c r="F315" s="73" t="str">
        <x:v>CNRU_2026H1.pdf</x:v>
      </x:c>
      <x:c r="G315" s="73" t="str">
        <x:v>6</x:v>
      </x:c>
      <x:c r="H315" s="73" t="str">
        <x:v>Сверено с таблицей отчета</x:v>
      </x:c>
      <x:c r="I315" s="69"/>
      <x:c r="J315" s="69"/>
      <x:c r="K315" s="69"/>
    </x:row>
    <x:row r="316" ht="15" hidden="0" customHeight="1">
      <x:c r="A316" t="str">
        <x:v>AFKS</x:v>
      </x:c>
      <x:c r="B316" t="str">
        <x:v>1П2025</x:v>
      </x:c>
      <x:c r="C316" s="73" t="str">
        <x:v>Выручка</x:v>
      </x:c>
      <x:c r="D316" s="73" t="str">
        <x:v>Раскрытое значение / ранее внесенное значение</x:v>
      </x:c>
      <x:c r="E316" s="74" t="n">
        <x:v>600748</x:v>
      </x:c>
      <x:c r="F316" s="73" t="str">
        <x:v>AFKS_2026H1.pdf</x:v>
      </x:c>
      <x:c r="G316" s="73" t="str">
        <x:v>5, 16, 19, 35</x:v>
      </x:c>
      <x:c r="H316" s="73" t="str">
        <x:v>Страница найдена по сумме; определение требует сверки</x:v>
      </x:c>
      <x:c r="I316" s="69"/>
      <x:c r="J316" s="69"/>
      <x:c r="K316" s="69"/>
    </x:row>
    <x:row r="317" ht="15" hidden="0" customHeight="1">
      <x:c r="A317" t="str">
        <x:v>AFKS</x:v>
      </x:c>
      <x:c r="B317" t="str">
        <x:v>1П2025</x:v>
      </x:c>
      <x:c r="C317" s="73" t="str">
        <x:v>ЧП акционеров</x:v>
      </x:c>
      <x:c r="D317" s="73" t="str">
        <x:v>Раскрытое значение / ранее внесенное значение</x:v>
      </x:c>
      <x:c r="E317" s="74" t="n">
        <x:v>-70254</x:v>
      </x:c>
      <x:c r="F317" s="73" t="str">
        <x:v>AFKS_2026H1.pdf</x:v>
      </x:c>
      <x:c r="G317" s="73" t="str">
        <x:v>5, 9</x:v>
      </x:c>
      <x:c r="H317" s="73" t="str">
        <x:v>Страница найдена по сумме; определение требует сверки</x:v>
      </x:c>
      <x:c r="I317" s="69"/>
      <x:c r="J317" s="69"/>
      <x:c r="K317" s="69"/>
    </x:row>
    <x:row r="318" ht="15" hidden="0" customHeight="1">
      <x:c r="A318" t="str">
        <x:v>AFKS</x:v>
      </x:c>
      <x:c r="B318" t="str">
        <x:v>1П2025</x:v>
      </x:c>
      <x:c r="C318" s="73" t="str">
        <x:v>Капитал акционеров</x:v>
      </x:c>
      <x:c r="D318" s="73" t="str">
        <x:v>Раскрытое значение / ранее внесенное значение</x:v>
      </x:c>
      <x:c r="E318" s="74" t="n">
        <x:v>-52935</x:v>
      </x:c>
      <x:c r="F318" s="73" t="str">
        <x:v>AFKS_2026H1.pdf</x:v>
      </x:c>
      <x:c r="G318" s="73" t="str">
        <x:v>9</x:v>
      </x:c>
      <x:c r="H318" s="73" t="str">
        <x:v>Сверено с таблицей отчета</x:v>
      </x:c>
      <x:c r="I318" s="69"/>
      <x:c r="J318" s="69"/>
      <x:c r="K318" s="69"/>
    </x:row>
    <x:row r="319" ht="15" hidden="0" customHeight="1">
      <x:c r="A319" t="str">
        <x:v>AFKS</x:v>
      </x:c>
      <x:c r="B319" t="str">
        <x:v>1П2025</x:v>
      </x:c>
      <x:c r="C319" s="73" t="str">
        <x:v>Операционная прибыль</x:v>
      </x:c>
      <x:c r="D319" s="73" t="str">
        <x:v>Раскрытое значение / ранее внесенное значение</x:v>
      </x:c>
      <x:c r="E319" s="74" t="n">
        <x:v>92559</x:v>
      </x:c>
      <x:c r="F319" s="73" t="str">
        <x:v>AFKS_2026H1.pdf</x:v>
      </x:c>
      <x:c r="G319" s="73" t="str">
        <x:v>5, 19</x:v>
      </x:c>
      <x:c r="H319" s="73" t="str">
        <x:v>Страница найдена по сумме; определение требует сверки</x:v>
      </x:c>
      <x:c r="I319" s="69"/>
      <x:c r="J319" s="69"/>
      <x:c r="K319" s="69"/>
    </x:row>
    <x:row r="320" ht="15" hidden="0" customHeight="1">
      <x:c r="A320" t="str">
        <x:v>AFKS</x:v>
      </x:c>
      <x:c r="B320" t="str">
        <x:v>1П2025</x:v>
      </x:c>
      <x:c r="C320" s="73" t="str">
        <x:v>Амортизация</x:v>
      </x:c>
      <x:c r="D320" s="73" t="str">
        <x:v>Раскрытое значение / ранее внесенное значение</x:v>
      </x:c>
      <x:c r="E320" s="74" t="n">
        <x:v>87908</x:v>
      </x:c>
      <x:c r="F320" s="73" t="str">
        <x:v>AFKS_2026H1.pdf</x:v>
      </x:c>
      <x:c r="G320" s="73" t="str">
        <x:v>5, 10</x:v>
      </x:c>
      <x:c r="H320" s="73" t="str">
        <x:v>Страница найдена по сумме; определение требует сверки</x:v>
      </x:c>
      <x:c r="I320" s="69"/>
      <x:c r="J320" s="69"/>
      <x:c r="K320" s="69"/>
    </x:row>
    <x:row r="321" ht="15" hidden="0" customHeight="1">
      <x:c r="A321" t="str">
        <x:v>UGLD</x:v>
      </x:c>
      <x:c r="B321" t="str">
        <x:v>1П2025</x:v>
      </x:c>
      <x:c r="C321" s="73" t="str">
        <x:v>Выручка</x:v>
      </x:c>
      <x:c r="D321" s="73" t="str">
        <x:v>Раскрытое значение / ранее внесенное значение</x:v>
      </x:c>
      <x:c r="E321" s="74" t="n">
        <x:v>44156</x:v>
      </x:c>
      <x:c r="F321" s="73" t="str">
        <x:v>UGLD_2026H1.pdf</x:v>
      </x:c>
      <x:c r="G321" s="73" t="str">
        <x:v>6, 14, 15</x:v>
      </x:c>
      <x:c r="H321" s="73" t="str">
        <x:v>Страница найдена по сумме; определение требует сверки</x:v>
      </x:c>
      <x:c r="I321" s="69"/>
      <x:c r="J321" s="69"/>
      <x:c r="K321" s="69"/>
    </x:row>
    <x:row r="322" ht="15" hidden="0" customHeight="1">
      <x:c r="A322" t="str">
        <x:v>UGLD</x:v>
      </x:c>
      <x:c r="B322" t="str">
        <x:v>1П2025</x:v>
      </x:c>
      <x:c r="C322" s="73" t="str">
        <x:v>Скорр. EBITDA</x:v>
      </x:c>
      <x:c r="D322" s="73" t="str">
        <x:v>Раскрытое значение / ранее внесенное значение</x:v>
      </x:c>
      <x:c r="E322" s="74" t="n">
        <x:v>15360</x:v>
      </x:c>
      <x:c r="F322" s="73" t="str">
        <x:v>UGLD_2026H1.pdf</x:v>
      </x:c>
      <x:c r="G322" s="73" t="str">
        <x:v>14</x:v>
      </x:c>
      <x:c r="H322" s="73" t="str">
        <x:v>Страница найдена по сумме; определение требует сверки</x:v>
      </x:c>
      <x:c r="I322" s="69"/>
      <x:c r="J322" s="69"/>
      <x:c r="K322" s="69"/>
    </x:row>
    <x:row r="323" ht="15" hidden="0" customHeight="1">
      <x:c r="A323" t="str">
        <x:v>UGLD</x:v>
      </x:c>
      <x:c r="B323" t="str">
        <x:v>1П2025</x:v>
      </x:c>
      <x:c r="C323" s="73" t="str">
        <x:v>ЧП акционеров</x:v>
      </x:c>
      <x:c r="D323" s="73" t="str">
        <x:v>Раскрытое значение / ранее внесенное значение</x:v>
      </x:c>
      <x:c r="E323" s="74" t="n">
        <x:v>7295</x:v>
      </x:c>
      <x:c r="F323" s="73" t="str">
        <x:v>UGLD_2026H1.pdf</x:v>
      </x:c>
      <x:c r="G323" s="73" t="str">
        <x:v>6, 8, 25</x:v>
      </x:c>
      <x:c r="H323" s="73" t="str">
        <x:v>Страница найдена по сумме; определение требует сверки</x:v>
      </x:c>
      <x:c r="I323" s="69"/>
      <x:c r="J323" s="69"/>
      <x:c r="K323" s="69"/>
    </x:row>
    <x:row r="324" ht="15" hidden="0" customHeight="1">
      <x:c r="A324" t="str">
        <x:v>UGLD</x:v>
      </x:c>
      <x:c r="B324" t="str">
        <x:v>1П2025</x:v>
      </x:c>
      <x:c r="C324" s="73" t="str">
        <x:v>Капитал акционеров</x:v>
      </x:c>
      <x:c r="D324" s="73" t="str">
        <x:v>Раскрытое значение / ранее внесенное значение</x:v>
      </x:c>
      <x:c r="E324" s="74" t="n">
        <x:v>55314</x:v>
      </x:c>
      <x:c r="F324" s="73" t="str">
        <x:v>UGLD_2026H1.pdf</x:v>
      </x:c>
      <x:c r="G324" s="73" t="str">
        <x:v>8</x:v>
      </x:c>
      <x:c r="H324" s="73" t="str">
        <x:v>Сверено с таблицей отчета</x:v>
      </x:c>
      <x:c r="I324" s="69"/>
      <x:c r="J324" s="69"/>
      <x:c r="K324" s="69"/>
    </x:row>
    <x:row r="325" ht="15" hidden="0" customHeight="1">
      <x:c r="A325" t="str">
        <x:v>POSI</x:v>
      </x:c>
      <x:c r="B325" t="str">
        <x:v>1П2025</x:v>
      </x:c>
      <x:c r="C325" s="73" t="str">
        <x:v>Выручка</x:v>
      </x:c>
      <x:c r="D325" s="73" t="str">
        <x:v>Раскрытое значение / ранее внесенное значение</x:v>
      </x:c>
      <x:c r="E325" s="74" t="n">
        <x:v>6756.954</x:v>
      </x:c>
      <x:c r="F325" s="73" t="str">
        <x:v>POSI_2026H1.pdf</x:v>
      </x:c>
      <x:c r="G325" s="73" t="str">
        <x:v>5, 13</x:v>
      </x:c>
      <x:c r="H325" s="73" t="str">
        <x:v>Страница найдена по сумме; определение требует сверки</x:v>
      </x:c>
      <x:c r="I325" s="69"/>
      <x:c r="J325" s="69"/>
      <x:c r="K325" s="69"/>
    </x:row>
    <x:row r="326" ht="15" hidden="0" customHeight="1">
      <x:c r="A326" t="str">
        <x:v>POSI</x:v>
      </x:c>
      <x:c r="B326" t="str">
        <x:v>1П2025</x:v>
      </x:c>
      <x:c r="C326" s="73" t="str">
        <x:v>Скорр. EBITDA</x:v>
      </x:c>
      <x:c r="D326" s="73" t="str">
        <x:v>Раскрытое значение / ранее внесенное значение</x:v>
      </x:c>
      <x:c r="E326" s="74" t="n">
        <x:v>-2484.348</x:v>
      </x:c>
      <x:c r="F326" s="73" t="str">
        <x:v>POSI_2026H1.pdf</x:v>
      </x:c>
      <x:c r="G326" s="73" t="str">
        <x:v>13</x:v>
      </x:c>
      <x:c r="H326" s="73" t="str">
        <x:v>Страница найдена по сумме; определение требует сверки</x:v>
      </x:c>
      <x:c r="I326" s="69"/>
      <x:c r="J326" s="69"/>
      <x:c r="K326" s="69"/>
    </x:row>
    <x:row r="327" ht="15" hidden="0" customHeight="1">
      <x:c r="A327" t="str">
        <x:v>POSI</x:v>
      </x:c>
      <x:c r="B327" t="str">
        <x:v>1П2025</x:v>
      </x:c>
      <x:c r="C327" s="73" t="str">
        <x:v>EBITDAC</x:v>
      </x:c>
      <x:c r="D327" s="73" t="str">
        <x:v>Раскрытое значение / ранее внесенное значение</x:v>
      </x:c>
      <x:c r="E327" s="74" t="n">
        <x:v>-5782.57</x:v>
      </x:c>
      <x:c r="F327" s="73" t="str">
        <x:v>POSI_2026H1.pdf</x:v>
      </x:c>
      <x:c r="G327" s="73" t="str">
        <x:v>13</x:v>
      </x:c>
      <x:c r="H327" s="73" t="str">
        <x:v>Страница найдена по сумме; определение требует сверки</x:v>
      </x:c>
      <x:c r="I327" s="69"/>
      <x:c r="J327" s="69"/>
      <x:c r="K327" s="69"/>
    </x:row>
    <x:row r="328" ht="15" hidden="0" customHeight="1">
      <x:c r="A328" t="str">
        <x:v>POSI</x:v>
      </x:c>
      <x:c r="B328" t="str">
        <x:v>1П2025</x:v>
      </x:c>
      <x:c r="C328" s="73" t="str">
        <x:v>ЧП акционеров</x:v>
      </x:c>
      <x:c r="D328" s="73" t="str">
        <x:v>Раскрытое значение / ранее внесенное значение</x:v>
      </x:c>
      <x:c r="E328" s="74" t="n">
        <x:v>-5015.402</x:v>
      </x:c>
      <x:c r="F328" s="73" t="str">
        <x:v>POSI_2026H1.pdf</x:v>
      </x:c>
      <x:c r="G328" s="73" t="str">
        <x:v>5, 7</x:v>
      </x:c>
      <x:c r="H328" s="73" t="str">
        <x:v>Страница найдена по сумме; определение требует сверки</x:v>
      </x:c>
      <x:c r="I328" s="69"/>
      <x:c r="J328" s="69"/>
      <x:c r="K328" s="69"/>
    </x:row>
    <x:row r="329" ht="15" hidden="0" customHeight="1">
      <x:c r="A329" t="str">
        <x:v>POSI</x:v>
      </x:c>
      <x:c r="B329" t="str">
        <x:v>1П2025</x:v>
      </x:c>
      <x:c r="C329" s="73" t="str">
        <x:v>Капитализированные расходы</x:v>
      </x:c>
      <x:c r="D329" s="73" t="str">
        <x:v>Раскрытое значение / ранее внесенное значение</x:v>
      </x:c>
      <x:c r="E329" s="74" t="n">
        <x:v>3563.826</x:v>
      </x:c>
      <x:c r="F329" s="73" t="str">
        <x:v>POSI_2026H1.pdf</x:v>
      </x:c>
      <x:c r="G329" s="73" t="str">
        <x:v>13</x:v>
      </x:c>
      <x:c r="H329" s="73" t="str">
        <x:v>Страница найдена по сумме; определение требует сверки</x:v>
      </x:c>
      <x:c r="I329" s="69"/>
      <x:c r="J329" s="69"/>
      <x:c r="K329" s="69"/>
    </x:row>
    <x:row r="330" ht="15" hidden="0" customHeight="1">
      <x:c r="A330" t="str">
        <x:v>POSI</x:v>
      </x:c>
      <x:c r="B330" t="str">
        <x:v>1П2025</x:v>
      </x:c>
      <x:c r="C330" s="73" t="str">
        <x:v>Отгрузки</x:v>
      </x:c>
      <x:c r="D330" s="73" t="str">
        <x:v>Раскрытое значение / ранее внесенное значение</x:v>
      </x:c>
      <x:c r="E330" s="74" t="n">
        <x:v>265.604</x:v>
      </x:c>
      <x:c r="F330" s="73" t="str">
        <x:v>POSI_2026H1.pdf</x:v>
      </x:c>
      <x:c r="G330" s="73" t="str">
        <x:v>13</x:v>
      </x:c>
      <x:c r="H330" s="73" t="str">
        <x:v>Страница найдена по сумме; определение требует сверки</x:v>
      </x:c>
      <x:c r="I330" s="69"/>
      <x:c r="J330" s="69"/>
      <x:c r="K330" s="69"/>
    </x:row>
    <x:row r="331" ht="15" hidden="0" customHeight="1">
      <x:c r="A331" t="str">
        <x:v>VKCO</x:v>
      </x:c>
      <x:c r="B331" t="str">
        <x:v>1П2025</x:v>
      </x:c>
      <x:c r="C331" s="73" t="str">
        <x:v>Выручка</x:v>
      </x:c>
      <x:c r="D331" s="73" t="str">
        <x:v>Раскрытое значение / ранее внесенное значение</x:v>
      </x:c>
      <x:c r="E331" s="74" t="n">
        <x:v>72567</x:v>
      </x:c>
      <x:c r="F331" s="73" t="str">
        <x:v>VKCO_2026H1.pdf</x:v>
      </x:c>
      <x:c r="G331" s="73" t="str">
        <x:v>6, 16, 19</x:v>
      </x:c>
      <x:c r="H331" s="73" t="str">
        <x:v>Страница найдена по сумме; определение требует сверки</x:v>
      </x:c>
      <x:c r="I331" s="69"/>
      <x:c r="J331" s="69"/>
      <x:c r="K331" s="69"/>
    </x:row>
    <x:row r="332" ht="15" hidden="0" customHeight="1">
      <x:c r="A332" t="str">
        <x:v>VKCO</x:v>
      </x:c>
      <x:c r="B332" t="str">
        <x:v>1П2025</x:v>
      </x:c>
      <x:c r="C332" s="73" t="str">
        <x:v>Скорр. EBITDA</x:v>
      </x:c>
      <x:c r="D332" s="73" t="str">
        <x:v>Раскрытое значение / ранее внесенное значение</x:v>
      </x:c>
      <x:c r="E332" s="74" t="n">
        <x:v>10441</x:v>
      </x:c>
      <x:c r="F332" s="73" t="str">
        <x:v>VKCO_2026H1.pdf</x:v>
      </x:c>
      <x:c r="G332" s="73" t="str">
        <x:v>16</x:v>
      </x:c>
      <x:c r="H332" s="73" t="str">
        <x:v>Страница найдена по сумме; определение требует сверки</x:v>
      </x:c>
      <x:c r="I332" s="69"/>
      <x:c r="J332" s="69"/>
      <x:c r="K332" s="69"/>
    </x:row>
    <x:row r="333" ht="15" hidden="0" customHeight="1">
      <x:c r="A333" t="str">
        <x:v>VKCO</x:v>
      </x:c>
      <x:c r="B333" t="str">
        <x:v>1П2025</x:v>
      </x:c>
      <x:c r="C333" s="73" t="str">
        <x:v>ЧП акционеров</x:v>
      </x:c>
      <x:c r="D333" s="73" t="str">
        <x:v>Раскрытое значение / ранее внесенное значение</x:v>
      </x:c>
      <x:c r="E333" s="74" t="n">
        <x:v>-12853</x:v>
      </x:c>
      <x:c r="F333" s="73" t="str">
        <x:v>VKCO_2026H1.pdf</x:v>
      </x:c>
      <x:c r="G333" s="73" t="str">
        <x:v>7, 10</x:v>
      </x:c>
      <x:c r="H333" s="73" t="str">
        <x:v>Страница найдена по сумме; определение требует сверки</x:v>
      </x:c>
      <x:c r="I333" s="69"/>
      <x:c r="J333" s="69"/>
      <x:c r="K333" s="69"/>
    </x:row>
    <x:row r="334" ht="15" hidden="0" customHeight="1">
      <x:c r="A334" t="str">
        <x:v>VKCO</x:v>
      </x:c>
      <x:c r="B334" t="str">
        <x:v>1П2025</x:v>
      </x:c>
      <x:c r="C334" s="73" t="str">
        <x:v>Капитал акционеров</x:v>
      </x:c>
      <x:c r="D334" s="73" t="str">
        <x:v>Раскрытое значение / ранее внесенное значение</x:v>
      </x:c>
      <x:c r="E334" s="74" t="n">
        <x:v>143378</x:v>
      </x:c>
      <x:c r="F334" s="73" t="str">
        <x:v>VKCO_2026H1.pdf</x:v>
      </x:c>
      <x:c r="G334" s="73" t="str">
        <x:v>10</x:v>
      </x:c>
      <x:c r="H334" s="73" t="str">
        <x:v>Сверено с таблицей отчета</x:v>
      </x:c>
      <x:c r="I334" s="69"/>
      <x:c r="J334" s="69"/>
      <x:c r="K334" s="69"/>
    </x:row>
    <x:row r="335" ht="15" hidden="0" customHeight="1">
      <x:c r="A335" t="str">
        <x:v>RAGR</x:v>
      </x:c>
      <x:c r="B335" t="str">
        <x:v>1П2025</x:v>
      </x:c>
      <x:c r="C335" s="73" t="str">
        <x:v>Выручка</x:v>
      </x:c>
      <x:c r="D335" s="73" t="str">
        <x:v>Раскрытое значение / ранее внесенное значение</x:v>
      </x:c>
      <x:c r="E335" s="74" t="n">
        <x:v>167774.391</x:v>
      </x:c>
      <x:c r="F335" s="73" t="str">
        <x:v>RAGR_2026H1.pdf</x:v>
      </x:c>
      <x:c r="G335" s="73" t="str">
        <x:v>6, 21, 25, 33</x:v>
      </x:c>
      <x:c r="H335" s="73" t="str">
        <x:v>Страница найдена по сумме; определение требует сверки</x:v>
      </x:c>
      <x:c r="I335" s="69"/>
      <x:c r="J335" s="69"/>
      <x:c r="K335" s="69"/>
    </x:row>
    <x:row r="336" ht="15" hidden="0" customHeight="1">
      <x:c r="A336" t="str">
        <x:v>RAGR</x:v>
      </x:c>
      <x:c r="B336" t="str">
        <x:v>1П2025</x:v>
      </x:c>
      <x:c r="C336" s="73" t="str">
        <x:v>Скорр. EBITDA</x:v>
      </x:c>
      <x:c r="D336" s="73" t="str">
        <x:v>Раскрытое значение / ранее внесенное значение</x:v>
      </x:c>
      <x:c r="E336" s="74" t="n">
        <x:v>17305.025</x:v>
      </x:c>
      <x:c r="F336" s="73" t="str">
        <x:v>RAGR_2026H1.pdf</x:v>
      </x:c>
      <x:c r="G336" s="73" t="str">
        <x:v>33</x:v>
      </x:c>
      <x:c r="H336" s="73" t="str">
        <x:v>Страница найдена по сумме; определение требует сверки</x:v>
      </x:c>
      <x:c r="I336" s="69"/>
      <x:c r="J336" s="69"/>
      <x:c r="K336" s="69"/>
    </x:row>
    <x:row r="337" ht="15" hidden="0" customHeight="1">
      <x:c r="A337" t="str">
        <x:v>RAGR</x:v>
      </x:c>
      <x:c r="B337" t="str">
        <x:v>1П2025</x:v>
      </x:c>
      <x:c r="C337" s="73" t="str">
        <x:v>ЧП акционеров</x:v>
      </x:c>
      <x:c r="D337" s="73" t="str">
        <x:v>Раскрытое значение / ранее внесенное значение</x:v>
      </x:c>
      <x:c r="E337" s="74" t="n">
        <x:v>5649.704</x:v>
      </x:c>
      <x:c r="F337" s="73" t="str">
        <x:v>RAGR_2026H1.pdf</x:v>
      </x:c>
      <x:c r="G337" s="73" t="str">
        <x:v>6, 7, 25, 26, 30</x:v>
      </x:c>
      <x:c r="H337" s="73" t="str">
        <x:v>Страница найдена по сумме; определение требует сверки</x:v>
      </x:c>
      <x:c r="I337" s="69"/>
      <x:c r="J337" s="69"/>
      <x:c r="K337" s="69"/>
    </x:row>
    <x:row r="338" ht="15" hidden="0" customHeight="1">
      <x:c r="A338" t="str">
        <x:v>RAGR</x:v>
      </x:c>
      <x:c r="B338" t="str">
        <x:v>1П2025</x:v>
      </x:c>
      <x:c r="C338" s="73" t="str">
        <x:v>Капитал акционеров</x:v>
      </x:c>
      <x:c r="D338" s="73" t="str">
        <x:v>Раскрытое значение / ранее внесенное значение</x:v>
      </x:c>
      <x:c r="E338" s="74" t="n">
        <x:v>226645.564</x:v>
      </x:c>
      <x:c r="F338" s="73" t="str">
        <x:v>RAGR_2026H1.pdf</x:v>
      </x:c>
      <x:c r="G338" s="73" t="str">
        <x:v>7</x:v>
      </x:c>
      <x:c r="H338" s="73" t="str">
        <x:v>Сверено с таблицей отчета</x:v>
      </x:c>
      <x:c r="I338" s="69"/>
      <x:c r="J338" s="69"/>
      <x:c r="K338" s="69"/>
    </x:row>
    <x:row r="339" ht="15" hidden="0" customHeight="1">
      <x:c r="A339" t="str">
        <x:v>LKOH</x:v>
      </x:c>
      <x:c r="B339" t="str">
        <x:v>1П2026</x:v>
      </x:c>
      <x:c r="C339" s="73" t="str">
        <x:v>Выручка</x:v>
      </x:c>
      <x:c r="D339" s="73" t="str">
        <x:v>Раскрытое значение / ранее внесенное значение</x:v>
      </x:c>
      <x:c r="E339" s="74" t="n">
        <x:v>2059279</x:v>
      </x:c>
      <x:c r="F339" s="73" t="str">
        <x:v>LKOH_2026H1.pdf</x:v>
      </x:c>
      <x:c r="G339" s="73" t="str">
        <x:v>5, 25, 26</x:v>
      </x:c>
      <x:c r="H339" s="73" t="str">
        <x:v>Страница найдена по сумме; определение требует сверки</x:v>
      </x:c>
      <x:c r="I339" s="69"/>
      <x:c r="J339" s="69"/>
      <x:c r="K339" s="69"/>
    </x:row>
    <x:row r="340" ht="15" hidden="0" customHeight="1">
      <x:c r="A340" t="str">
        <x:v>LKOH</x:v>
      </x:c>
      <x:c r="B340" t="str">
        <x:v>1П2026</x:v>
      </x:c>
      <x:c r="C340" s="73" t="str">
        <x:v>EBITDA</x:v>
      </x:c>
      <x:c r="D340" s="73" t="str">
        <x:v>Раскрытое значение / ранее внесенное значение</x:v>
      </x:c>
      <x:c r="E340" s="74" t="n">
        <x:v>815342</x:v>
      </x:c>
      <x:c r="F340" s="73" t="str">
        <x:v>LKOH_2026H1.pdf</x:v>
      </x:c>
      <x:c r="G340" s="73" t="str">
        <x:v>25</x:v>
      </x:c>
      <x:c r="H340" s="73" t="str">
        <x:v>Страница найдена по сумме; определение требует сверки</x:v>
      </x:c>
      <x:c r="I340" s="69"/>
      <x:c r="J340" s="69"/>
      <x:c r="K340" s="69"/>
    </x:row>
    <x:row r="341" ht="15" hidden="0" customHeight="1">
      <x:c r="A341" t="str">
        <x:v>LKOH</x:v>
      </x:c>
      <x:c r="B341" t="str">
        <x:v>1П2026</x:v>
      </x:c>
      <x:c r="C341" s="73" t="str">
        <x:v>ЧП акционеров</x:v>
      </x:c>
      <x:c r="D341" s="73" t="str">
        <x:v>Раскрытое значение / ранее внесенное значение</x:v>
      </x:c>
      <x:c r="E341" s="74" t="n">
        <x:v>430907</x:v>
      </x:c>
      <x:c r="F341" s="73" t="str">
        <x:v>LKOH_2026H1.pdf</x:v>
      </x:c>
      <x:c r="G341" s="73" t="str">
        <x:v>5, 6, 7, 21, 25</x:v>
      </x:c>
      <x:c r="H341" s="73" t="str">
        <x:v>Страница найдена по сумме; определение требует сверки</x:v>
      </x:c>
      <x:c r="I341" s="69"/>
      <x:c r="J341" s="69"/>
      <x:c r="K341" s="69"/>
    </x:row>
    <x:row r="342" ht="15" hidden="0" customHeight="1">
      <x:c r="A342" t="str">
        <x:v>LKOH</x:v>
      </x:c>
      <x:c r="B342" t="str">
        <x:v>1П2026</x:v>
      </x:c>
      <x:c r="C342" s="73" t="str">
        <x:v>Капитал акционеров</x:v>
      </x:c>
      <x:c r="D342" s="73" t="str">
        <x:v>Раскрытое значение / ранее внесенное значение</x:v>
      </x:c>
      <x:c r="E342" s="74" t="n">
        <x:v>3630123</x:v>
      </x:c>
      <x:c r="F342" s="73" t="str">
        <x:v>LKOH_2026H1.pdf</x:v>
      </x:c>
      <x:c r="G342" s="73" t="str">
        <x:v>4, 6</x:v>
      </x:c>
      <x:c r="H342" s="73" t="str">
        <x:v>Страница найдена по сумме; определение требует сверки</x:v>
      </x:c>
      <x:c r="I342" s="69"/>
      <x:c r="J342" s="69"/>
      <x:c r="K342" s="69"/>
    </x:row>
    <x:row r="343" ht="15" hidden="0" customHeight="1">
      <x:c r="A343" t="str">
        <x:v>LKOH</x:v>
      </x:c>
      <x:c r="B343" t="str">
        <x:v>1П2026</x:v>
      </x:c>
      <x:c r="C343" s="73" t="str">
        <x:v>Краткосрочный долг</x:v>
      </x:c>
      <x:c r="D343" s="73" t="str">
        <x:v>Раскрытое значение / ранее внесенное значение</x:v>
      </x:c>
      <x:c r="E343" s="74" t="n">
        <x:v>81987</x:v>
      </x:c>
      <x:c r="F343" s="73" t="str">
        <x:v>LKOH_2026H1.pdf</x:v>
      </x:c>
      <x:c r="G343" s="73" t="str">
        <x:v>4, 16</x:v>
      </x:c>
      <x:c r="H343" s="73" t="str">
        <x:v>Страница найдена по сумме; определение требует сверки</x:v>
      </x:c>
      <x:c r="I343" s="69"/>
      <x:c r="J343" s="69"/>
      <x:c r="K343" s="69"/>
    </x:row>
    <x:row r="344" ht="15" hidden="0" customHeight="1">
      <x:c r="A344" t="str">
        <x:v>LKOH</x:v>
      </x:c>
      <x:c r="B344" t="str">
        <x:v>1П2026</x:v>
      </x:c>
      <x:c r="C344" s="73" t="str">
        <x:v>Долгосрочный долг</x:v>
      </x:c>
      <x:c r="D344" s="73" t="str">
        <x:v>Раскрытое значение / ранее внесенное значение</x:v>
      </x:c>
      <x:c r="E344" s="74" t="n">
        <x:v>236713</x:v>
      </x:c>
      <x:c r="F344" s="73" t="str">
        <x:v>LKOH_2026H1.pdf</x:v>
      </x:c>
      <x:c r="G344" s="73" t="str">
        <x:v>4, 17</x:v>
      </x:c>
      <x:c r="H344" s="73" t="str">
        <x:v>Страница найдена по сумме; определение требует сверки</x:v>
      </x:c>
      <x:c r="I344" s="69"/>
      <x:c r="J344" s="69"/>
      <x:c r="K344" s="69"/>
    </x:row>
    <x:row r="345" ht="15" hidden="0" customHeight="1">
      <x:c r="A345" t="str">
        <x:v>LKOH</x:v>
      </x:c>
      <x:c r="B345" t="str">
        <x:v>1П2026</x:v>
      </x:c>
      <x:c r="C345" s="73" t="str">
        <x:v>Денежные средства</x:v>
      </x:c>
      <x:c r="D345" s="73" t="str">
        <x:v>Раскрытое значение / ранее внесенное значение</x:v>
      </x:c>
      <x:c r="E345" s="74" t="n">
        <x:v>661391</x:v>
      </x:c>
      <x:c r="F345" s="73" t="str">
        <x:v>LKOH_2026H1.pdf</x:v>
      </x:c>
      <x:c r="G345" s="73" t="str">
        <x:v>4, 7, 14</x:v>
      </x:c>
      <x:c r="H345" s="73" t="str">
        <x:v>Страница найдена по сумме; определение требует сверки</x:v>
      </x:c>
      <x:c r="I345" s="69"/>
      <x:c r="J345" s="69"/>
      <x:c r="K345" s="69"/>
    </x:row>
    <x:row r="346" ht="15" hidden="0" customHeight="1">
      <x:c r="A346" t="str">
        <x:v>LKOH</x:v>
      </x:c>
      <x:c r="B346" t="str">
        <x:v>1П2026</x:v>
      </x:c>
      <x:c r="C346" s="73" t="str">
        <x:v>Операционная прибыль</x:v>
      </x:c>
      <x:c r="D346" s="73" t="str">
        <x:v>Раскрытое значение / ранее внесенное значение</x:v>
      </x:c>
      <x:c r="E346" s="74" t="n">
        <x:v>610942</x:v>
      </x:c>
      <x:c r="F346" s="73" t="str">
        <x:v>LKOH_2026H1.pdf</x:v>
      </x:c>
      <x:c r="G346" s="73" t="str">
        <x:v>5</x:v>
      </x:c>
      <x:c r="H346" s="73" t="str">
        <x:v>Страница найдена по сумме; определение требует сверки</x:v>
      </x:c>
      <x:c r="I346" s="69"/>
      <x:c r="J346" s="69"/>
      <x:c r="K346" s="69"/>
    </x:row>
    <x:row r="347" ht="15" hidden="0" customHeight="1">
      <x:c r="A347" t="str">
        <x:v>LKOH</x:v>
      </x:c>
      <x:c r="B347" t="str">
        <x:v>1П2026</x:v>
      </x:c>
      <x:c r="C347" s="73" t="str">
        <x:v>Амортизация</x:v>
      </x:c>
      <x:c r="D347" s="73" t="str">
        <x:v>Раскрытое значение / ранее внесенное значение</x:v>
      </x:c>
      <x:c r="E347" s="74" t="n">
        <x:v>204400</x:v>
      </x:c>
      <x:c r="F347" s="73" t="str">
        <x:v>LKOH_2026H1.pdf</x:v>
      </x:c>
      <x:c r="G347" s="73" t="str">
        <x:v>5, 7, 25</x:v>
      </x:c>
      <x:c r="H347" s="73" t="str">
        <x:v>Страница найдена по сумме; определение требует сверки</x:v>
      </x:c>
      <x:c r="I347" s="69"/>
      <x:c r="J347" s="69"/>
      <x:c r="K347" s="69"/>
    </x:row>
    <x:row r="348" ht="15" hidden="0" customHeight="1">
      <x:c r="A348" t="str">
        <x:v>LKOH</x:v>
      </x:c>
      <x:c r="B348" t="str">
        <x:v>1П2026</x:v>
      </x:c>
      <x:c r="C348" s="73" t="str">
        <x:v>Арендные обязательства вне кредитов</x:v>
      </x:c>
      <x:c r="D348" s="73" t="str">
        <x:v>Раскрытое значение / ранее внесенное значение</x:v>
      </x:c>
      <x:c r="E348" s="74" t="n">
        <x:v>0</x:v>
      </x:c>
      <x:c r="F348" s="73" t="str">
        <x:v>LKOH_2026H1.pdf</x:v>
      </x:c>
      <x:c r="G348" s="73" t="str"/>
      <x:c r="H348" s="73" t="str">
        <x:v>Страница пока не подтверждена</x:v>
      </x:c>
      <x:c r="I348" s="69"/>
      <x:c r="J348" s="69"/>
      <x:c r="K348" s="69"/>
    </x:row>
    <x:row r="349" ht="15" hidden="0" customHeight="1">
      <x:c r="A349" t="str">
        <x:v>LKOH</x:v>
      </x:c>
      <x:c r="B349" t="str">
        <x:v>1П2026</x:v>
      </x:c>
      <x:c r="C349" s="73" t="str">
        <x:v>Неконтролирующие доли</x:v>
      </x:c>
      <x:c r="D349" s="73" t="str">
        <x:v>Раскрытое значение / ранее внесенное значение</x:v>
      </x:c>
      <x:c r="E349" s="74" t="n">
        <x:v>247853</x:v>
      </x:c>
      <x:c r="F349" s="73" t="str">
        <x:v>LKOH_2026H1.pdf</x:v>
      </x:c>
      <x:c r="G349" s="73" t="str">
        <x:v>4, 6</x:v>
      </x:c>
      <x:c r="H349" s="73" t="str">
        <x:v>Страница найдена по сумме; определение требует сверки</x:v>
      </x:c>
      <x:c r="I349" s="69"/>
      <x:c r="J349" s="69"/>
      <x:c r="K349" s="69"/>
    </x:row>
    <x:row r="350" ht="15" hidden="0" customHeight="1">
      <x:c r="A350" t="str">
        <x:v>GAZP</x:v>
      </x:c>
      <x:c r="B350" t="str">
        <x:v>1П2026</x:v>
      </x:c>
      <x:c r="C350" s="73" t="str">
        <x:v>Выручка</x:v>
      </x:c>
      <x:c r="D350" s="73" t="str">
        <x:v>Раскрытое значение / ранее внесенное значение</x:v>
      </x:c>
      <x:c r="E350" s="74" t="n">
        <x:v>5301986</x:v>
      </x:c>
      <x:c r="F350" s="73" t="str">
        <x:v>GAZP_2026H1.pdf</x:v>
      </x:c>
      <x:c r="G350" s="73" t="str">
        <x:v>6, 12, 13, 24</x:v>
      </x:c>
      <x:c r="H350" s="73" t="str">
        <x:v>Страница найдена по сумме; определение требует сверки</x:v>
      </x:c>
      <x:c r="I350" s="69"/>
      <x:c r="J350" s="69"/>
      <x:c r="K350" s="69"/>
    </x:row>
    <x:row r="351" ht="15" hidden="0" customHeight="1">
      <x:c r="A351" t="str">
        <x:v>GAZP</x:v>
      </x:c>
      <x:c r="B351" t="str">
        <x:v>1П2026</x:v>
      </x:c>
      <x:c r="C351" s="73" t="str">
        <x:v>ЧП акционеров</x:v>
      </x:c>
      <x:c r="D351" s="73" t="str">
        <x:v>Раскрытое значение / ранее внесенное значение</x:v>
      </x:c>
      <x:c r="E351" s="74" t="n">
        <x:v>863862</x:v>
      </x:c>
      <x:c r="F351" s="73" t="str">
        <x:v>GAZP_2026H1.pdf</x:v>
      </x:c>
      <x:c r="G351" s="73" t="str">
        <x:v>6, 8, 25</x:v>
      </x:c>
      <x:c r="H351" s="73" t="str">
        <x:v>Страница найдена по сумме; определение требует сверки</x:v>
      </x:c>
      <x:c r="I351" s="69"/>
      <x:c r="J351" s="69"/>
      <x:c r="K351" s="69"/>
    </x:row>
    <x:row r="352" ht="15" hidden="0" customHeight="1">
      <x:c r="A352" t="str">
        <x:v>GAZP</x:v>
      </x:c>
      <x:c r="B352" t="str">
        <x:v>1П2026</x:v>
      </x:c>
      <x:c r="C352" s="73" t="str">
        <x:v>Капитал акционеров</x:v>
      </x:c>
      <x:c r="D352" s="73" t="str">
        <x:v>Раскрытое значение / ранее внесенное значение</x:v>
      </x:c>
      <x:c r="E352" s="74" t="n">
        <x:v>18180194</x:v>
      </x:c>
      <x:c r="F352" s="73" t="str">
        <x:v>GAZP_2026H1.pdf</x:v>
      </x:c>
      <x:c r="G352" s="73" t="str"/>
      <x:c r="H352" s="73" t="str">
        <x:v>Страница пока не подтверждена</x:v>
      </x:c>
      <x:c r="I352" s="69"/>
      <x:c r="J352" s="69"/>
      <x:c r="K352" s="69"/>
    </x:row>
    <x:row r="353" ht="15" hidden="0" customHeight="1">
      <x:c r="A353" t="str">
        <x:v>GAZP</x:v>
      </x:c>
      <x:c r="B353" t="str">
        <x:v>1П2026</x:v>
      </x:c>
      <x:c r="C353" s="73" t="str">
        <x:v>ЧП группы для расчета</x:v>
      </x:c>
      <x:c r="D353" s="73" t="str">
        <x:v>Раскрытое значение / ранее внесенное значение</x:v>
      </x:c>
      <x:c r="E353" s="74" t="n">
        <x:v>932884</x:v>
      </x:c>
      <x:c r="F353" s="73" t="str">
        <x:v>GAZP_2026H1.pdf</x:v>
      </x:c>
      <x:c r="G353" s="73" t="str">
        <x:v>6, 8</x:v>
      </x:c>
      <x:c r="H353" s="73" t="str">
        <x:v>Страница найдена по сумме; определение требует сверки</x:v>
      </x:c>
      <x:c r="I353" s="69"/>
      <x:c r="J353" s="69"/>
      <x:c r="K353" s="69"/>
    </x:row>
    <x:row r="354" ht="15" hidden="0" customHeight="1">
      <x:c r="A354" t="str">
        <x:v>GAZP</x:v>
      </x:c>
      <x:c r="B354" t="str">
        <x:v>1П2026</x:v>
      </x:c>
      <x:c r="C354" s="73" t="str">
        <x:v>Налог</x:v>
      </x:c>
      <x:c r="D354" s="73" t="str">
        <x:v>Раскрытое значение / ранее внесенное значение</x:v>
      </x:c>
      <x:c r="E354" s="74" t="n">
        <x:v>376869</x:v>
      </x:c>
      <x:c r="F354" s="73" t="str">
        <x:v>GAZP_2026H1.pdf</x:v>
      </x:c>
      <x:c r="G354" s="73" t="str">
        <x:v>6</x:v>
      </x:c>
      <x:c r="H354" s="73" t="str">
        <x:v>Страница найдена по сумме; определение требует сверки</x:v>
      </x:c>
      <x:c r="I354" s="69"/>
      <x:c r="J354" s="69"/>
      <x:c r="K354" s="69"/>
    </x:row>
    <x:row r="355" ht="15" hidden="0" customHeight="1">
      <x:c r="A355" t="str">
        <x:v>GAZP</x:v>
      </x:c>
      <x:c r="B355" t="str">
        <x:v>1П2026</x:v>
      </x:c>
      <x:c r="C355" s="73" t="str">
        <x:v>Процентные расходы</x:v>
      </x:c>
      <x:c r="D355" s="73" t="str">
        <x:v>Раскрытое значение / ранее внесенное значение</x:v>
      </x:c>
      <x:c r="E355" s="74" t="n">
        <x:v>162484</x:v>
      </x:c>
      <x:c r="F355" s="73" t="str">
        <x:v>GAZP_2026H1.pdf</x:v>
      </x:c>
      <x:c r="G355" s="73" t="str">
        <x:v>25</x:v>
      </x:c>
      <x:c r="H355" s="73" t="str">
        <x:v>Страница найдена по сумме; определение требует сверки</x:v>
      </x:c>
      <x:c r="I355" s="69"/>
      <x:c r="J355" s="69"/>
      <x:c r="K355" s="69"/>
    </x:row>
    <x:row r="356" ht="15" hidden="0" customHeight="1">
      <x:c r="A356" t="str">
        <x:v>GAZP</x:v>
      </x:c>
      <x:c r="B356" t="str">
        <x:v>1П2026</x:v>
      </x:c>
      <x:c r="C356" s="73" t="str">
        <x:v>Процентные доходы</x:v>
      </x:c>
      <x:c r="D356" s="73" t="str">
        <x:v>Раскрытое значение / ранее внесенное значение</x:v>
      </x:c>
      <x:c r="E356" s="74" t="n">
        <x:v>151450</x:v>
      </x:c>
      <x:c r="F356" s="73" t="str">
        <x:v>GAZP_2026H1.pdf</x:v>
      </x:c>
      <x:c r="G356" s="73" t="str">
        <x:v>25</x:v>
      </x:c>
      <x:c r="H356" s="73" t="str">
        <x:v>Страница найдена по сумме; определение требует сверки</x:v>
      </x:c>
      <x:c r="I356" s="69"/>
      <x:c r="J356" s="69"/>
      <x:c r="K356" s="69"/>
    </x:row>
    <x:row r="357" ht="15" hidden="0" customHeight="1">
      <x:c r="A357" t="str">
        <x:v>GAZP</x:v>
      </x:c>
      <x:c r="B357" t="str">
        <x:v>1П2026</x:v>
      </x:c>
      <x:c r="C357" s="73" t="str">
        <x:v>Амортизация</x:v>
      </x:c>
      <x:c r="D357" s="73" t="str">
        <x:v>Раскрытое значение / ранее внесенное значение</x:v>
      </x:c>
      <x:c r="E357" s="74" t="n">
        <x:v>762548</x:v>
      </x:c>
      <x:c r="F357" s="73" t="str">
        <x:v>GAZP_2026H1.pdf</x:v>
      </x:c>
      <x:c r="G357" s="73" t="str">
        <x:v>7, 12, 24</x:v>
      </x:c>
      <x:c r="H357" s="73" t="str">
        <x:v>Страница найдена по сумме; определение требует сверки</x:v>
      </x:c>
      <x:c r="I357" s="69"/>
      <x:c r="J357" s="69"/>
      <x:c r="K357" s="69"/>
    </x:row>
    <x:row r="358" ht="15" hidden="0" customHeight="1">
      <x:c r="A358" t="str">
        <x:v>GAZP</x:v>
      </x:c>
      <x:c r="B358" t="str">
        <x:v>1П2026</x:v>
      </x:c>
      <x:c r="C358" s="73" t="str">
        <x:v>Неконтролирующие доли</x:v>
      </x:c>
      <x:c r="D358" s="73" t="str">
        <x:v>Раскрытое значение / ранее внесенное значение</x:v>
      </x:c>
      <x:c r="E358" s="74" t="n">
        <x:v>850031</x:v>
      </x:c>
      <x:c r="F358" s="73" t="str">
        <x:v>GAZP_2026H1.pdf</x:v>
      </x:c>
      <x:c r="G358" s="73" t="str">
        <x:v>5, 8</x:v>
      </x:c>
      <x:c r="H358" s="73" t="str">
        <x:v>Страница найдена по сумме; определение требует сверки</x:v>
      </x:c>
      <x:c r="I358" s="69"/>
      <x:c r="J358" s="69"/>
      <x:c r="K358" s="69"/>
    </x:row>
    <x:row r="359" ht="15" hidden="0" customHeight="1">
      <x:c r="A359" t="str">
        <x:v>YDEX</x:v>
      </x:c>
      <x:c r="B359" t="str">
        <x:v>1П2026</x:v>
      </x:c>
      <x:c r="C359" s="73" t="str">
        <x:v>Скорр. чистый долг</x:v>
      </x:c>
      <x:c r="D359" s="73" t="str">
        <x:v>Раскрытое значение / ранее внесенное значение</x:v>
      </x:c>
      <x:c r="E359" s="74" t="n">
        <x:v>7000</x:v>
      </x:c>
      <x:c r="F359" s="73" t="str">
        <x:v>YDEX_2026H1.pdf</x:v>
      </x:c>
      <x:c r="G359" s="73" t="str"/>
      <x:c r="H359" s="73" t="str">
        <x:v>Страница пока не подтверждена</x:v>
      </x:c>
      <x:c r="I359" s="69"/>
      <x:c r="J359" s="69"/>
      <x:c r="K359" s="69"/>
    </x:row>
    <x:row r="360" ht="15" hidden="0" customHeight="1">
      <x:c r="A360" t="str">
        <x:v>YDEX</x:v>
      </x:c>
      <x:c r="B360" t="str">
        <x:v>1П2026</x:v>
      </x:c>
      <x:c r="C360" s="73" t="str">
        <x:v>Выручка</x:v>
      </x:c>
      <x:c r="D360" s="73" t="str">
        <x:v>Раскрытое значение / ранее внесенное значение</x:v>
      </x:c>
      <x:c r="E360" s="74" t="n">
        <x:v>759014</x:v>
      </x:c>
      <x:c r="F360" s="73" t="str">
        <x:v>YDEX_2026H1.pdf</x:v>
      </x:c>
      <x:c r="G360" s="73" t="str">
        <x:v>5, 12, 18</x:v>
      </x:c>
      <x:c r="H360" s="73" t="str">
        <x:v>Страница найдена по сумме; определение требует сверки</x:v>
      </x:c>
      <x:c r="I360" s="69"/>
      <x:c r="J360" s="69"/>
      <x:c r="K360" s="69"/>
    </x:row>
    <x:row r="361" ht="15" hidden="0" customHeight="1">
      <x:c r="A361" t="str">
        <x:v>YDEX</x:v>
      </x:c>
      <x:c r="B361" t="str">
        <x:v>1П2026</x:v>
      </x:c>
      <x:c r="C361" s="73" t="str">
        <x:v>Скорр. EBITDA</x:v>
      </x:c>
      <x:c r="D361" s="73" t="str">
        <x:v>Раскрытое значение / ранее внесенное значение</x:v>
      </x:c>
      <x:c r="E361" s="74" t="n">
        <x:v>162206</x:v>
      </x:c>
      <x:c r="F361" s="73" t="str">
        <x:v>YDEX_2026H1.pdf</x:v>
      </x:c>
      <x:c r="G361" s="73" t="str">
        <x:v>12</x:v>
      </x:c>
      <x:c r="H361" s="73" t="str">
        <x:v>Страница найдена по сумме; определение требует сверки</x:v>
      </x:c>
      <x:c r="I361" s="69"/>
      <x:c r="J361" s="69"/>
      <x:c r="K361" s="69"/>
    </x:row>
    <x:row r="362" ht="15" hidden="0" customHeight="1">
      <x:c r="A362" t="str">
        <x:v>YDEX</x:v>
      </x:c>
      <x:c r="B362" t="str">
        <x:v>1П2026</x:v>
      </x:c>
      <x:c r="C362" s="73" t="str">
        <x:v>ЧП акционеров</x:v>
      </x:c>
      <x:c r="D362" s="73" t="str">
        <x:v>Раскрытое значение / ранее внесенное значение</x:v>
      </x:c>
      <x:c r="E362" s="74" t="n">
        <x:v>93401</x:v>
      </x:c>
      <x:c r="F362" s="73" t="str">
        <x:v>YDEX_2026H1.pdf</x:v>
      </x:c>
      <x:c r="G362" s="73" t="str">
        <x:v>5, 6, 7, 8, 10</x:v>
      </x:c>
      <x:c r="H362" s="73" t="str">
        <x:v>Страница найдена по сумме; определение требует сверки</x:v>
      </x:c>
      <x:c r="I362" s="69"/>
      <x:c r="J362" s="69"/>
      <x:c r="K362" s="69"/>
    </x:row>
    <x:row r="363" ht="15" hidden="0" customHeight="1">
      <x:c r="A363" t="str">
        <x:v>YDEX</x:v>
      </x:c>
      <x:c r="B363" t="str">
        <x:v>1П2026</x:v>
      </x:c>
      <x:c r="C363" s="73" t="str">
        <x:v>Капитал акционеров</x:v>
      </x:c>
      <x:c r="D363" s="73" t="str">
        <x:v>Раскрытое значение / ранее внесенное значение</x:v>
      </x:c>
      <x:c r="E363" s="74" t="n">
        <x:v>406268</x:v>
      </x:c>
      <x:c r="F363" s="73" t="str">
        <x:v>YDEX_2026H1.pdf</x:v>
      </x:c>
      <x:c r="G363" s="73" t="str">
        <x:v>4, 8</x:v>
      </x:c>
      <x:c r="H363" s="73" t="str">
        <x:v>Страница найдена по сумме; определение требует сверки</x:v>
      </x:c>
      <x:c r="I363" s="69"/>
      <x:c r="J363" s="69"/>
      <x:c r="K363" s="69"/>
    </x:row>
    <x:row r="364" ht="15" hidden="0" customHeight="1">
      <x:c r="A364" t="str">
        <x:v>YDEX</x:v>
      </x:c>
      <x:c r="B364" t="str">
        <x:v>1П2026</x:v>
      </x:c>
      <x:c r="C364" s="73" t="str">
        <x:v>Краткосрочный долг</x:v>
      </x:c>
      <x:c r="D364" s="73" t="str">
        <x:v>Раскрытое значение / ранее внесенное значение</x:v>
      </x:c>
      <x:c r="E364" s="74" t="n">
        <x:v>71828</x:v>
      </x:c>
      <x:c r="F364" s="73" t="str">
        <x:v>YDEX_2026H1.pdf</x:v>
      </x:c>
      <x:c r="G364" s="73" t="str">
        <x:v>4</x:v>
      </x:c>
      <x:c r="H364" s="73" t="str">
        <x:v>Сверено с таблицей отчета</x:v>
      </x:c>
      <x:c r="I364" s="69"/>
      <x:c r="J364" s="69"/>
      <x:c r="K364" s="69"/>
    </x:row>
    <x:row r="365" ht="15" hidden="0" customHeight="1">
      <x:c r="A365" t="str">
        <x:v>YDEX</x:v>
      </x:c>
      <x:c r="B365" t="str">
        <x:v>1П2026</x:v>
      </x:c>
      <x:c r="C365" s="73" t="str">
        <x:v>Долгосрочный долг</x:v>
      </x:c>
      <x:c r="D365" s="73" t="str">
        <x:v>Раскрытое значение / ранее внесенное значение</x:v>
      </x:c>
      <x:c r="E365" s="74" t="n">
        <x:v>205474</x:v>
      </x:c>
      <x:c r="F365" s="73" t="str">
        <x:v>YDEX_2026H1.pdf</x:v>
      </x:c>
      <x:c r="G365" s="73" t="str">
        <x:v>4</x:v>
      </x:c>
      <x:c r="H365" s="73" t="str">
        <x:v>Сверено с таблицей отчета</x:v>
      </x:c>
      <x:c r="I365" s="69"/>
      <x:c r="J365" s="69"/>
      <x:c r="K365" s="69"/>
    </x:row>
    <x:row r="366" ht="15" hidden="0" customHeight="1">
      <x:c r="A366" t="str">
        <x:v>YDEX</x:v>
      </x:c>
      <x:c r="B366" t="str">
        <x:v>1П2026</x:v>
      </x:c>
      <x:c r="C366" s="73" t="str">
        <x:v>Денежные средства</x:v>
      </x:c>
      <x:c r="D366" s="73" t="str">
        <x:v>Раскрытое значение / ранее внесенное значение</x:v>
      </x:c>
      <x:c r="E366" s="74" t="n">
        <x:v>296024</x:v>
      </x:c>
      <x:c r="F366" s="73" t="str">
        <x:v>YDEX_2026H1.pdf</x:v>
      </x:c>
      <x:c r="G366" s="73" t="str">
        <x:v>4</x:v>
      </x:c>
      <x:c r="H366" s="73" t="str">
        <x:v>Сверено с таблицей отчета</x:v>
      </x:c>
      <x:c r="I366" s="69"/>
      <x:c r="J366" s="69"/>
      <x:c r="K366" s="69"/>
    </x:row>
    <x:row r="367" ht="15" hidden="0" customHeight="1">
      <x:c r="A367" t="str">
        <x:v>YDEX</x:v>
      </x:c>
      <x:c r="B367" t="str">
        <x:v>1П2026</x:v>
      </x:c>
      <x:c r="C367" s="73" t="str">
        <x:v>Арендные обязательства вне кредитов</x:v>
      </x:c>
      <x:c r="D367" s="73" t="str">
        <x:v>Раскрытое значение / ранее внесенное значение</x:v>
      </x:c>
      <x:c r="E367" s="74" t="n">
        <x:v>92697</x:v>
      </x:c>
      <x:c r="F367" s="73" t="str">
        <x:v>YDEX_2026H1.pdf</x:v>
      </x:c>
      <x:c r="G367" s="73" t="str">
        <x:v>20, 26</x:v>
      </x:c>
      <x:c r="H367" s="73" t="str">
        <x:v>Страница найдена по сумме; определение требует сверки</x:v>
      </x:c>
      <x:c r="I367" s="69"/>
      <x:c r="J367" s="69"/>
      <x:c r="K367" s="69"/>
    </x:row>
    <x:row r="368" ht="15" hidden="0" customHeight="1">
      <x:c r="A368" t="str">
        <x:v>YDEX</x:v>
      </x:c>
      <x:c r="B368" t="str">
        <x:v>1П2026</x:v>
      </x:c>
      <x:c r="C368" s="73" t="str">
        <x:v>Неконтролирующие доли</x:v>
      </x:c>
      <x:c r="D368" s="73" t="str">
        <x:v>Раскрытое значение / ранее внесенное значение</x:v>
      </x:c>
      <x:c r="E368" s="74" t="n">
        <x:v>0</x:v>
      </x:c>
      <x:c r="F368" s="73" t="str">
        <x:v>YDEX_2026H1.pdf</x:v>
      </x:c>
      <x:c r="G368" s="73" t="str"/>
      <x:c r="H368" s="73" t="str">
        <x:v>Страница пока не подтверждена</x:v>
      </x:c>
      <x:c r="I368" s="69"/>
      <x:c r="J368" s="69"/>
      <x:c r="K368" s="69"/>
    </x:row>
    <x:row r="369" ht="15" hidden="0" customHeight="1">
      <x:c r="A369" t="str">
        <x:v>T</x:v>
      </x:c>
      <x:c r="B369" t="str">
        <x:v>1П2026</x:v>
      </x:c>
      <x:c r="C369" s="73" t="str">
        <x:v>Выручка</x:v>
      </x:c>
      <x:c r="D369" s="73" t="str">
        <x:v>Раскрытое значение / ранее внесенное значение</x:v>
      </x:c>
      <x:c r="E369" s="74" t="n">
        <x:v>791900</x:v>
      </x:c>
      <x:c r="F369" s="73" t="str">
        <x:v>T_2026H1.pdf</x:v>
      </x:c>
      <x:c r="G369" s="73" t="str">
        <x:v>4</x:v>
      </x:c>
      <x:c r="H369" s="73" t="str">
        <x:v>Сверено с таблицей отчета</x:v>
      </x:c>
      <x:c r="I369" s="69"/>
      <x:c r="J369" s="69"/>
      <x:c r="K369" s="69"/>
    </x:row>
    <x:row r="370" ht="15" hidden="0" customHeight="1">
      <x:c r="A370" t="str">
        <x:v>T</x:v>
      </x:c>
      <x:c r="B370" t="str">
        <x:v>1П2026</x:v>
      </x:c>
      <x:c r="C370" s="73" t="str">
        <x:v>EBITDA</x:v>
      </x:c>
      <x:c r="D370" s="73" t="str">
        <x:v>Раскрытое значение / ранее внесенное значение</x:v>
      </x:c>
      <x:c r="E370" s="74" t="n">
        <x:v>138400</x:v>
      </x:c>
      <x:c r="F370" s="73" t="str">
        <x:v>T_2026H1.pdf</x:v>
      </x:c>
      <x:c r="G370" s="73" t="str">
        <x:v>28</x:v>
      </x:c>
      <x:c r="H370" s="73" t="str">
        <x:v>Сверено с раскрытой компанией сверкой EBITDA</x:v>
      </x:c>
      <x:c r="I370" s="69"/>
      <x:c r="J370" s="69"/>
      <x:c r="K370" s="69"/>
    </x:row>
    <x:row r="371" ht="15" hidden="0" customHeight="1">
      <x:c r="A371" t="str">
        <x:v>T</x:v>
      </x:c>
      <x:c r="B371" t="str">
        <x:v>1П2026</x:v>
      </x:c>
      <x:c r="C371" s="73" t="str">
        <x:v>Скорр. EBITDA</x:v>
      </x:c>
      <x:c r="D371" s="73" t="str">
        <x:v>Раскрытое значение / ранее внесенное значение</x:v>
      </x:c>
      <x:c r="E371" s="74" t="n">
        <x:v>184500</x:v>
      </x:c>
      <x:c r="F371" s="73" t="str">
        <x:v>T_2026H1.pdf</x:v>
      </x:c>
      <x:c r="G371" s="73" t="str">
        <x:v>28</x:v>
      </x:c>
      <x:c r="H371" s="73" t="str">
        <x:v>Сверено с раскрытой компанией сверкой EBITDA</x:v>
      </x:c>
      <x:c r="I371" s="69"/>
      <x:c r="J371" s="69"/>
      <x:c r="K371" s="69"/>
    </x:row>
    <x:row r="372" ht="15" hidden="0" customHeight="1">
      <x:c r="A372" t="str">
        <x:v>T</x:v>
      </x:c>
      <x:c r="B372" t="str">
        <x:v>1П2026</x:v>
      </x:c>
      <x:c r="C372" s="73" t="str">
        <x:v>ЧП акционеров</x:v>
      </x:c>
      <x:c r="D372" s="73" t="str">
        <x:v>Раскрытое значение / ранее внесенное значение</x:v>
      </x:c>
      <x:c r="E372" s="74" t="n">
        <x:v>83100</x:v>
      </x:c>
      <x:c r="F372" s="73" t="str">
        <x:v>T_2026H1.pdf</x:v>
      </x:c>
      <x:c r="G372" s="73" t="str">
        <x:v>5</x:v>
      </x:c>
      <x:c r="H372" s="73" t="str">
        <x:v>Сверено с таблицей отчета</x:v>
      </x:c>
      <x:c r="I372" s="69"/>
      <x:c r="J372" s="69"/>
      <x:c r="K372" s="69"/>
    </x:row>
    <x:row r="373" ht="15" hidden="0" customHeight="1">
      <x:c r="A373" t="str">
        <x:v>T</x:v>
      </x:c>
      <x:c r="B373" t="str">
        <x:v>1П2026</x:v>
      </x:c>
      <x:c r="C373" s="73" t="str">
        <x:v>Капитал акционеров</x:v>
      </x:c>
      <x:c r="D373" s="73" t="str">
        <x:v>Раскрытое значение / ранее внесенное значение</x:v>
      </x:c>
      <x:c r="E373" s="74" t="n">
        <x:v>756800</x:v>
      </x:c>
      <x:c r="F373" s="73" t="str">
        <x:v>T_2026H1.pdf</x:v>
      </x:c>
      <x:c r="G373" s="73" t="str">
        <x:v>6</x:v>
      </x:c>
      <x:c r="H373" s="73" t="str">
        <x:v>Сверено с таблицей отчета</x:v>
      </x:c>
      <x:c r="I373" s="69"/>
      <x:c r="J373" s="69"/>
      <x:c r="K373" s="69"/>
    </x:row>
    <x:row r="374" ht="15" hidden="0" customHeight="1">
      <x:c r="A374" t="str">
        <x:v>T</x:v>
      </x:c>
      <x:c r="B374" t="str">
        <x:v>1П2026</x:v>
      </x:c>
      <x:c r="C374" s="73" t="str">
        <x:v>Неконтролирующие доли</x:v>
      </x:c>
      <x:c r="D374" s="73" t="str">
        <x:v>Раскрытое значение / ранее внесенное значение</x:v>
      </x:c>
      <x:c r="E374" s="74" t="n">
        <x:v>112600</x:v>
      </x:c>
      <x:c r="F374" s="73" t="str">
        <x:v>T_2026H1.pdf</x:v>
      </x:c>
      <x:c r="G374" s="73" t="str">
        <x:v>6</x:v>
      </x:c>
      <x:c r="H374" s="73" t="str">
        <x:v>Сверено с таблицей отчета</x:v>
      </x:c>
      <x:c r="I374" s="69"/>
      <x:c r="J374" s="69"/>
      <x:c r="K374" s="69"/>
    </x:row>
    <x:row r="375" ht="15" hidden="0" customHeight="1">
      <x:c r="A375" t="str">
        <x:v>TATN</x:v>
      </x:c>
      <x:c r="B375" t="str">
        <x:v>1П2026</x:v>
      </x:c>
      <x:c r="C375" s="73" t="str">
        <x:v>Выручка</x:v>
      </x:c>
      <x:c r="D375" s="73" t="str">
        <x:v>Раскрытое значение / ранее внесенное значение</x:v>
      </x:c>
      <x:c r="E375" s="74" t="n">
        <x:v>881649</x:v>
      </x:c>
      <x:c r="F375" s="73" t="str">
        <x:v>TATN_2026H1.pdf</x:v>
      </x:c>
      <x:c r="G375" s="73" t="str">
        <x:v>5</x:v>
      </x:c>
      <x:c r="H375" s="73" t="str">
        <x:v>Сверено: выручка</x:v>
      </x:c>
      <x:c r="I375" s="69"/>
      <x:c r="J375" s="69"/>
      <x:c r="K375" s="69"/>
    </x:row>
    <x:row r="376" ht="15" hidden="0" customHeight="1">
      <x:c r="A376" t="str">
        <x:v>TATN</x:v>
      </x:c>
      <x:c r="B376" t="str">
        <x:v>1П2026</x:v>
      </x:c>
      <x:c r="C376" s="73" t="str">
        <x:v>ЧП акционеров</x:v>
      </x:c>
      <x:c r="D376" s="73" t="str">
        <x:v>Раскрытое значение / ранее внесенное значение</x:v>
      </x:c>
      <x:c r="E376" s="74" t="n">
        <x:v>165231</x:v>
      </x:c>
      <x:c r="F376" s="73" t="str">
        <x:v>TATN_2026H1.pdf</x:v>
      </x:c>
      <x:c r="G376" s="73" t="str">
        <x:v>6-7</x:v>
      </x:c>
      <x:c r="H376" s="73" t="str">
        <x:v>Сверено: прибыль акционеров</x:v>
      </x:c>
      <x:c r="I376" s="69"/>
      <x:c r="J376" s="69"/>
      <x:c r="K376" s="69"/>
    </x:row>
    <x:row r="377" ht="15" hidden="0" customHeight="1">
      <x:c r="A377" t="str">
        <x:v>TATN</x:v>
      </x:c>
      <x:c r="B377" t="str">
        <x:v>1П2026</x:v>
      </x:c>
      <x:c r="C377" s="73" t="str">
        <x:v>Капитал акционеров</x:v>
      </x:c>
      <x:c r="D377" s="73" t="str">
        <x:v>Раскрытое значение / ранее внесенное значение</x:v>
      </x:c>
      <x:c r="E377" s="74" t="n">
        <x:v>1401689</x:v>
      </x:c>
      <x:c r="F377" s="73" t="str">
        <x:v>TATN_2026H1.pdf</x:v>
      </x:c>
      <x:c r="G377" s="73" t="str">
        <x:v>4, 7</x:v>
      </x:c>
      <x:c r="H377" s="73" t="str">
        <x:v>Сверено: капитал акционеров</x:v>
      </x:c>
      <x:c r="I377" s="69"/>
      <x:c r="J377" s="69"/>
      <x:c r="K377" s="69"/>
    </x:row>
    <x:row r="378" ht="15" hidden="0" customHeight="1">
      <x:c r="A378" t="str">
        <x:v>TATN</x:v>
      </x:c>
      <x:c r="B378" t="str">
        <x:v>1П2026</x:v>
      </x:c>
      <x:c r="C378" s="73" t="str">
        <x:v>Неконтролирующие доли</x:v>
      </x:c>
      <x:c r="D378" s="73" t="str">
        <x:v>Раскрытое значение / ранее внесенное значение</x:v>
      </x:c>
      <x:c r="E378" s="74" t="n">
        <x:v>8924</x:v>
      </x:c>
      <x:c r="F378" s="73" t="str">
        <x:v>TATN_2026H1.pdf</x:v>
      </x:c>
      <x:c r="G378" s="73" t="str">
        <x:v>4, 7</x:v>
      </x:c>
      <x:c r="H378" s="73" t="str">
        <x:v>Сверено: неконтролирующая доля</x:v>
      </x:c>
      <x:c r="I378" s="69"/>
      <x:c r="J378" s="69"/>
      <x:c r="K378" s="69"/>
    </x:row>
    <x:row r="379" ht="15" hidden="0" customHeight="1">
      <x:c r="A379" t="str">
        <x:v>NVTK</x:v>
      </x:c>
      <x:c r="B379" t="str">
        <x:v>1П2026</x:v>
      </x:c>
      <x:c r="C379" s="73" t="str">
        <x:v>Чистый долг</x:v>
      </x:c>
      <x:c r="D379" s="73" t="str">
        <x:v>Раскрытое значение / ранее внесенное значение</x:v>
      </x:c>
      <x:c r="E379" s="74" t="n">
        <x:v>-43511</x:v>
      </x:c>
      <x:c r="F379" s="73" t="str">
        <x:v>NVTK_IR.html; NVTK_2026H1.pdf</x:v>
      </x:c>
      <x:c r="G379" s="73" t="str">
        <x:v>IR 24.07.2026; МСФО PDF стр. 5</x:v>
      </x:c>
      <x:c r="H379" s="73" t="str">
        <x:v>Опубликованный ЧД -43 511; арифметически подтвержден строками 1291:1294</x:v>
      </x:c>
      <x:c r="I379" s="69"/>
      <x:c r="J379" s="69"/>
      <x:c r="K379" s="69"/>
    </x:row>
    <x:row r="380" ht="15" hidden="0" customHeight="1">
      <x:c r="A380" t="str">
        <x:v>NVTK</x:v>
      </x:c>
      <x:c r="B380" t="str">
        <x:v>1П2026</x:v>
      </x:c>
      <x:c r="C380" s="73" t="str">
        <x:v>Выручка</x:v>
      </x:c>
      <x:c r="D380" s="73" t="str">
        <x:v>Раскрытое значение / ранее внесенное значение</x:v>
      </x:c>
      <x:c r="E380" s="74" t="n">
        <x:v>836336</x:v>
      </x:c>
      <x:c r="F380" s="73" t="str">
        <x:v>NVTK_2026H1.pdf</x:v>
      </x:c>
      <x:c r="G380" s="73" t="str">
        <x:v>PDF стр. 6</x:v>
      </x:c>
      <x:c r="H380" s="73" t="str">
        <x:v>Сверено: выручка</x:v>
      </x:c>
      <x:c r="I380" s="69"/>
      <x:c r="J380" s="69"/>
      <x:c r="K380" s="69"/>
    </x:row>
    <x:row r="381" ht="15" hidden="0" customHeight="1">
      <x:c r="A381" t="str">
        <x:v>NVTK</x:v>
      </x:c>
      <x:c r="B381" t="str">
        <x:v>1П2026</x:v>
      </x:c>
      <x:c r="C381" s="73" t="str">
        <x:v>Скорр. EBITDA</x:v>
      </x:c>
      <x:c r="D381" s="73" t="str">
        <x:v>Раскрытое значение / ранее внесенное значение</x:v>
      </x:c>
      <x:c r="E381" s="74" t="n">
        <x:v>430402</x:v>
      </x:c>
      <x:c r="F381" s="73" t="str">
        <x:v>NVTK_IR.html</x:v>
      </x:c>
      <x:c r="G381" s="73" t="str">
        <x:v>н.п. (HTML)</x:v>
      </x:c>
      <x:c r="H381" s="73" t="str">
        <x:v>Официальный IR-релиз 24.07.2026: нормализованная EBITDA 430 402; скорректированная</x:v>
      </x:c>
      <x:c r="I381" s="69"/>
      <x:c r="J381" s="69"/>
      <x:c r="K381" s="69"/>
    </x:row>
    <x:row r="382" ht="15" hidden="0" customHeight="1">
      <x:c r="A382" t="str">
        <x:v>NVTK</x:v>
      </x:c>
      <x:c r="B382" t="str">
        <x:v>1П2026</x:v>
      </x:c>
      <x:c r="C382" s="73" t="str">
        <x:v>ЧП акционеров</x:v>
      </x:c>
      <x:c r="D382" s="73" t="str">
        <x:v>Раскрытое значение / ранее внесенное значение</x:v>
      </x:c>
      <x:c r="E382" s="74" t="n">
        <x:v>218664</x:v>
      </x:c>
      <x:c r="F382" s="73" t="str">
        <x:v>NVTK_2026H1.pdf</x:v>
      </x:c>
      <x:c r="G382" s="73" t="str">
        <x:v>PDF стр. 6</x:v>
      </x:c>
      <x:c r="H382" s="73" t="str">
        <x:v>Сверено: прибыль, относящаяся к акционерам ПАО «НОВАТЭК»</x:v>
      </x:c>
      <x:c r="I382" s="69"/>
      <x:c r="J382" s="69"/>
      <x:c r="K382" s="69"/>
    </x:row>
    <x:row r="383" ht="15" hidden="0" customHeight="1">
      <x:c r="A383" t="str">
        <x:v>NVTK</x:v>
      </x:c>
      <x:c r="B383" t="str">
        <x:v>1П2026</x:v>
      </x:c>
      <x:c r="C383" s="73" t="str">
        <x:v>Капитал акционеров</x:v>
      </x:c>
      <x:c r="D383" s="73" t="str">
        <x:v>Раскрытое значение / ранее внесенное значение</x:v>
      </x:c>
      <x:c r="E383" s="74" t="n">
        <x:v>2907269</x:v>
      </x:c>
      <x:c r="F383" s="73" t="str">
        <x:v>NVTK_2026H1.pdf</x:v>
      </x:c>
      <x:c r="G383" s="73" t="str">
        <x:v>PDF стр. 5, 9</x:v>
      </x:c>
      <x:c r="H383" s="73" t="str">
        <x:v>Сверено: капитал акционеров ПАО «НОВАТЭК»</x:v>
      </x:c>
      <x:c r="I383" s="69"/>
      <x:c r="J383" s="69"/>
      <x:c r="K383" s="69"/>
    </x:row>
    <x:row r="384" ht="15" hidden="0" customHeight="1">
      <x:c r="A384" t="str">
        <x:v>NVTK</x:v>
      </x:c>
      <x:c r="B384" t="str">
        <x:v>1П2026</x:v>
      </x:c>
      <x:c r="C384" s="73" t="str">
        <x:v>Неконтролирующие доли</x:v>
      </x:c>
      <x:c r="D384" s="73" t="str">
        <x:v>Раскрытое значение / ранее внесенное значение</x:v>
      </x:c>
      <x:c r="E384" s="74" t="n">
        <x:v>14807</x:v>
      </x:c>
      <x:c r="F384" s="73" t="str">
        <x:v>NVTK_2026H1.pdf</x:v>
      </x:c>
      <x:c r="G384" s="73" t="str">
        <x:v>PDF стр. 5, 9</x:v>
      </x:c>
      <x:c r="H384" s="73" t="str">
        <x:v>Сверено: неконтролирующая доля</x:v>
      </x:c>
      <x:c r="I384" s="69"/>
      <x:c r="J384" s="69"/>
      <x:c r="K384" s="69"/>
    </x:row>
    <x:row r="385" ht="15" hidden="0" customHeight="1">
      <x:c r="A385" t="str">
        <x:v>GMKN</x:v>
      </x:c>
      <x:c r="B385" t="str">
        <x:v>1П2026</x:v>
      </x:c>
      <x:c r="C385" s="73" t="str">
        <x:v>Выручка</x:v>
      </x:c>
      <x:c r="D385" s="73" t="str">
        <x:v>Раскрытое значение / ранее внесенное значение</x:v>
      </x:c>
      <x:c r="E385" s="74" t="n">
        <x:v>632669</x:v>
      </x:c>
      <x:c r="F385" s="73" t="str">
        <x:v>GMKN_2026H1.pdf</x:v>
      </x:c>
      <x:c r="G385" s="73" t="str">
        <x:v>PDF стр. 5</x:v>
      </x:c>
      <x:c r="H385" s="73" t="str">
        <x:v>Выручка 1П2026</x:v>
      </x:c>
      <x:c r="I385" s="69"/>
      <x:c r="J385" s="69"/>
      <x:c r="K385" s="69"/>
    </x:row>
    <x:row r="386" ht="15" hidden="0" customHeight="1">
      <x:c r="A386" t="str">
        <x:v>GMKN</x:v>
      </x:c>
      <x:c r="B386" t="str">
        <x:v>1П2026</x:v>
      </x:c>
      <x:c r="C386" s="73" t="str">
        <x:v>Скорр. EBITDA</x:v>
      </x:c>
      <x:c r="D386" s="73" t="str">
        <x:v>Раскрытое значение / ранее внесенное значение</x:v>
      </x:c>
      <x:c r="E386" s="74" t="n">
        <x:v>301110</x:v>
      </x:c>
      <x:c r="F386" s="73" t="str">
        <x:v>GMKN_2026H1.pdf</x:v>
      </x:c>
      <x:c r="G386" s="73" t="str">
        <x:v>PDF стр. 16</x:v>
      </x:c>
      <x:c r="H386" s="73" t="str">
        <x:v>Консолидированная EBITDA; скорректированная по составу</x:v>
      </x:c>
      <x:c r="I386" s="69"/>
      <x:c r="J386" s="69"/>
      <x:c r="K386" s="69"/>
    </x:row>
    <x:row r="387" ht="15" hidden="0" customHeight="1">
      <x:c r="A387" t="str">
        <x:v>GMKN</x:v>
      </x:c>
      <x:c r="B387" t="str">
        <x:v>1П2026</x:v>
      </x:c>
      <x:c r="C387" s="73" t="str">
        <x:v>ЧП акционеров</x:v>
      </x:c>
      <x:c r="D387" s="73" t="str">
        <x:v>Раскрытое значение / ранее внесенное значение</x:v>
      </x:c>
      <x:c r="E387" s="74" t="n">
        <x:v>121619</x:v>
      </x:c>
      <x:c r="F387" s="73" t="str">
        <x:v>GMKN_2026H1.pdf</x:v>
      </x:c>
      <x:c r="G387" s="73" t="str">
        <x:v>PDF стр. 5</x:v>
      </x:c>
      <x:c r="H387" s="73" t="str">
        <x:v>Прибыль, относящаяся к акционерам</x:v>
      </x:c>
      <x:c r="I387" s="69"/>
      <x:c r="J387" s="69"/>
      <x:c r="K387" s="69"/>
    </x:row>
    <x:row r="388" ht="15" hidden="0" customHeight="1">
      <x:c r="A388" t="str">
        <x:v>GMKN</x:v>
      </x:c>
      <x:c r="B388" t="str">
        <x:v>1П2026</x:v>
      </x:c>
      <x:c r="C388" s="73" t="str">
        <x:v>Капитал акционеров</x:v>
      </x:c>
      <x:c r="D388" s="73" t="str">
        <x:v>Раскрытое значение / ранее внесенное значение</x:v>
      </x:c>
      <x:c r="E388" s="74" t="n">
        <x:v>1006531</x:v>
      </x:c>
      <x:c r="F388" s="73" t="str">
        <x:v>GMKN_2026H1.pdf</x:v>
      </x:c>
      <x:c r="G388" s="73" t="str">
        <x:v>PDF стр. 6</x:v>
      </x:c>
      <x:c r="H388" s="73" t="str">
        <x:v>Капитал акционеров на 30.06.2026</x:v>
      </x:c>
      <x:c r="I388" s="69"/>
      <x:c r="J388" s="69"/>
      <x:c r="K388" s="69"/>
    </x:row>
    <x:row r="389" ht="15" hidden="0" customHeight="1">
      <x:c r="A389" t="str">
        <x:v>GMKN</x:v>
      </x:c>
      <x:c r="B389" t="str">
        <x:v>1П2026</x:v>
      </x:c>
      <x:c r="C389" s="73" t="str">
        <x:v>Неконтролирующие доли</x:v>
      </x:c>
      <x:c r="D389" s="73" t="str">
        <x:v>Раскрытое значение / ранее внесенное значение</x:v>
      </x:c>
      <x:c r="E389" s="74" t="n">
        <x:v>169493</x:v>
      </x:c>
      <x:c r="F389" s="73" t="str">
        <x:v>GMKN_2026H1.pdf</x:v>
      </x:c>
      <x:c r="G389" s="73" t="str">
        <x:v>PDF стр. 6</x:v>
      </x:c>
      <x:c r="H389" s="73" t="str">
        <x:v>Неконтролирующая доля на 30.06.2026</x:v>
      </x:c>
      <x:c r="I389" s="69"/>
      <x:c r="J389" s="69"/>
      <x:c r="K389" s="69"/>
    </x:row>
    <x:row r="390" ht="15" hidden="0" customHeight="1">
      <x:c r="A390" t="str">
        <x:v>OZON</x:v>
      </x:c>
      <x:c r="B390" t="str">
        <x:v>1П2026</x:v>
      </x:c>
      <x:c r="C390" s="73" t="str">
        <x:v>Выручка</x:v>
      </x:c>
      <x:c r="D390" s="73" t="str">
        <x:v>Раскрытое значение / ранее внесенное значение</x:v>
      </x:c>
      <x:c r="E390" s="74" t="n">
        <x:v>635112</x:v>
      </x:c>
      <x:c r="F390" s="73" t="str">
        <x:v>OZON_2026H1.pdf</x:v>
      </x:c>
      <x:c r="G390" s="73" t="str">
        <x:v>PDF стр. 13, 14</x:v>
      </x:c>
      <x:c r="H390" s="73" t="str">
        <x:v>Сверено: выручка 1П2026 635 112 млн руб.</x:v>
      </x:c>
      <x:c r="I390" s="69"/>
      <x:c r="J390" s="69"/>
      <x:c r="K390" s="69"/>
    </x:row>
    <x:row r="391" ht="15" hidden="0" customHeight="1">
      <x:c r="A391" t="str">
        <x:v>OZON</x:v>
      </x:c>
      <x:c r="B391" t="str">
        <x:v>1П2026</x:v>
      </x:c>
      <x:c r="C391" s="73" t="str">
        <x:v>Скорр. EBITDA</x:v>
      </x:c>
      <x:c r="D391" s="73" t="str">
        <x:v>Раскрытое значение / ранее внесенное значение</x:v>
      </x:c>
      <x:c r="E391" s="74" t="n">
        <x:v>106723</x:v>
      </x:c>
      <x:c r="F391" s="73" t="str">
        <x:v>OZON_2026H1.pdf</x:v>
      </x:c>
      <x:c r="G391" s="73" t="str">
        <x:v>PDF стр. 11, 13</x:v>
      </x:c>
      <x:c r="H391" s="73" t="str">
        <x:v>Сверено: скорректированная EBITDA 1П2026 106 723; обычная EBITDA отдельно не раскрыта</x:v>
      </x:c>
      <x:c r="I391" s="69"/>
      <x:c r="J391" s="69"/>
      <x:c r="K391" s="69"/>
    </x:row>
    <x:row r="392" ht="15" hidden="0" customHeight="1">
      <x:c r="A392" t="str">
        <x:v>OZON</x:v>
      </x:c>
      <x:c r="B392" t="str">
        <x:v>1П2026</x:v>
      </x:c>
      <x:c r="C392" s="73" t="str">
        <x:v>ЧП акционеров</x:v>
      </x:c>
      <x:c r="D392" s="73" t="str">
        <x:v>Раскрытое значение / ранее внесенное значение</x:v>
      </x:c>
      <x:c r="E392" s="74" t="n">
        <x:v>14628</x:v>
      </x:c>
      <x:c r="F392" s="73" t="str">
        <x:v>OZON_2026H1.pdf</x:v>
      </x:c>
      <x:c r="G392" s="73" t="str">
        <x:v>PDF стр. 7, 11</x:v>
      </x:c>
      <x:c r="H392" s="73" t="str">
        <x:v>Сверено: прибыль 1П2026, относимая к акционерам, 14 628 млн руб.</x:v>
      </x:c>
      <x:c r="I392" s="69"/>
      <x:c r="J392" s="69"/>
      <x:c r="K392" s="69"/>
    </x:row>
    <x:row r="393" ht="15" hidden="0" customHeight="1">
      <x:c r="A393" t="str">
        <x:v>OZON</x:v>
      </x:c>
      <x:c r="B393" t="str">
        <x:v>1П2026</x:v>
      </x:c>
      <x:c r="C393" s="73" t="str">
        <x:v>Капитал акционеров</x:v>
      </x:c>
      <x:c r="D393" s="73" t="str">
        <x:v>Раскрытое значение / ранее внесенное значение</x:v>
      </x:c>
      <x:c r="E393" s="74" t="n">
        <x:v>-153968</x:v>
      </x:c>
      <x:c r="F393" s="73" t="str">
        <x:v>OZON_2026H1.pdf</x:v>
      </x:c>
      <x:c r="G393" s="73" t="str">
        <x:v>PDF стр. 6, 7</x:v>
      </x:c>
      <x:c r="H393" s="73" t="str">
        <x:v>Сверено: капитал акционеров на 30.06.2026 -153 968 млн руб.</x:v>
      </x:c>
      <x:c r="I393" s="69"/>
      <x:c r="J393" s="69"/>
      <x:c r="K393" s="69"/>
    </x:row>
    <x:row r="394" ht="15" hidden="0" customHeight="1">
      <x:c r="A394" t="str">
        <x:v>OZON</x:v>
      </x:c>
      <x:c r="B394" t="str">
        <x:v>1П2026</x:v>
      </x:c>
      <x:c r="C394" s="73" t="str">
        <x:v>Краткосрочный долг</x:v>
      </x:c>
      <x:c r="D394" s="73" t="str">
        <x:v>Раскрытое значение / ранее внесенное значение</x:v>
      </x:c>
      <x:c r="E394" s="74" t="n">
        <x:v>71090</x:v>
      </x:c>
      <x:c r="F394" s="73" t="str">
        <x:v>OZON_2026H1.pdf</x:v>
      </x:c>
      <x:c r="G394" s="73" t="str">
        <x:v>PDF стр. 6, 22</x:v>
      </x:c>
      <x:c r="H394" s="73" t="str">
        <x:v>Сверено: краткосрочные заемные средства 71 090 млн руб.</x:v>
      </x:c>
      <x:c r="I394" s="69"/>
      <x:c r="J394" s="69"/>
      <x:c r="K394" s="69"/>
    </x:row>
    <x:row r="395" ht="15" hidden="0" customHeight="1">
      <x:c r="A395" t="str">
        <x:v>OZON</x:v>
      </x:c>
      <x:c r="B395" t="str">
        <x:v>1П2026</x:v>
      </x:c>
      <x:c r="C395" s="73" t="str">
        <x:v>Долгосрочный долг</x:v>
      </x:c>
      <x:c r="D395" s="73" t="str">
        <x:v>Раскрытое значение / ранее внесенное значение</x:v>
      </x:c>
      <x:c r="E395" s="74" t="n">
        <x:v>14845</x:v>
      </x:c>
      <x:c r="F395" s="73" t="str">
        <x:v>OZON_2026H1.pdf</x:v>
      </x:c>
      <x:c r="G395" s="73" t="str">
        <x:v>PDF стр. 6, 9, 22, 23</x:v>
      </x:c>
      <x:c r="H395" s="73" t="str">
        <x:v>Сверено: долгосрочные заемные средства 14 845 млн руб.</x:v>
      </x:c>
      <x:c r="I395" s="69"/>
      <x:c r="J395" s="69"/>
      <x:c r="K395" s="69"/>
    </x:row>
    <x:row r="396" ht="15" hidden="0" customHeight="1">
      <x:c r="A396" t="str">
        <x:v>OZON</x:v>
      </x:c>
      <x:c r="B396" t="str">
        <x:v>1П2026</x:v>
      </x:c>
      <x:c r="C396" s="73" t="str">
        <x:v>Денежные средства</x:v>
      </x:c>
      <x:c r="D396" s="73" t="str">
        <x:v>Раскрытое значение / ранее внесенное значение</x:v>
      </x:c>
      <x:c r="E396" s="74" t="n">
        <x:v>718700</x:v>
      </x:c>
      <x:c r="F396" s="73" t="str">
        <x:v>OZON_2026H1.pdf</x:v>
      </x:c>
      <x:c r="G396" s="73" t="str">
        <x:v>PDF стр. 6, 9, 16, 28</x:v>
      </x:c>
      <x:c r="H396" s="73" t="str">
        <x:v>Сверено: денежные средства и эквиваленты 718 700 млн руб.</x:v>
      </x:c>
      <x:c r="I396" s="69"/>
      <x:c r="J396" s="69"/>
      <x:c r="K396" s="69"/>
    </x:row>
    <x:row r="397" ht="15" hidden="0" customHeight="1">
      <x:c r="A397" t="str">
        <x:v>OZON</x:v>
      </x:c>
      <x:c r="B397" t="str">
        <x:v>1П2026</x:v>
      </x:c>
      <x:c r="C397" s="73" t="str">
        <x:v>ЧП группы для расчета</x:v>
      </x:c>
      <x:c r="D397" s="73" t="str">
        <x:v>Раскрытое значение / ранее внесенное значение</x:v>
      </x:c>
      <x:c r="E397" s="74" t="n">
        <x:v>14628</x:v>
      </x:c>
      <x:c r="F397" s="73" t="str">
        <x:v>OZON_2026H1.pdf</x:v>
      </x:c>
      <x:c r="G397" s="73" t="str">
        <x:v>PDF стр. 7, 11</x:v>
      </x:c>
      <x:c r="H397" s="73" t="str">
        <x:v>Сверено: прибыль группы 1П2026 14 628 млн руб.</x:v>
      </x:c>
      <x:c r="I397" s="69"/>
      <x:c r="J397" s="69"/>
      <x:c r="K397" s="69"/>
    </x:row>
    <x:row r="398" ht="15" hidden="0" customHeight="1">
      <x:c r="A398" t="str">
        <x:v>OZON</x:v>
      </x:c>
      <x:c r="B398" t="str">
        <x:v>1П2026</x:v>
      </x:c>
      <x:c r="C398" s="73" t="str">
        <x:v>Налог</x:v>
      </x:c>
      <x:c r="D398" s="73" t="str">
        <x:v>Раскрытое значение / ранее внесенное значение</x:v>
      </x:c>
      <x:c r="E398" s="74" t="n">
        <x:v>11617</x:v>
      </x:c>
      <x:c r="F398" s="73" t="str">
        <x:v>OZON_2026H1.pdf</x:v>
      </x:c>
      <x:c r="G398" s="73" t="str">
        <x:v>PDF стр. 11, 15</x:v>
      </x:c>
      <x:c r="H398" s="73" t="str">
        <x:v>Сверено: расходы по налогу на прибыль 11 617 млн руб.</x:v>
      </x:c>
      <x:c r="I398" s="69"/>
      <x:c r="J398" s="69"/>
      <x:c r="K398" s="69"/>
    </x:row>
    <x:row r="399" ht="15" hidden="0" customHeight="1">
      <x:c r="A399" t="str">
        <x:v>OZON</x:v>
      </x:c>
      <x:c r="B399" t="str">
        <x:v>1П2026</x:v>
      </x:c>
      <x:c r="C399" s="73" t="str">
        <x:v>Амортизация</x:v>
      </x:c>
      <x:c r="D399" s="73" t="str">
        <x:v>Раскрытое значение / ранее внесенное значение</x:v>
      </x:c>
      <x:c r="E399" s="74" t="n">
        <x:v>43484</x:v>
      </x:c>
      <x:c r="F399" s="73" t="str">
        <x:v>OZON_2026H1.pdf</x:v>
      </x:c>
      <x:c r="G399" s="73" t="str">
        <x:v>PDF стр. 8, 11, 13</x:v>
      </x:c>
      <x:c r="H399" s="73" t="str">
        <x:v>Сверено: амортизация внеоборотных активов 43 484 млн руб.</x:v>
      </x:c>
      <x:c r="I399" s="69"/>
      <x:c r="J399" s="69"/>
      <x:c r="K399" s="69"/>
    </x:row>
    <x:row r="400" ht="15" hidden="0" customHeight="1">
      <x:c r="A400" t="str">
        <x:v>OZON</x:v>
      </x:c>
      <x:c r="B400" t="str">
        <x:v>1П2026</x:v>
      </x:c>
      <x:c r="C400" s="73" t="str">
        <x:v>Операционная прибыль</x:v>
      </x:c>
      <x:c r="D400" s="73" t="str">
        <x:v>Раскрытое значение / ранее внесенное значение</x:v>
      </x:c>
      <x:c r="E400" s="74" t="n">
        <x:v>57349</x:v>
      </x:c>
      <x:c r="F400" s="73" t="str">
        <x:v>OZON_2026H1.pdf</x:v>
      </x:c>
      <x:c r="G400" s="73" t="str">
        <x:v>PDF стр. 11, 13</x:v>
      </x:c>
      <x:c r="H400" s="73" t="str">
        <x:v>Сверено: операционная прибыль 57 349 млн руб.</x:v>
      </x:c>
      <x:c r="I400" s="69"/>
      <x:c r="J400" s="69"/>
      <x:c r="K400" s="69"/>
    </x:row>
    <x:row r="401" ht="15" hidden="0" customHeight="1">
      <x:c r="A401" t="str">
        <x:v>OZON</x:v>
      </x:c>
      <x:c r="B401" t="str">
        <x:v>1П2026</x:v>
      </x:c>
      <x:c r="C401" s="73" t="str">
        <x:v>Амортизация</x:v>
      </x:c>
      <x:c r="D401" s="73" t="str">
        <x:v>Раскрытое значение / ранее внесенное значение</x:v>
      </x:c>
      <x:c r="E401" s="74" t="n">
        <x:v>43484</x:v>
      </x:c>
      <x:c r="F401" s="73" t="str">
        <x:v>OZON_2026H1.pdf</x:v>
      </x:c>
      <x:c r="G401" s="73" t="str">
        <x:v>PDF стр. 8, 11, 13</x:v>
      </x:c>
      <x:c r="H401" s="73" t="str">
        <x:v>Сверено: амортизация внеоборотных активов 43 484 млн руб.</x:v>
      </x:c>
      <x:c r="I401" s="69"/>
      <x:c r="J401" s="69"/>
      <x:c r="K401" s="69"/>
    </x:row>
    <x:row r="402" ht="15" hidden="0" customHeight="1">
      <x:c r="A402" t="str">
        <x:v>OZON</x:v>
      </x:c>
      <x:c r="B402" t="str">
        <x:v>1П2026</x:v>
      </x:c>
      <x:c r="C402" s="73" t="str">
        <x:v>Арендные обязательства вне кредитов</x:v>
      </x:c>
      <x:c r="D402" s="73" t="str">
        <x:v>Раскрытое значение / ранее внесенное значение</x:v>
      </x:c>
      <x:c r="E402" s="74" t="n">
        <x:v>372033</x:v>
      </x:c>
      <x:c r="F402" s="73" t="str">
        <x:v>OZON_2026H1.pdf</x:v>
      </x:c>
      <x:c r="G402" s="73" t="str">
        <x:v>PDF стр. 28</x:v>
      </x:c>
      <x:c r="H402" s="73" t="str">
        <x:v>Сверено: обязательства по аренде 372 033 млн руб.</x:v>
      </x:c>
      <x:c r="I402" s="69"/>
      <x:c r="J402" s="69"/>
      <x:c r="K402" s="69"/>
    </x:row>
    <x:row r="403" ht="15" hidden="0" customHeight="1">
      <x:c r="A403" t="str">
        <x:v>OZON</x:v>
      </x:c>
      <x:c r="B403" t="str">
        <x:v>1П2026</x:v>
      </x:c>
      <x:c r="C403" s="73" t="str">
        <x:v>Неконтролирующие доли</x:v>
      </x:c>
      <x:c r="D403" s="73" t="str">
        <x:v>Раскрытое значение / ранее внесенное значение</x:v>
      </x:c>
      <x:c r="E403" s="74" t="n">
        <x:v>0</x:v>
      </x:c>
      <x:c r="F403" s="73" t="str">
        <x:v>OZON_2026H1.pdf</x:v>
      </x:c>
      <x:c r="G403" s="73" t="str"/>
      <x:c r="H403" s="73" t="str">
        <x:v>Страница пока не подтверждена</x:v>
      </x:c>
      <x:c r="I403" s="69"/>
      <x:c r="J403" s="69"/>
      <x:c r="K403" s="69"/>
    </x:row>
    <x:row r="404" ht="15" hidden="0" customHeight="1">
      <x:c r="A404" t="str">
        <x:v>X5</x:v>
      </x:c>
      <x:c r="B404" t="str">
        <x:v>1П2026</x:v>
      </x:c>
      <x:c r="C404" s="73" t="str">
        <x:v>ЧД IAS17</x:v>
      </x:c>
      <x:c r="D404" s="73" t="str">
        <x:v>Раскрытое значение / ранее внесенное значение</x:v>
      </x:c>
      <x:c r="E404" s="74" t="n">
        <x:v>310647</x:v>
      </x:c>
      <x:c r="F404" s="73" t="str">
        <x:v>X5_IR_2026H1.pdf</x:v>
      </x:c>
      <x:c r="G404" s="73" t="str">
        <x:v>PDF стр. 12</x:v>
      </x:c>
      <x:c r="H404" s="73" t="str">
        <x:v>Сверено: раскрытый чистый долг до IFRS 16 — 310 647 млн руб.</x:v>
      </x:c>
      <x:c r="I404" s="69"/>
      <x:c r="J404" s="69"/>
      <x:c r="K404" s="69"/>
    </x:row>
    <x:row r="405" ht="15" hidden="0" customHeight="1">
      <x:c r="A405" t="str">
        <x:v>X5</x:v>
      </x:c>
      <x:c r="B405" t="str">
        <x:v>1П2026</x:v>
      </x:c>
      <x:c r="C405" s="73" t="str">
        <x:v>Выручка</x:v>
      </x:c>
      <x:c r="D405" s="73" t="str">
        <x:v>Раскрытое значение / ранее внесенное значение</x:v>
      </x:c>
      <x:c r="E405" s="74" t="n">
        <x:v>2480513</x:v>
      </x:c>
      <x:c r="F405" s="73" t="str">
        <x:v>X5_2026H1.pdf</x:v>
      </x:c>
      <x:c r="G405" s="73" t="str">
        <x:v>PDF стр. 6</x:v>
      </x:c>
      <x:c r="H405" s="73" t="str">
        <x:v>Сверено: консолидированная выручка — 2 480 513 млн руб.</x:v>
      </x:c>
      <x:c r="I405" s="69"/>
      <x:c r="J405" s="69"/>
      <x:c r="K405" s="69"/>
    </x:row>
    <x:row r="406" ht="15" hidden="0" customHeight="1">
      <x:c r="A406" t="str">
        <x:v>X5</x:v>
      </x:c>
      <x:c r="B406" t="str">
        <x:v>1П2026</x:v>
      </x:c>
      <x:c r="C406" s="73" t="str">
        <x:v>EBITDA</x:v>
      </x:c>
      <x:c r="D406" s="73" t="str">
        <x:v>Раскрытое значение / ранее внесенное значение</x:v>
      </x:c>
      <x:c r="E406" s="74" t="n">
        <x:v>227964</x:v>
      </x:c>
      <x:c r="F406" s="73" t="str">
        <x:v>X5_IR_2026H1.pdf</x:v>
      </x:c>
      <x:c r="G406" s="73" t="str">
        <x:v>PDF стр. 15, 17</x:v>
      </x:c>
      <x:c r="H406" s="73" t="str">
        <x:v>Сверено: EBITDA IFRS 16 — 227 964 млн руб.</x:v>
      </x:c>
      <x:c r="I406" s="69"/>
      <x:c r="J406" s="69"/>
      <x:c r="K406" s="69"/>
    </x:row>
    <x:row r="407" ht="15" hidden="0" customHeight="1">
      <x:c r="A407" t="str">
        <x:v>X5</x:v>
      </x:c>
      <x:c r="B407" t="str">
        <x:v>1П2026</x:v>
      </x:c>
      <x:c r="C407" s="73" t="str">
        <x:v>Скорр. EBITDA</x:v>
      </x:c>
      <x:c r="D407" s="73" t="str">
        <x:v>Раскрытое значение / ранее внесенное значение</x:v>
      </x:c>
      <x:c r="E407" s="74" t="n">
        <x:v>232639</x:v>
      </x:c>
      <x:c r="F407" s="73" t="str">
        <x:v>X5_IR_2026H1.pdf</x:v>
      </x:c>
      <x:c r="G407" s="73" t="str">
        <x:v>PDF стр. 15, 17</x:v>
      </x:c>
      <x:c r="H407" s="73" t="str">
        <x:v>Сверено: скорректированная EBITDA IFRS 16 — 232 639 млн руб.</x:v>
      </x:c>
      <x:c r="I407" s="69"/>
      <x:c r="J407" s="69"/>
      <x:c r="K407" s="69"/>
    </x:row>
    <x:row r="408" ht="15" hidden="0" customHeight="1">
      <x:c r="A408" t="str">
        <x:v>X5</x:v>
      </x:c>
      <x:c r="B408" t="str">
        <x:v>1П2026</x:v>
      </x:c>
      <x:c r="C408" s="73" t="str">
        <x:v>EBITDA IAS17</x:v>
      </x:c>
      <x:c r="D408" s="73" t="str">
        <x:v>Раскрытое значение / ранее внесенное значение</x:v>
      </x:c>
      <x:c r="E408" s="74" t="n">
        <x:v>136666</x:v>
      </x:c>
      <x:c r="F408" s="73" t="str">
        <x:v>X5_IR_2026H1.pdf</x:v>
      </x:c>
      <x:c r="G408" s="73" t="str">
        <x:v>PDF стр. 3, 18</x:v>
      </x:c>
      <x:c r="H408" s="73" t="str">
        <x:v>Сверено: EBITDA до IFRS 16 — 136 666 млн руб.</x:v>
      </x:c>
      <x:c r="I408" s="69"/>
      <x:c r="J408" s="69"/>
      <x:c r="K408" s="69"/>
    </x:row>
    <x:row r="409" ht="15" hidden="0" customHeight="1">
      <x:c r="A409" t="str">
        <x:v>X5</x:v>
      </x:c>
      <x:c r="B409" t="str">
        <x:v>1П2026</x:v>
      </x:c>
      <x:c r="C409" s="73" t="str">
        <x:v>ЧП акционеров</x:v>
      </x:c>
      <x:c r="D409" s="73" t="str">
        <x:v>Раскрытое значение / ранее внесенное значение</x:v>
      </x:c>
      <x:c r="E409" s="74" t="n">
        <x:v>25754</x:v>
      </x:c>
      <x:c r="F409" s="73" t="str">
        <x:v>X5_2026H1.pdf</x:v>
      </x:c>
      <x:c r="G409" s="73" t="str">
        <x:v>PDF стр. 6</x:v>
      </x:c>
      <x:c r="H409" s="73" t="str">
        <x:v>Сверено: прибыль, относимая к акционерам, — 25 754 млн руб.</x:v>
      </x:c>
      <x:c r="I409" s="69"/>
      <x:c r="J409" s="69"/>
      <x:c r="K409" s="69"/>
    </x:row>
    <x:row r="410" ht="15" hidden="0" customHeight="1">
      <x:c r="A410" t="str">
        <x:v>X5</x:v>
      </x:c>
      <x:c r="B410" t="str">
        <x:v>1П2026</x:v>
      </x:c>
      <x:c r="C410" s="73" t="str">
        <x:v>Капитал акционеров</x:v>
      </x:c>
      <x:c r="D410" s="73" t="str">
        <x:v>Раскрытое значение / ранее внесенное значение</x:v>
      </x:c>
      <x:c r="E410" s="74" t="n">
        <x:v>64268</x:v>
      </x:c>
      <x:c r="F410" s="73" t="str">
        <x:v>X5_2026H1.pdf</x:v>
      </x:c>
      <x:c r="G410" s="73" t="str">
        <x:v>PDF стр. 5</x:v>
      </x:c>
      <x:c r="H410" s="73" t="str">
        <x:v>Сверено: капитал, относимый к акционерам, — 64 268 млн руб.</x:v>
      </x:c>
      <x:c r="I410" s="69"/>
      <x:c r="J410" s="69"/>
      <x:c r="K410" s="69"/>
    </x:row>
    <x:row r="411" ht="15" hidden="0" customHeight="1">
      <x:c r="A411" t="str">
        <x:v>X5</x:v>
      </x:c>
      <x:c r="B411" t="str">
        <x:v>1П2026</x:v>
      </x:c>
      <x:c r="C411" s="73" t="str">
        <x:v>Краткосрочный долг</x:v>
      </x:c>
      <x:c r="D411" s="73" t="str">
        <x:v>Раскрытое значение / ранее внесенное значение</x:v>
      </x:c>
      <x:c r="E411" s="74" t="n">
        <x:v>127305</x:v>
      </x:c>
      <x:c r="F411" s="73" t="str">
        <x:v>X5_IR_2026H1.pdf</x:v>
      </x:c>
      <x:c r="G411" s="73" t="str">
        <x:v>PDF стр. 12</x:v>
      </x:c>
      <x:c r="H411" s="73" t="str">
        <x:v>Сверено: краткосрочный долг — 127 305 млн руб.</x:v>
      </x:c>
      <x:c r="I411" s="69"/>
      <x:c r="J411" s="69"/>
      <x:c r="K411" s="69"/>
    </x:row>
    <x:row r="412" ht="15" hidden="0" customHeight="1">
      <x:c r="A412" t="str">
        <x:v>X5</x:v>
      </x:c>
      <x:c r="B412" t="str">
        <x:v>1П2026</x:v>
      </x:c>
      <x:c r="C412" s="73" t="str">
        <x:v>Долгосрочный долг</x:v>
      </x:c>
      <x:c r="D412" s="73" t="str">
        <x:v>Раскрытое значение / ранее внесенное значение</x:v>
      </x:c>
      <x:c r="E412" s="74" t="n">
        <x:v>308552</x:v>
      </x:c>
      <x:c r="F412" s="73" t="str">
        <x:v>X5_IR_2026H1.pdf</x:v>
      </x:c>
      <x:c r="G412" s="73" t="str">
        <x:v>PDF стр. 12</x:v>
      </x:c>
      <x:c r="H412" s="73" t="str">
        <x:v>Сверено: долгосрочный долг — 308 552 млн руб.</x:v>
      </x:c>
      <x:c r="I412" s="69"/>
      <x:c r="J412" s="69"/>
      <x:c r="K412" s="69"/>
    </x:row>
    <x:row r="413" ht="15" hidden="0" customHeight="1">
      <x:c r="A413" t="str">
        <x:v>X5</x:v>
      </x:c>
      <x:c r="B413" t="str">
        <x:v>1П2026</x:v>
      </x:c>
      <x:c r="C413" s="73" t="str">
        <x:v>Денежные средства</x:v>
      </x:c>
      <x:c r="D413" s="73" t="str">
        <x:v>Раскрытое значение / ранее внесенное значение</x:v>
      </x:c>
      <x:c r="E413" s="74" t="n">
        <x:v>125210</x:v>
      </x:c>
      <x:c r="F413" s="73" t="str">
        <x:v>X5_2026H1.pdf</x:v>
      </x:c>
      <x:c r="G413" s="73" t="str">
        <x:v>PDF стр. 5</x:v>
      </x:c>
      <x:c r="H413" s="73" t="str">
        <x:v>Сверено: денежные средства и эквиваленты — 125 210 млн руб.</x:v>
      </x:c>
      <x:c r="I413" s="69"/>
      <x:c r="J413" s="69"/>
      <x:c r="K413" s="69"/>
    </x:row>
    <x:row r="414" ht="15" hidden="0" customHeight="1">
      <x:c r="A414" t="str">
        <x:v>X5</x:v>
      </x:c>
      <x:c r="B414" t="str">
        <x:v>1П2026</x:v>
      </x:c>
      <x:c r="C414" s="73" t="str">
        <x:v>Арендные обязательства вне кредитов</x:v>
      </x:c>
      <x:c r="D414" s="73" t="str">
        <x:v>Раскрытое значение / ранее внесенное значение</x:v>
      </x:c>
      <x:c r="E414" s="74" t="n">
        <x:v>742991</x:v>
      </x:c>
      <x:c r="F414" s="73" t="str">
        <x:v>X5_IR_2026H1.pdf</x:v>
      </x:c>
      <x:c r="G414" s="73" t="str">
        <x:v>PDF стр. 12</x:v>
      </x:c>
      <x:c r="H414" s="73" t="str">
        <x:v>Сверено: обязательства по аренде — 742 991 млн руб.; показаны отдельно и включены в ЧД IFRS 16; также подтверждены X5_2026H1.pdf, стр. 5</x:v>
      </x:c>
      <x:c r="I414" s="69"/>
      <x:c r="J414" s="69"/>
      <x:c r="K414" s="69"/>
    </x:row>
    <x:row r="415" ht="15" hidden="0" customHeight="1">
      <x:c r="A415" t="str">
        <x:v>X5</x:v>
      </x:c>
      <x:c r="B415" t="str">
        <x:v>1П2026</x:v>
      </x:c>
      <x:c r="C415" s="73" t="str">
        <x:v>Неконтролирующие доли</x:v>
      </x:c>
      <x:c r="D415" s="73" t="str">
        <x:v>Раскрытое значение / ранее внесенное значение</x:v>
      </x:c>
      <x:c r="E415" s="74" t="n">
        <x:v>0</x:v>
      </x:c>
      <x:c r="F415" s="73" t="str">
        <x:v>X5_2026H1.pdf</x:v>
      </x:c>
      <x:c r="G415" s="73" t="str">
        <x:v>PDF стр. 5</x:v>
      </x:c>
      <x:c r="H415" s="73" t="str">
        <x:v>Сверено: отдельной неконтролирующей доли в капитале нет; итого капитал равен капиталу акционеров</x:v>
      </x:c>
      <x:c r="I415" s="69"/>
      <x:c r="J415" s="69"/>
      <x:c r="K415" s="69"/>
    </x:row>
    <x:row r="416" ht="15" hidden="0" customHeight="1">
      <x:c r="A416" t="str">
        <x:v>X5</x:v>
      </x:c>
      <x:c r="B416" t="str">
        <x:v>1П2026</x:v>
      </x:c>
      <x:c r="C416" s="73" t="str">
        <x:v>Скорр. EBITDA IAS17</x:v>
      </x:c>
      <x:c r="D416" s="73" t="str">
        <x:v>Раскрытое значение / ранее внесенное значение</x:v>
      </x:c>
      <x:c r="E416" s="74" t="n">
        <x:v>141341</x:v>
      </x:c>
      <x:c r="F416" s="73" t="str">
        <x:v>X5_IR_2026H1.pdf</x:v>
      </x:c>
      <x:c r="G416" s="73" t="str">
        <x:v>PDF стр. 3</x:v>
      </x:c>
      <x:c r="H416" s="73" t="str">
        <x:v>Сверено: скорректированная EBITDA до IFRS 16 — 141 341 млн руб.</x:v>
      </x:c>
      <x:c r="I416" s="69"/>
      <x:c r="J416" s="69"/>
      <x:c r="K416" s="69"/>
    </x:row>
    <x:row r="417" ht="15" hidden="0" customHeight="1">
      <x:c r="A417" t="str">
        <x:v>ROSN</x:v>
      </x:c>
      <x:c r="B417" t="str">
        <x:v>1П2026</x:v>
      </x:c>
      <x:c r="C417" s="73" t="str">
        <x:v>Выручка</x:v>
      </x:c>
      <x:c r="D417" s="73" t="str">
        <x:v>Раскрытое значение / ранее внесенное значение</x:v>
      </x:c>
      <x:c r="E417" s="74" t="n">
        <x:v>4289000</x:v>
      </x:c>
      <x:c r="F417" s="73" t="str">
        <x:v>ROSN_2026H1.pdf</x:v>
      </x:c>
      <x:c r="G417" s="73" t="str">
        <x:v>PDF стр. 6</x:v>
      </x:c>
      <x:c r="H417" s="73" t="str">
        <x:v>Сверено: выручка от реализации и доход от ассоциированных организаций и СП — 4 289 000 млн руб.</x:v>
      </x:c>
      <x:c r="I417" s="69"/>
      <x:c r="J417" s="69"/>
      <x:c r="K417" s="69"/>
    </x:row>
    <x:row r="418" ht="15" hidden="0" customHeight="1">
      <x:c r="A418" t="str">
        <x:v>ROSN</x:v>
      </x:c>
      <x:c r="B418" t="str">
        <x:v>1П2026</x:v>
      </x:c>
      <x:c r="C418" s="73" t="str">
        <x:v>EBITDA</x:v>
      </x:c>
      <x:c r="D418" s="73" t="str">
        <x:v>Раскрытое значение / ранее внесенное значение</x:v>
      </x:c>
      <x:c r="E418" s="74" t="n">
        <x:v>1296000</x:v>
      </x:c>
      <x:c r="F418" s="73" t="str">
        <x:v>Официальный IR-релиз Роснефти от 28.08.2026</x:v>
      </x:c>
      <x:c r="G418" s="73" t="str">
        <x:v>веб-страница</x:v>
      </x:c>
      <x:c r="H418" s="73" t="str">
        <x:v>Сверено: EBITDA 1П2026 — 1 296 000 млн руб.; отдельная скорректированная версия не раскрыта. https://www.rosneft.ru/press/releases/item/224606/</x:v>
      </x:c>
      <x:c r="I418" s="69"/>
      <x:c r="J418" s="69"/>
      <x:c r="K418" s="69"/>
    </x:row>
    <x:row r="419" ht="15" hidden="0" customHeight="1">
      <x:c r="A419" t="str">
        <x:v>ROSN</x:v>
      </x:c>
      <x:c r="B419" t="str">
        <x:v>1П2026</x:v>
      </x:c>
      <x:c r="C419" s="73" t="str">
        <x:v>ЧП акционеров</x:v>
      </x:c>
      <x:c r="D419" s="73" t="str">
        <x:v>Раскрытое значение / ранее внесенное значение</x:v>
      </x:c>
      <x:c r="E419" s="74" t="n">
        <x:v>200000</x:v>
      </x:c>
      <x:c r="F419" s="73" t="str">
        <x:v>ROSN_2026H1.pdf</x:v>
      </x:c>
      <x:c r="G419" s="73" t="str">
        <x:v>PDF стр. 6</x:v>
      </x:c>
      <x:c r="H419" s="73" t="str">
        <x:v>Сверено: прибыль, относящаяся к акционерам ПАО «НК «Роснефть», — 200 000 млн руб.</x:v>
      </x:c>
      <x:c r="I419" s="69"/>
      <x:c r="J419" s="69"/>
      <x:c r="K419" s="69"/>
    </x:row>
    <x:row r="420" ht="15" hidden="0" customHeight="1">
      <x:c r="A420" t="str">
        <x:v>ROSN</x:v>
      </x:c>
      <x:c r="B420" t="str">
        <x:v>1П2026</x:v>
      </x:c>
      <x:c r="C420" s="73" t="str">
        <x:v>Общий капитал</x:v>
      </x:c>
      <x:c r="D420" s="73" t="str">
        <x:v>Раскрытое значение / ранее внесенное значение</x:v>
      </x:c>
      <x:c r="E420" s="74" t="n">
        <x:v>9285000</x:v>
      </x:c>
      <x:c r="F420" s="73" t="str">
        <x:v>ROSN_2026H1.pdf</x:v>
      </x:c>
      <x:c r="G420" s="73" t="str">
        <x:v>PDF стр. 5</x:v>
      </x:c>
      <x:c r="H420" s="73" t="str">
        <x:v>Сверено: общий капитал — 9 285 000 млн руб.; неконтролирующая доля отдельно не раскрыта.</x:v>
      </x:c>
      <x:c r="I420" s="69"/>
      <x:c r="J420" s="69"/>
      <x:c r="K420" s="69"/>
    </x:row>
    <x:row r="421" ht="15" hidden="0" customHeight="1">
      <x:c r="A421" t="str">
        <x:v>PLZL</x:v>
      </x:c>
      <x:c r="B421" t="str">
        <x:v>1П2026</x:v>
      </x:c>
      <x:c r="C421" s="73" t="str">
        <x:v>Выручка</x:v>
      </x:c>
      <x:c r="D421" s="73" t="str">
        <x:v>Раскрытое значение / ранее внесенное значение</x:v>
      </x:c>
      <x:c r="E421" s="74" t="n">
        <x:v>352667</x:v>
      </x:c>
      <x:c r="F421" s="73" t="str">
        <x:v>PLZL_2026H1.pdf</x:v>
      </x:c>
      <x:c r="G421" s="73" t="str">
        <x:v>PDF стр. 6</x:v>
      </x:c>
      <x:c r="H421" s="73" t="str">
        <x:v>Сверено: выручка 352 667 млн руб.</x:v>
      </x:c>
      <x:c r="I421" s="69"/>
      <x:c r="J421" s="69"/>
      <x:c r="K421" s="69"/>
    </x:row>
    <x:row r="422" ht="15" hidden="0" customHeight="1">
      <x:c r="A422" t="str">
        <x:v>PLZL</x:v>
      </x:c>
      <x:c r="B422" t="str">
        <x:v>1П2026</x:v>
      </x:c>
      <x:c r="C422" s="73" t="str">
        <x:v>ЧП акционеров</x:v>
      </x:c>
      <x:c r="D422" s="73" t="str">
        <x:v>Раскрытое значение / ранее внесенное значение</x:v>
      </x:c>
      <x:c r="E422" s="74" t="n">
        <x:v>61236</x:v>
      </x:c>
      <x:c r="F422" s="73" t="str">
        <x:v>PLZL_2026H1.pdf</x:v>
      </x:c>
      <x:c r="G422" s="73" t="str">
        <x:v>PDF стр. 6, 8</x:v>
      </x:c>
      <x:c r="H422" s="73" t="str">
        <x:v>Сверено: прибыль, относящаяся к акционерам Компании, 61 236 млн руб.; прибыль группы 61 234 млн руб. не использована.</x:v>
      </x:c>
      <x:c r="I422" s="69"/>
      <x:c r="J422" s="69"/>
      <x:c r="K422" s="69"/>
    </x:row>
    <x:row r="423" ht="15" hidden="0" customHeight="1">
      <x:c r="A423" t="str">
        <x:v>PLZL</x:v>
      </x:c>
      <x:c r="B423" t="str">
        <x:v>1П2026</x:v>
      </x:c>
      <x:c r="C423" s="73" t="str">
        <x:v>Капитал акционеров</x:v>
      </x:c>
      <x:c r="D423" s="73" t="str">
        <x:v>Раскрытое значение / ранее внесенное значение</x:v>
      </x:c>
      <x:c r="E423" s="74" t="n">
        <x:v>252831</x:v>
      </x:c>
      <x:c r="F423" s="73" t="str">
        <x:v>PLZL_2026H1.pdf</x:v>
      </x:c>
      <x:c r="G423" s="73" t="str">
        <x:v>PDF стр. 7, 8</x:v>
      </x:c>
      <x:c r="H423" s="73" t="str">
        <x:v>Сверено: капитал акционеров материнской компании на 30.06.2026 — 252 831 млн руб.</x:v>
      </x:c>
      <x:c r="I423" s="69"/>
      <x:c r="J423" s="69"/>
      <x:c r="K423" s="69"/>
    </x:row>
    <x:row r="424" ht="15" hidden="0" customHeight="1">
      <x:c r="A424" t="str">
        <x:v>PLZL</x:v>
      </x:c>
      <x:c r="B424" t="str">
        <x:v>1П2026</x:v>
      </x:c>
      <x:c r="C424" s="73" t="str">
        <x:v>Неконтролирующие доли</x:v>
      </x:c>
      <x:c r="D424" s="73" t="str">
        <x:v>Раскрытое значение / ранее внесенное значение</x:v>
      </x:c>
      <x:c r="E424" s="74" t="n">
        <x:v>0</x:v>
      </x:c>
      <x:c r="F424" s="73" t="str">
        <x:v>PLZL_2026H1.pdf</x:v>
      </x:c>
      <x:c r="G424" s="73" t="str">
        <x:v>PDF стр. 7, 8</x:v>
      </x:c>
      <x:c r="H424" s="73" t="str">
        <x:v>Сверено: доля неконтролирующих акционеров на 30.06.2026 отсутствует; значение 0 подтверждено таблицей изменений капитала.</x:v>
      </x:c>
      <x:c r="I424" s="69"/>
      <x:c r="J424" s="69"/>
      <x:c r="K424" s="69"/>
    </x:row>
    <x:row r="425" ht="15" hidden="0" customHeight="1">
      <x:c r="A425" t="str">
        <x:v>HEAD</x:v>
      </x:c>
      <x:c r="B425" t="str">
        <x:v>1П2026</x:v>
      </x:c>
      <x:c r="C425" s="73" t="str">
        <x:v>Выручка</x:v>
      </x:c>
      <x:c r="D425" s="73" t="str">
        <x:v>Раскрытое значение / ранее внесенное значение</x:v>
      </x:c>
      <x:c r="E425" s="74" t="n">
        <x:v>19641.466</x:v>
      </x:c>
      <x:c r="F425" s="73" t="str">
        <x:v>HEAD_2026H1.pdf</x:v>
      </x:c>
      <x:c r="G425" s="73" t="str">
        <x:v>PDF стр. 6, 15, 17</x:v>
      </x:c>
      <x:c r="H425" s="73" t="str">
        <x:v>Сверено: выручка 1П2026 19 641,466 млн руб.</x:v>
      </x:c>
      <x:c r="I425" s="69"/>
      <x:c r="J425" s="69"/>
      <x:c r="K425" s="69"/>
    </x:row>
    <x:row r="426" ht="15" hidden="0" customHeight="1">
      <x:c r="A426" t="str">
        <x:v>HEAD</x:v>
      </x:c>
      <x:c r="B426" t="str">
        <x:v>1П2026</x:v>
      </x:c>
      <x:c r="C426" s="73" t="str">
        <x:v>Скорр. EBITDA</x:v>
      </x:c>
      <x:c r="D426" s="73" t="str">
        <x:v>Раскрытое значение / ранее внесенное значение</x:v>
      </x:c>
      <x:c r="E426" s="74" t="n">
        <x:v>9812.685</x:v>
      </x:c>
      <x:c r="F426" s="73" t="str">
        <x:v>HEAD_2026H1.pdf</x:v>
      </x:c>
      <x:c r="G426" s="73" t="str">
        <x:v>PDF стр. 15</x:v>
      </x:c>
      <x:c r="H426" s="73" t="str">
        <x:v>Сверено: EBITDA по сегменту 9 812,685 млн руб.; классифицирована как скорректированная EBITDA.</x:v>
      </x:c>
      <x:c r="I426" s="69"/>
      <x:c r="J426" s="69"/>
      <x:c r="K426" s="69"/>
    </x:row>
    <x:row r="427" ht="15" hidden="0" customHeight="1">
      <x:c r="A427" t="str">
        <x:v>HEAD</x:v>
      </x:c>
      <x:c r="B427" t="str">
        <x:v>1П2026</x:v>
      </x:c>
      <x:c r="C427" s="73" t="str">
        <x:v>ЧП акционеров</x:v>
      </x:c>
      <x:c r="D427" s="73" t="str">
        <x:v>Раскрытое значение / ранее внесенное значение</x:v>
      </x:c>
      <x:c r="E427" s="74" t="n">
        <x:v>6900.047</x:v>
      </x:c>
      <x:c r="F427" s="73" t="str">
        <x:v>HEAD_2026H1.pdf</x:v>
      </x:c>
      <x:c r="G427" s="73" t="str">
        <x:v>PDF стр. 6, 7</x:v>
      </x:c>
      <x:c r="H427" s="73" t="str">
        <x:v>Сверено: прибыль собственников Компании 6 900,047 млн руб.</x:v>
      </x:c>
      <x:c r="I427" s="69"/>
      <x:c r="J427" s="69"/>
      <x:c r="K427" s="69"/>
    </x:row>
    <x:row r="428" ht="15" hidden="0" customHeight="1">
      <x:c r="A428" t="str">
        <x:v>HEAD</x:v>
      </x:c>
      <x:c r="B428" t="str">
        <x:v>1П2026</x:v>
      </x:c>
      <x:c r="C428" s="73" t="str">
        <x:v>Капитал акционеров</x:v>
      </x:c>
      <x:c r="D428" s="73" t="str">
        <x:v>Раскрытое значение / ранее внесенное значение</x:v>
      </x:c>
      <x:c r="E428" s="74" t="n">
        <x:v>-633.455</x:v>
      </x:c>
      <x:c r="F428" s="73" t="str">
        <x:v>HEAD_2026H1.pdf</x:v>
      </x:c>
      <x:c r="G428" s="73" t="str">
        <x:v>PDF стр. 5, 7</x:v>
      </x:c>
      <x:c r="H428" s="73" t="str">
        <x:v>Сверено: капитал собственников Компании на 30.06.2026 минус 633,455 млн руб.; НКД 10 501,420 млн руб. показана отдельно.</x:v>
      </x:c>
      <x:c r="I428" s="69"/>
      <x:c r="J428" s="69"/>
      <x:c r="K428" s="69"/>
    </x:row>
    <x:row r="429" ht="15" hidden="0" customHeight="1">
      <x:c r="A429" t="str">
        <x:v>HEAD</x:v>
      </x:c>
      <x:c r="B429" t="str">
        <x:v>1П2026</x:v>
      </x:c>
      <x:c r="C429" s="73" t="str">
        <x:v>Краткосрочный долг</x:v>
      </x:c>
      <x:c r="D429" s="73" t="str">
        <x:v>Раскрытое значение / ранее внесенное значение</x:v>
      </x:c>
      <x:c r="E429" s="74" t="n">
        <x:v>0</x:v>
      </x:c>
      <x:c r="F429" s="73" t="str">
        <x:v>HEAD_2026H1.pdf</x:v>
      </x:c>
      <x:c r="G429" s="73" t="str">
        <x:v>PDF стр. 5</x:v>
      </x:c>
      <x:c r="H429" s="73" t="str">
        <x:v>Сверено: кредиты и займы на 30.06.2026 отсутствуют.</x:v>
      </x:c>
      <x:c r="I429" s="69"/>
      <x:c r="J429" s="69"/>
      <x:c r="K429" s="69"/>
    </x:row>
    <x:row r="430" ht="15" hidden="0" customHeight="1">
      <x:c r="A430" t="str">
        <x:v>HEAD</x:v>
      </x:c>
      <x:c r="B430" t="str">
        <x:v>1П2026</x:v>
      </x:c>
      <x:c r="C430" s="73" t="str">
        <x:v>Долгосрочный долг</x:v>
      </x:c>
      <x:c r="D430" s="73" t="str">
        <x:v>Раскрытое значение / ранее внесенное значение</x:v>
      </x:c>
      <x:c r="E430" s="74" t="n">
        <x:v>0</x:v>
      </x:c>
      <x:c r="F430" s="73" t="str">
        <x:v>HEAD_2026H1.pdf</x:v>
      </x:c>
      <x:c r="G430" s="73" t="str">
        <x:v>5</x:v>
      </x:c>
      <x:c r="H430" s="73" t="str">
        <x:v>Сверено с таблицей отчета</x:v>
      </x:c>
      <x:c r="I430" s="69"/>
      <x:c r="J430" s="69"/>
      <x:c r="K430" s="69"/>
    </x:row>
    <x:row r="431" ht="15" hidden="0" customHeight="1">
      <x:c r="A431" t="str">
        <x:v>HEAD</x:v>
      </x:c>
      <x:c r="B431" t="str">
        <x:v>1П2026</x:v>
      </x:c>
      <x:c r="C431" s="73" t="str">
        <x:v>Денежные средства</x:v>
      </x:c>
      <x:c r="D431" s="73" t="str">
        <x:v>Раскрытое значение / ранее внесенное значение</x:v>
      </x:c>
      <x:c r="E431" s="74" t="n">
        <x:v>7788.118</x:v>
      </x:c>
      <x:c r="F431" s="73" t="str">
        <x:v>HEAD_2026H1.pdf</x:v>
      </x:c>
      <x:c r="G431" s="73" t="str">
        <x:v>PDF стр. 5</x:v>
      </x:c>
      <x:c r="H431" s="73" t="str">
        <x:v>Сверено: денежные средства 7 788,118 млн руб.</x:v>
      </x:c>
      <x:c r="I431" s="69"/>
      <x:c r="J431" s="69"/>
      <x:c r="K431" s="69"/>
    </x:row>
    <x:row r="432" ht="15" hidden="0" customHeight="1">
      <x:c r="A432" t="str">
        <x:v>HEAD</x:v>
      </x:c>
      <x:c r="B432" t="str">
        <x:v>1П2026</x:v>
      </x:c>
      <x:c r="C432" s="73" t="str">
        <x:v>Процентные доходы</x:v>
      </x:c>
      <x:c r="D432" s="73" t="str">
        <x:v>Раскрытое значение / ранее внесенное значение</x:v>
      </x:c>
      <x:c r="E432" s="74" t="n">
        <x:v>609.923</x:v>
      </x:c>
      <x:c r="F432" s="73" t="str">
        <x:v>HEAD_2026H1.pdf</x:v>
      </x:c>
      <x:c r="G432" s="73" t="str">
        <x:v>PDF стр. 15</x:v>
      </x:c>
      <x:c r="H432" s="73" t="str">
        <x:v>Сверено: чистые финансовые доходы 609,923 млн руб.</x:v>
      </x:c>
      <x:c r="I432" s="69"/>
      <x:c r="J432" s="69"/>
      <x:c r="K432" s="69"/>
    </x:row>
    <x:row r="433" ht="15" hidden="0" customHeight="1">
      <x:c r="A433" t="str">
        <x:v>HEAD</x:v>
      </x:c>
      <x:c r="B433" t="str">
        <x:v>1П2026</x:v>
      </x:c>
      <x:c r="C433" s="73" t="str">
        <x:v>Амортизация</x:v>
      </x:c>
      <x:c r="D433" s="73" t="str">
        <x:v>Раскрытое значение / ранее внесенное значение</x:v>
      </x:c>
      <x:c r="E433" s="74" t="n">
        <x:v>895.111</x:v>
      </x:c>
      <x:c r="F433" s="73" t="str">
        <x:v>HEAD_2026H1.pdf</x:v>
      </x:c>
      <x:c r="G433" s="73" t="str">
        <x:v>PDF стр. 15</x:v>
      </x:c>
      <x:c r="H433" s="73" t="str">
        <x:v>Сверено: износ и амортизация 895,111 млн руб.</x:v>
      </x:c>
      <x:c r="I433" s="69"/>
      <x:c r="J433" s="69"/>
      <x:c r="K433" s="69"/>
    </x:row>
    <x:row r="434" ht="15" hidden="0" customHeight="1">
      <x:c r="A434" t="str">
        <x:v>HEAD</x:v>
      </x:c>
      <x:c r="B434" t="str">
        <x:v>1П2026</x:v>
      </x:c>
      <x:c r="C434" s="73" t="str">
        <x:v>Арендные обязательства вне кредитов</x:v>
      </x:c>
      <x:c r="D434" s="73" t="str">
        <x:v>Раскрытое значение / ранее внесенное значение</x:v>
      </x:c>
      <x:c r="E434" s="74" t="n">
        <x:v>3232.6749999999997</x:v>
      </x:c>
      <x:c r="F434" s="73" t="str">
        <x:v>HEAD_2026H1.pdf</x:v>
      </x:c>
      <x:c r="G434" s="73" t="str">
        <x:v>PDF стр. 5</x:v>
      </x:c>
      <x:c r="H434" s="73" t="str">
        <x:v>Сверено: обязательства по аренде 3 232,675 млн руб.</x:v>
      </x:c>
      <x:c r="I434" s="69"/>
      <x:c r="J434" s="69"/>
      <x:c r="K434" s="69"/>
    </x:row>
    <x:row r="435" ht="15" hidden="0" customHeight="1">
      <x:c r="A435" t="str">
        <x:v>HEAD</x:v>
      </x:c>
      <x:c r="B435" t="str">
        <x:v>1П2026</x:v>
      </x:c>
      <x:c r="C435" s="73" t="str">
        <x:v>Неконтролирующие доли</x:v>
      </x:c>
      <x:c r="D435" s="73" t="str">
        <x:v>Раскрытое значение / ранее внесенное значение</x:v>
      </x:c>
      <x:c r="E435" s="74" t="n">
        <x:v>10501.42</x:v>
      </x:c>
      <x:c r="F435" s="73" t="str">
        <x:v>HEAD_2026H1.pdf</x:v>
      </x:c>
      <x:c r="G435" s="73" t="str">
        <x:v>PDF стр. 5, 7</x:v>
      </x:c>
      <x:c r="H435" s="73" t="str">
        <x:v>Сверено: неконтролирующая доля 10 501,420 млн руб.</x:v>
      </x:c>
      <x:c r="I435" s="69"/>
      <x:c r="J435" s="69"/>
      <x:c r="K435" s="69"/>
    </x:row>
    <x:row r="436" ht="15" hidden="0" customHeight="1">
      <x:c r="A436" t="str">
        <x:v>MTSS</x:v>
      </x:c>
      <x:c r="B436" t="str">
        <x:v>1П2026</x:v>
      </x:c>
      <x:c r="C436" s="73" t="str">
        <x:v>Выручка</x:v>
      </x:c>
      <x:c r="D436" s="73" t="str">
        <x:v>Раскрытое значение / ранее внесенное значение</x:v>
      </x:c>
      <x:c r="E436" s="74" t="n">
        <x:v>414729</x:v>
      </x:c>
      <x:c r="F436" s="73" t="str">
        <x:v>MTSS_2026H1.pdf</x:v>
      </x:c>
      <x:c r="G436" s="73" t="str">
        <x:v>7, 15, 16</x:v>
      </x:c>
      <x:c r="H436" s="73" t="str">
        <x:v>Страница найдена по сумме; определение требует сверки</x:v>
      </x:c>
      <x:c r="I436" s="69"/>
      <x:c r="J436" s="69"/>
      <x:c r="K436" s="69"/>
    </x:row>
    <x:row r="437" ht="15" hidden="0" customHeight="1">
      <x:c r="A437" t="str">
        <x:v>MTSS</x:v>
      </x:c>
      <x:c r="B437" t="str">
        <x:v>1П2026</x:v>
      </x:c>
      <x:c r="C437" s="73" t="str">
        <x:v>OIBDA</x:v>
      </x:c>
      <x:c r="D437" s="73" t="str">
        <x:v>Раскрытое значение / ранее внесенное значение</x:v>
      </x:c>
      <x:c r="E437" s="74" t="n">
        <x:v>159346</x:v>
      </x:c>
      <x:c r="F437" s="73" t="str">
        <x:v>MTSS_2026H1.pdf</x:v>
      </x:c>
      <x:c r="G437" s="73" t="str">
        <x:v>15</x:v>
      </x:c>
      <x:c r="H437" s="73" t="str">
        <x:v>Страница найдена по сумме; определение требует сверки</x:v>
      </x:c>
      <x:c r="I437" s="69"/>
      <x:c r="J437" s="69"/>
      <x:c r="K437" s="69"/>
    </x:row>
    <x:row r="438" ht="15" hidden="0" customHeight="1">
      <x:c r="A438" t="str">
        <x:v>MTSS</x:v>
      </x:c>
      <x:c r="B438" t="str">
        <x:v>1П2026</x:v>
      </x:c>
      <x:c r="C438" s="73" t="str">
        <x:v>ЧП акционеров</x:v>
      </x:c>
      <x:c r="D438" s="73" t="str">
        <x:v>Раскрытое значение / ранее внесенное значение</x:v>
      </x:c>
      <x:c r="E438" s="74" t="n">
        <x:v>74030</x:v>
      </x:c>
      <x:c r="F438" s="73" t="str">
        <x:v>MTSS_2026H1.pdf</x:v>
      </x:c>
      <x:c r="G438" s="73" t="str">
        <x:v>7, 9</x:v>
      </x:c>
      <x:c r="H438" s="73" t="str">
        <x:v>Страница найдена по сумме; определение требует сверки</x:v>
      </x:c>
      <x:c r="I438" s="69"/>
      <x:c r="J438" s="69"/>
      <x:c r="K438" s="69"/>
    </x:row>
    <x:row r="439" ht="15" hidden="0" customHeight="1">
      <x:c r="A439" t="str">
        <x:v>MTSS</x:v>
      </x:c>
      <x:c r="B439" t="str">
        <x:v>1П2026</x:v>
      </x:c>
      <x:c r="C439" s="73" t="str">
        <x:v>Капитал акционеров</x:v>
      </x:c>
      <x:c r="D439" s="73" t="str">
        <x:v>Раскрытое значение / ранее внесенное значение</x:v>
      </x:c>
      <x:c r="E439" s="74" t="n">
        <x:v>4142</x:v>
      </x:c>
      <x:c r="F439" s="73" t="str">
        <x:v>MTSS_2026H1.pdf</x:v>
      </x:c>
      <x:c r="G439" s="73" t="str">
        <x:v>6, 9</x:v>
      </x:c>
      <x:c r="H439" s="73" t="str">
        <x:v>Страница найдена по сумме; определение требует сверки</x:v>
      </x:c>
      <x:c r="I439" s="69"/>
      <x:c r="J439" s="69"/>
      <x:c r="K439" s="69"/>
    </x:row>
    <x:row r="440" ht="15" hidden="0" customHeight="1">
      <x:c r="A440" t="str">
        <x:v>MTSS</x:v>
      </x:c>
      <x:c r="B440" t="str">
        <x:v>1П2026</x:v>
      </x:c>
      <x:c r="C440" s="73" t="str">
        <x:v>Неконтролирующие доли</x:v>
      </x:c>
      <x:c r="D440" s="73" t="str">
        <x:v>Раскрытое значение / ранее внесенное значение</x:v>
      </x:c>
      <x:c r="E440" s="74" t="n">
        <x:v>30520</x:v>
      </x:c>
      <x:c r="F440" s="73" t="str">
        <x:v>MTSS_2026H1.pdf</x:v>
      </x:c>
      <x:c r="G440" s="73" t="str">
        <x:v>6, 9</x:v>
      </x:c>
      <x:c r="H440" s="73" t="str">
        <x:v>Страница найдена по сумме; определение требует сверки</x:v>
      </x:c>
      <x:c r="I440" s="69"/>
      <x:c r="J440" s="69"/>
      <x:c r="K440" s="69"/>
    </x:row>
    <x:row r="441" ht="15" hidden="0" customHeight="1">
      <x:c r="A441" t="str">
        <x:v>IRAO</x:v>
      </x:c>
      <x:c r="B441" t="str">
        <x:v>1П2026</x:v>
      </x:c>
      <x:c r="C441" s="73" t="str">
        <x:v>Выручка</x:v>
      </x:c>
      <x:c r="D441" s="73" t="str">
        <x:v>Раскрытое значение / ранее внесенное значение</x:v>
      </x:c>
      <x:c r="E441" s="74" t="n">
        <x:v>953384</x:v>
      </x:c>
      <x:c r="F441" s="73" t="str">
        <x:v>IRAO_2026H1.pdf</x:v>
      </x:c>
      <x:c r="G441" s="73" t="str">
        <x:v>PDF стр. 6</x:v>
      </x:c>
      <x:c r="H441" s="73" t="str">
        <x:v>Выручка 1П2026: 953 384</x:v>
      </x:c>
      <x:c r="I441" s="69"/>
      <x:c r="J441" s="69"/>
      <x:c r="K441" s="69"/>
    </x:row>
    <x:row r="442" ht="15" hidden="0" customHeight="1">
      <x:c r="A442" t="str">
        <x:v>IRAO</x:v>
      </x:c>
      <x:c r="B442" t="str">
        <x:v>1П2026</x:v>
      </x:c>
      <x:c r="C442" s="73" t="str">
        <x:v>Скорр. EBITDA</x:v>
      </x:c>
      <x:c r="D442" s="73" t="str">
        <x:v>Раскрытое значение / ранее внесенное значение</x:v>
      </x:c>
      <x:c r="E442" s="74" t="n">
        <x:v>89260</x:v>
      </x:c>
      <x:c r="F442" s="73" t="str">
        <x:v>IRAO_2026H1.pdf</x:v>
      </x:c>
      <x:c r="G442" s="73" t="str">
        <x:v>PDF стр. 20</x:v>
      </x:c>
      <x:c r="H442" s="73" t="str">
        <x:v>EBITDA 1П2026: 89 260; скорректированная по составу</x:v>
      </x:c>
      <x:c r="I442" s="69"/>
      <x:c r="J442" s="69"/>
      <x:c r="K442" s="69"/>
    </x:row>
    <x:row r="443" ht="15" hidden="0" customHeight="1">
      <x:c r="A443" t="str">
        <x:v>IRAO</x:v>
      </x:c>
      <x:c r="B443" t="str">
        <x:v>1П2026</x:v>
      </x:c>
      <x:c r="C443" s="73" t="str">
        <x:v>ЧП акционеров</x:v>
      </x:c>
      <x:c r="D443" s="73" t="str">
        <x:v>Раскрытое значение / ранее внесенное значение</x:v>
      </x:c>
      <x:c r="E443" s="74" t="n">
        <x:v>66562</x:v>
      </x:c>
      <x:c r="F443" s="73" t="str">
        <x:v>IRAO_2026H1.pdf</x:v>
      </x:c>
      <x:c r="G443" s="73" t="str">
        <x:v>PDF стр. 7</x:v>
      </x:c>
      <x:c r="H443" s="73" t="str">
        <x:v>Прибыль акционеров 1П2026: 66 562</x:v>
      </x:c>
      <x:c r="I443" s="69"/>
      <x:c r="J443" s="69"/>
      <x:c r="K443" s="69"/>
    </x:row>
    <x:row r="444" ht="15" hidden="0" customHeight="1">
      <x:c r="A444" t="str">
        <x:v>IRAO</x:v>
      </x:c>
      <x:c r="B444" t="str">
        <x:v>1П2026</x:v>
      </x:c>
      <x:c r="C444" s="73" t="str">
        <x:v>Капитал акционеров</x:v>
      </x:c>
      <x:c r="D444" s="73" t="str">
        <x:v>Раскрытое значение / ранее внесенное значение</x:v>
      </x:c>
      <x:c r="E444" s="74" t="n">
        <x:v>1166537</x:v>
      </x:c>
      <x:c r="F444" s="73" t="str">
        <x:v>IRAO_2026H1.pdf</x:v>
      </x:c>
      <x:c r="G444" s="73" t="str">
        <x:v>PDF стр. 5</x:v>
      </x:c>
      <x:c r="H444" s="73" t="str">
        <x:v>Капитал акционеров на 30.06.2026: 1 166 537</x:v>
      </x:c>
      <x:c r="I444" s="69"/>
      <x:c r="J444" s="69"/>
      <x:c r="K444" s="69"/>
    </x:row>
    <x:row r="445" ht="15" hidden="0" customHeight="1">
      <x:c r="A445" t="str">
        <x:v>IRAO</x:v>
      </x:c>
      <x:c r="B445" t="str">
        <x:v>1П2026</x:v>
      </x:c>
      <x:c r="C445" s="73" t="str">
        <x:v>Неконтролирующие доли</x:v>
      </x:c>
      <x:c r="D445" s="73" t="str">
        <x:v>Раскрытое значение / ранее внесенное значение</x:v>
      </x:c>
      <x:c r="E445" s="74" t="n">
        <x:v>17485</x:v>
      </x:c>
      <x:c r="F445" s="73" t="str">
        <x:v>IRAO_2026H1.pdf</x:v>
      </x:c>
      <x:c r="G445" s="73" t="str">
        <x:v>PDF стр. 5</x:v>
      </x:c>
      <x:c r="H445" s="73" t="str">
        <x:v>Неконтролирующая доля на 30.06.2026: 17 485</x:v>
      </x:c>
      <x:c r="I445" s="69"/>
      <x:c r="J445" s="69"/>
      <x:c r="K445" s="69"/>
    </x:row>
    <x:row r="446" ht="15" hidden="0" customHeight="1">
      <x:c r="A446" t="str">
        <x:v>CHMF</x:v>
      </x:c>
      <x:c r="B446" t="str">
        <x:v>1П2026</x:v>
      </x:c>
      <x:c r="C446" s="73" t="str">
        <x:v>Чистый долг</x:v>
      </x:c>
      <x:c r="D446" s="73" t="str">
        <x:v>Раскрытое значение / ранее внесенное значение</x:v>
      </x:c>
      <x:c r="E446" s="74" t="n">
        <x:v>88442</x:v>
      </x:c>
      <x:c r="F446" s="73" t="str">
        <x:v>CHMF_2026H1.pdf</x:v>
      </x:c>
      <x:c r="G446" s="73" t="str">
        <x:v>PDF стр. 14</x:v>
      </x:c>
      <x:c r="H446" s="73" t="str">
        <x:v>ЧД 88 442; определение подтверждено</x:v>
      </x:c>
      <x:c r="I446" s="69"/>
      <x:c r="J446" s="69"/>
      <x:c r="K446" s="69"/>
    </x:row>
    <x:row r="447" ht="15" hidden="0" customHeight="1">
      <x:c r="A447" t="str">
        <x:v>CHMF</x:v>
      </x:c>
      <x:c r="B447" t="str">
        <x:v>1П2026</x:v>
      </x:c>
      <x:c r="C447" s="73" t="str">
        <x:v>Выручка</x:v>
      </x:c>
      <x:c r="D447" s="73" t="str">
        <x:v>Раскрытое значение / ранее внесенное значение</x:v>
      </x:c>
      <x:c r="E447" s="74" t="n">
        <x:v>314875</x:v>
      </x:c>
      <x:c r="F447" s="73" t="str">
        <x:v>CHMF_2026H1.pdf</x:v>
      </x:c>
      <x:c r="G447" s="73" t="str">
        <x:v>PDF стр. 14</x:v>
      </x:c>
      <x:c r="H447" s="73" t="str">
        <x:v>Выручка 1П2026: 314 875</x:v>
      </x:c>
      <x:c r="I447" s="69"/>
      <x:c r="J447" s="69"/>
      <x:c r="K447" s="69"/>
    </x:row>
    <x:row r="448" ht="15" hidden="0" customHeight="1">
      <x:c r="A448" t="str">
        <x:v>CHMF</x:v>
      </x:c>
      <x:c r="B448" t="str">
        <x:v>1П2026</x:v>
      </x:c>
      <x:c r="C448" s="73" t="str">
        <x:v>Скорр. EBITDA</x:v>
      </x:c>
      <x:c r="D448" s="73" t="str">
        <x:v>Раскрытое значение / ранее внесенное значение</x:v>
      </x:c>
      <x:c r="E448" s="74" t="n">
        <x:v>42340</x:v>
      </x:c>
      <x:c r="F448" s="73" t="str">
        <x:v>CHMF_2026H1.pdf</x:v>
      </x:c>
      <x:c r="G448" s="73" t="str">
        <x:v>PDF стр. 14</x:v>
      </x:c>
      <x:c r="H448" s="73" t="str">
        <x:v>EBITDA 1П2026: 42 340; скорректированная по составу</x:v>
      </x:c>
      <x:c r="I448" s="69"/>
      <x:c r="J448" s="69"/>
      <x:c r="K448" s="69"/>
    </x:row>
    <x:row r="449" ht="15" hidden="0" customHeight="1">
      <x:c r="A449" t="str">
        <x:v>CHMF</x:v>
      </x:c>
      <x:c r="B449" t="str">
        <x:v>1П2026</x:v>
      </x:c>
      <x:c r="C449" s="73" t="str">
        <x:v>ЧП акционеров</x:v>
      </x:c>
      <x:c r="D449" s="73" t="str">
        <x:v>Раскрытое значение / ранее внесенное значение</x:v>
      </x:c>
      <x:c r="E449" s="74" t="n">
        <x:v>4123</x:v>
      </x:c>
      <x:c r="F449" s="73" t="str">
        <x:v>CHMF_2026H1.pdf</x:v>
      </x:c>
      <x:c r="G449" s="73" t="str">
        <x:v>PDF стр. 9</x:v>
      </x:c>
      <x:c r="H449" s="73" t="str">
        <x:v>Прибыль акционеров 1П2026: 4 123; исправлено с общего совокупного дохода 4 321</x:v>
      </x:c>
      <x:c r="I449" s="69"/>
      <x:c r="J449" s="69"/>
      <x:c r="K449" s="69"/>
    </x:row>
    <x:row r="450" ht="15" hidden="0" customHeight="1">
      <x:c r="A450" t="str">
        <x:v>CHMF</x:v>
      </x:c>
      <x:c r="B450" t="str">
        <x:v>1П2026</x:v>
      </x:c>
      <x:c r="C450" s="73" t="str">
        <x:v>Капитал акционеров</x:v>
      </x:c>
      <x:c r="D450" s="73" t="str">
        <x:v>Раскрытое значение / ранее внесенное значение</x:v>
      </x:c>
      <x:c r="E450" s="74" t="n">
        <x:v>531436</x:v>
      </x:c>
      <x:c r="F450" s="73" t="str">
        <x:v>CHMF_2026H1.pdf</x:v>
      </x:c>
      <x:c r="G450" s="73" t="str">
        <x:v>PDF стр. 7</x:v>
      </x:c>
      <x:c r="H450" s="73" t="str">
        <x:v>Капитал акционеров на 30.06.2026: 531 436</x:v>
      </x:c>
      <x:c r="I450" s="69"/>
      <x:c r="J450" s="69"/>
      <x:c r="K450" s="69"/>
    </x:row>
    <x:row r="451" ht="15" hidden="0" customHeight="1">
      <x:c r="A451" t="str">
        <x:v>CHMF</x:v>
      </x:c>
      <x:c r="B451" t="str">
        <x:v>1П2026</x:v>
      </x:c>
      <x:c r="C451" s="73" t="str">
        <x:v>Неконтролирующие доли</x:v>
      </x:c>
      <x:c r="D451" s="73" t="str">
        <x:v>Раскрытое значение / ранее внесенное значение</x:v>
      </x:c>
      <x:c r="E451" s="74" t="n">
        <x:v>1163</x:v>
      </x:c>
      <x:c r="F451" s="73" t="str">
        <x:v>CHMF_2026H1.pdf</x:v>
      </x:c>
      <x:c r="G451" s="73" t="str">
        <x:v>PDF стр. 7</x:v>
      </x:c>
      <x:c r="H451" s="73" t="str">
        <x:v>Неконтролирующая доля на 30.06.2026: 1 163</x:v>
      </x:c>
      <x:c r="I451" s="69"/>
      <x:c r="J451" s="69"/>
      <x:c r="K451" s="69"/>
    </x:row>
    <x:row r="452" ht="15" hidden="0" customHeight="1">
      <x:c r="A452" t="str">
        <x:v>RUAL</x:v>
      </x:c>
      <x:c r="B452" t="str">
        <x:v>1П2026</x:v>
      </x:c>
      <x:c r="C452" s="73" t="str">
        <x:v>Выручка</x:v>
      </x:c>
      <x:c r="D452" s="73" t="str">
        <x:v>Раскрытое значение / ранее внесенное значение</x:v>
      </x:c>
      <x:c r="E452" s="74" t="n">
        <x:v>636949.9085193371</x:v>
      </x:c>
      <x:c r="F452" s="73" t="str">
        <x:v>RUAL_2026H1.pdf</x:v>
      </x:c>
      <x:c r="G452" s="73" t="str">
        <x:v>PDF стр. 6</x:v>
      </x:c>
      <x:c r="H452" s="73" t="str">
        <x:v>Выручка 1П2026: 8 338 млн долл.; средний курс 76,39120994475138</x:v>
      </x:c>
      <x:c r="I452" s="69"/>
      <x:c r="J452" s="69"/>
      <x:c r="K452" s="69"/>
    </x:row>
    <x:row r="453" ht="15" hidden="0" customHeight="1">
      <x:c r="A453" t="str">
        <x:v>RUAL</x:v>
      </x:c>
      <x:c r="B453" t="str">
        <x:v>1П2026</x:v>
      </x:c>
      <x:c r="C453" s="73" t="str">
        <x:v>Скорр. EBITDA</x:v>
      </x:c>
      <x:c r="D453" s="73" t="str">
        <x:v>Раскрытое значение / ранее внесенное значение</x:v>
      </x:c>
      <x:c r="E453" s="74" t="n">
        <x:v>93961.1882320442</x:v>
      </x:c>
      <x:c r="F453" s="73" t="str">
        <x:v>RUAL_2026H1.pdf</x:v>
      </x:c>
      <x:c r="G453" s="73" t="str">
        <x:v>PDF стр. 6, 24</x:v>
      </x:c>
      <x:c r="H453" s="73" t="str">
        <x:v>Скорректированная EBITDA 1П2026: 1 230 млн долл.</x:v>
      </x:c>
      <x:c r="I453" s="69"/>
      <x:c r="J453" s="69"/>
      <x:c r="K453" s="69"/>
    </x:row>
    <x:row r="454" ht="15" hidden="0" customHeight="1">
      <x:c r="A454" t="str">
        <x:v>RUAL</x:v>
      </x:c>
      <x:c r="B454" t="str">
        <x:v>1П2026</x:v>
      </x:c>
      <x:c r="C454" s="73" t="str">
        <x:v>ЧП акционеров</x:v>
      </x:c>
      <x:c r="D454" s="73" t="str">
        <x:v>Раскрытое значение / ранее внесенное значение</x:v>
      </x:c>
      <x:c r="E454" s="74" t="n">
        <x:v>32007.91696685083</x:v>
      </x:c>
      <x:c r="F454" s="73" t="str">
        <x:v>RUAL_2026H1.pdf</x:v>
      </x:c>
      <x:c r="G454" s="73" t="str">
        <x:v>PDF стр. 6</x:v>
      </x:c>
      <x:c r="H454" s="73" t="str">
        <x:v>Прибыль акционеров 1П2026: 419 млн долл.</x:v>
      </x:c>
      <x:c r="I454" s="69"/>
      <x:c r="J454" s="69"/>
      <x:c r="K454" s="69"/>
    </x:row>
    <x:row r="455" ht="15" hidden="0" customHeight="1">
      <x:c r="A455" t="str">
        <x:v>RUAL</x:v>
      </x:c>
      <x:c r="B455" t="str">
        <x:v>1П2026</x:v>
      </x:c>
      <x:c r="C455" s="73" t="str">
        <x:v>Капитал акционеров</x:v>
      </x:c>
      <x:c r="D455" s="73" t="str">
        <x:v>Раскрытое значение / ранее внесенное значение</x:v>
      </x:c>
      <x:c r="E455" s="74" t="n">
        <x:v>945020.9006</x:v>
      </x:c>
      <x:c r="F455" s="73" t="str">
        <x:v>RUAL_2026H1.pdf</x:v>
      </x:c>
      <x:c r="G455" s="73" t="str">
        <x:v>PDF стр. 9</x:v>
      </x:c>
      <x:c r="H455" s="73" t="str">
        <x:v>Капитал акционеров 12 154 млн долл.; курс 77,7539</x:v>
      </x:c>
      <x:c r="I455" s="69"/>
      <x:c r="J455" s="69"/>
      <x:c r="K455" s="69"/>
    </x:row>
    <x:row r="456" ht="15" hidden="0" customHeight="1">
      <x:c r="A456" t="str">
        <x:v>RUAL</x:v>
      </x:c>
      <x:c r="B456" t="str">
        <x:v>1П2026</x:v>
      </x:c>
      <x:c r="C456" s="73" t="str">
        <x:v>Неконтролирующие доли</x:v>
      </x:c>
      <x:c r="D456" s="73" t="str">
        <x:v>Раскрытое значение / ранее внесенное значение</x:v>
      </x:c>
      <x:c r="E456" s="74" t="n">
        <x:v>0</x:v>
      </x:c>
      <x:c r="F456" s="73" t="str">
        <x:v>RUAL_2026H1.pdf</x:v>
      </x:c>
      <x:c r="G456" s="73" t="str">
        <x:v>PDF стр. 9</x:v>
      </x:c>
      <x:c r="H456" s="73" t="str">
        <x:v>НКД отсутствует; весь капитал относится к акционерам</x:v>
      </x:c>
      <x:c r="I456" s="69"/>
      <x:c r="J456" s="69"/>
      <x:c r="K456" s="69"/>
    </x:row>
    <x:row r="457" ht="15" hidden="0" customHeight="1">
      <x:c r="A457" t="str">
        <x:v>NLMK</x:v>
      </x:c>
      <x:c r="B457" t="str">
        <x:v>1П2026</x:v>
      </x:c>
      <x:c r="C457" s="73" t="str">
        <x:v>Выручка</x:v>
      </x:c>
      <x:c r="D457" s="73" t="str">
        <x:v>Раскрытое значение / ранее внесенное значение</x:v>
      </x:c>
      <x:c r="E457" s="74" t="n">
        <x:v>387745</x:v>
      </x:c>
      <x:c r="F457" s="73" t="str">
        <x:v>NLMK_2026H1.pdf</x:v>
      </x:c>
      <x:c r="G457" s="73" t="str">
        <x:v>PDF стр. 6</x:v>
      </x:c>
      <x:c r="H457" s="73" t="str">
        <x:v>Выручка 387 745 млн руб.</x:v>
      </x:c>
      <x:c r="I457" s="69"/>
      <x:c r="J457" s="69"/>
      <x:c r="K457" s="69"/>
    </x:row>
    <x:row r="458" ht="15" hidden="0" customHeight="1">
      <x:c r="A458" t="str">
        <x:v>NLMK</x:v>
      </x:c>
      <x:c r="B458" t="str">
        <x:v>1П2026</x:v>
      </x:c>
      <x:c r="C458" s="73" t="str">
        <x:v>ЧП акционеров</x:v>
      </x:c>
      <x:c r="D458" s="73" t="str">
        <x:v>Раскрытое значение / ранее внесенное значение</x:v>
      </x:c>
      <x:c r="E458" s="74" t="n">
        <x:v>20488</x:v>
      </x:c>
      <x:c r="F458" s="73" t="str">
        <x:v>NLMK_2026H1.pdf</x:v>
      </x:c>
      <x:c r="G458" s="73" t="str">
        <x:v>PDF стр. 6</x:v>
      </x:c>
      <x:c r="H458" s="73" t="str">
        <x:v>Прибыль акционеров 20 488 млн руб.</x:v>
      </x:c>
      <x:c r="I458" s="69"/>
      <x:c r="J458" s="69"/>
      <x:c r="K458" s="69"/>
    </x:row>
    <x:row r="459" ht="15" hidden="0" customHeight="1">
      <x:c r="A459" t="str">
        <x:v>NLMK</x:v>
      </x:c>
      <x:c r="B459" t="str">
        <x:v>1П2026</x:v>
      </x:c>
      <x:c r="C459" s="73" t="str">
        <x:v>Капитал акционеров</x:v>
      </x:c>
      <x:c r="D459" s="73" t="str">
        <x:v>Раскрытое значение / ранее внесенное значение</x:v>
      </x:c>
      <x:c r="E459" s="74" t="n">
        <x:v>905650</x:v>
      </x:c>
      <x:c r="F459" s="73" t="str">
        <x:v>NLMK_2026H1.pdf</x:v>
      </x:c>
      <x:c r="G459" s="73" t="str">
        <x:v>PDF стр. 5</x:v>
      </x:c>
      <x:c r="H459" s="73" t="str">
        <x:v>Капитал акционеров 905 650 млн руб.</x:v>
      </x:c>
      <x:c r="I459" s="69"/>
      <x:c r="J459" s="69"/>
      <x:c r="K459" s="69"/>
    </x:row>
    <x:row r="460" ht="15" hidden="0" customHeight="1">
      <x:c r="A460" t="str">
        <x:v>NLMK</x:v>
      </x:c>
      <x:c r="B460" t="str">
        <x:v>1П2026</x:v>
      </x:c>
      <x:c r="C460" s="73" t="str">
        <x:v>Неконтролирующие доли</x:v>
      </x:c>
      <x:c r="D460" s="73" t="str">
        <x:v>Раскрытое значение / ранее внесенное значение</x:v>
      </x:c>
      <x:c r="E460" s="84" t="n">
        <x:f>E1498</x:f>
        <x:v>111</x:v>
      </x:c>
      <x:c r="F460" s="73" t="str">
        <x:v>NLMK_2026H1.pdf</x:v>
      </x:c>
      <x:c r="G460" s="73" t="str">
        <x:v>PDF стр. 5</x:v>
      </x:c>
      <x:c r="H460" s="73" t="str">
        <x:v>Неконтролирующая доля 111 млн руб.</x:v>
      </x:c>
      <x:c r="I460" s="69"/>
      <x:c r="J460" s="69"/>
      <x:c r="K460" s="69"/>
    </x:row>
    <x:row r="461" ht="15" hidden="0" customHeight="1">
      <x:c r="A461" t="str">
        <x:v>PHOR</x:v>
      </x:c>
      <x:c r="B461" t="str">
        <x:v>1П2026</x:v>
      </x:c>
      <x:c r="C461" s="73" t="str">
        <x:v>Выручка</x:v>
      </x:c>
      <x:c r="D461" s="73" t="str">
        <x:v>Раскрытое значение / ранее внесенное значение</x:v>
      </x:c>
      <x:c r="E461" s="74" t="n">
        <x:v>281388</x:v>
      </x:c>
      <x:c r="F461" s="73" t="str">
        <x:v>PHOR_2026H1.pdf</x:v>
      </x:c>
      <x:c r="G461" s="73" t="str">
        <x:v>5, 12</x:v>
      </x:c>
      <x:c r="H461" s="73" t="str">
        <x:v>Страница найдена по сумме; определение требует сверки</x:v>
      </x:c>
      <x:c r="I461" s="69"/>
      <x:c r="J461" s="69"/>
      <x:c r="K461" s="69"/>
    </x:row>
    <x:row r="462" ht="15" hidden="0" customHeight="1">
      <x:c r="A462" t="str">
        <x:v>PHOR</x:v>
      </x:c>
      <x:c r="B462" t="str">
        <x:v>1П2026</x:v>
      </x:c>
      <x:c r="C462" s="73" t="str">
        <x:v>EBITDA</x:v>
      </x:c>
      <x:c r="D462" s="73" t="str">
        <x:v>Раскрытое значение / ранее внесенное значение</x:v>
      </x:c>
      <x:c r="E462" s="74" t="n">
        <x:v>60875</x:v>
      </x:c>
      <x:c r="F462" s="73" t="str">
        <x:v>PHOR_2026H1.pdf</x:v>
      </x:c>
      <x:c r="G462" s="73" t="str"/>
      <x:c r="H462" s="73" t="str">
        <x:v>Страница пока не подтверждена</x:v>
      </x:c>
      <x:c r="I462" s="69"/>
      <x:c r="J462" s="69"/>
      <x:c r="K462" s="69"/>
    </x:row>
    <x:row r="463" ht="15" hidden="0" customHeight="1">
      <x:c r="A463" t="str">
        <x:v>PHOR</x:v>
      </x:c>
      <x:c r="B463" t="str">
        <x:v>1П2026</x:v>
      </x:c>
      <x:c r="C463" s="73" t="str">
        <x:v>Скорр. EBITDA</x:v>
      </x:c>
      <x:c r="D463" s="73" t="str">
        <x:v>Раскрытое значение / ранее внесенное значение</x:v>
      </x:c>
      <x:c r="E463" s="74" t="n">
        <x:v>62399</x:v>
      </x:c>
      <x:c r="F463" s="73" t="str">
        <x:v>PHOR_2026H1.pdf</x:v>
      </x:c>
      <x:c r="G463" s="73" t="str"/>
      <x:c r="H463" s="73" t="str">
        <x:v>Страница пока не подтверждена</x:v>
      </x:c>
      <x:c r="I463" s="69"/>
      <x:c r="J463" s="69"/>
      <x:c r="K463" s="69"/>
    </x:row>
    <x:row r="464" ht="15" hidden="0" customHeight="1">
      <x:c r="A464" t="str">
        <x:v>PHOR</x:v>
      </x:c>
      <x:c r="B464" t="str">
        <x:v>1П2026</x:v>
      </x:c>
      <x:c r="C464" s="73" t="str">
        <x:v>ЧП акционеров</x:v>
      </x:c>
      <x:c r="D464" s="73" t="str">
        <x:v>Раскрытое значение / ранее внесенное значение</x:v>
      </x:c>
      <x:c r="E464" s="74" t="n">
        <x:v>18650</x:v>
      </x:c>
      <x:c r="F464" s="73" t="str">
        <x:v>PHOR_2026H1.pdf</x:v>
      </x:c>
      <x:c r="G464" s="73" t="str">
        <x:v>5, 8, 18</x:v>
      </x:c>
      <x:c r="H464" s="73" t="str">
        <x:v>Страница найдена по сумме; определение требует сверки</x:v>
      </x:c>
      <x:c r="I464" s="69"/>
      <x:c r="J464" s="69"/>
      <x:c r="K464" s="69"/>
    </x:row>
    <x:row r="465" ht="15" hidden="0" customHeight="1">
      <x:c r="A465" t="str">
        <x:v>PHOR</x:v>
      </x:c>
      <x:c r="B465" t="str">
        <x:v>1П2026</x:v>
      </x:c>
      <x:c r="C465" s="73" t="str">
        <x:v>Капитал акционеров</x:v>
      </x:c>
      <x:c r="D465" s="73" t="str">
        <x:v>Раскрытое значение / ранее внесенное значение</x:v>
      </x:c>
      <x:c r="E465" s="74" t="n">
        <x:v>263869</x:v>
      </x:c>
      <x:c r="F465" s="73" t="str">
        <x:v>PHOR_2026H1.pdf</x:v>
      </x:c>
      <x:c r="G465" s="73" t="str">
        <x:v>6, 8</x:v>
      </x:c>
      <x:c r="H465" s="73" t="str">
        <x:v>Страница найдена по сумме; определение требует сверки</x:v>
      </x:c>
      <x:c r="I465" s="69"/>
      <x:c r="J465" s="69"/>
      <x:c r="K465" s="69"/>
    </x:row>
    <x:row r="466" ht="15" hidden="0" customHeight="1">
      <x:c r="A466" t="str">
        <x:v>PHOR</x:v>
      </x:c>
      <x:c r="B466" t="str">
        <x:v>1П2026</x:v>
      </x:c>
      <x:c r="C466" s="73" t="str">
        <x:v>Краткосрочный долг</x:v>
      </x:c>
      <x:c r="D466" s="73" t="str">
        <x:v>Раскрытое значение / ранее внесенное значение</x:v>
      </x:c>
      <x:c r="E466" s="74" t="n">
        <x:v>123094</x:v>
      </x:c>
      <x:c r="F466" s="73" t="str">
        <x:v>PHOR_2026H1.pdf</x:v>
      </x:c>
      <x:c r="G466" s="73" t="str">
        <x:v>6, 19, 20</x:v>
      </x:c>
      <x:c r="H466" s="73" t="str">
        <x:v>Страница найдена по сумме; определение требует сверки</x:v>
      </x:c>
      <x:c r="I466" s="69"/>
      <x:c r="J466" s="69"/>
      <x:c r="K466" s="69"/>
    </x:row>
    <x:row r="467" ht="15" hidden="0" customHeight="1">
      <x:c r="A467" t="str">
        <x:v>PHOR</x:v>
      </x:c>
      <x:c r="B467" t="str">
        <x:v>1П2026</x:v>
      </x:c>
      <x:c r="C467" s="73" t="str">
        <x:v>Долгосрочный долг</x:v>
      </x:c>
      <x:c r="D467" s="73" t="str">
        <x:v>Раскрытое значение / ранее внесенное значение</x:v>
      </x:c>
      <x:c r="E467" s="74" t="n">
        <x:v>203026</x:v>
      </x:c>
      <x:c r="F467" s="73" t="str">
        <x:v>PHOR_2026H1.pdf</x:v>
      </x:c>
      <x:c r="G467" s="73" t="str">
        <x:v>6, 19</x:v>
      </x:c>
      <x:c r="H467" s="73" t="str">
        <x:v>Страница найдена по сумме; определение требует сверки</x:v>
      </x:c>
      <x:c r="I467" s="69"/>
      <x:c r="J467" s="69"/>
      <x:c r="K467" s="69"/>
    </x:row>
    <x:row r="468" ht="15" hidden="0" customHeight="1">
      <x:c r="A468" t="str">
        <x:v>PHOR</x:v>
      </x:c>
      <x:c r="B468" t="str">
        <x:v>1П2026</x:v>
      </x:c>
      <x:c r="C468" s="73" t="str">
        <x:v>Денежные средства</x:v>
      </x:c>
      <x:c r="D468" s="73" t="str">
        <x:v>Раскрытое значение / ранее внесенное значение</x:v>
      </x:c>
      <x:c r="E468" s="74" t="n">
        <x:v>23067</x:v>
      </x:c>
      <x:c r="F468" s="73" t="str">
        <x:v>PHOR_2026H1.pdf</x:v>
      </x:c>
      <x:c r="G468" s="73" t="str">
        <x:v>6, 7, 18</x:v>
      </x:c>
      <x:c r="H468" s="73" t="str">
        <x:v>Страница найдена по сумме; определение требует сверки</x:v>
      </x:c>
      <x:c r="I468" s="69"/>
      <x:c r="J468" s="69"/>
      <x:c r="K468" s="69"/>
    </x:row>
    <x:row r="469" ht="15" hidden="0" customHeight="1">
      <x:c r="A469" t="str">
        <x:v>PHOR</x:v>
      </x:c>
      <x:c r="B469" t="str">
        <x:v>1П2026</x:v>
      </x:c>
      <x:c r="C469" s="73" t="str">
        <x:v>ЧП группы для расчета</x:v>
      </x:c>
      <x:c r="D469" s="73" t="str">
        <x:v>Раскрытое значение / ранее внесенное значение</x:v>
      </x:c>
      <x:c r="E469" s="74" t="n">
        <x:v>18653</x:v>
      </x:c>
      <x:c r="F469" s="73" t="str">
        <x:v>PHOR_2026H1.pdf</x:v>
      </x:c>
      <x:c r="G469" s="73" t="str">
        <x:v>5, 8</x:v>
      </x:c>
      <x:c r="H469" s="73" t="str">
        <x:v>Страница найдена по сумме; определение требует сверки</x:v>
      </x:c>
      <x:c r="I469" s="69"/>
      <x:c r="J469" s="69"/>
      <x:c r="K469" s="69"/>
    </x:row>
    <x:row r="470" ht="15" hidden="0" customHeight="1">
      <x:c r="A470" t="str">
        <x:v>PHOR</x:v>
      </x:c>
      <x:c r="B470" t="str">
        <x:v>1П2026</x:v>
      </x:c>
      <x:c r="C470" s="73" t="str">
        <x:v>Налог</x:v>
      </x:c>
      <x:c r="D470" s="73" t="str">
        <x:v>Раскрытое значение / ранее внесенное значение</x:v>
      </x:c>
      <x:c r="E470" s="74" t="n">
        <x:v>6766</x:v>
      </x:c>
      <x:c r="F470" s="73" t="str">
        <x:v>PHOR_2026H1.pdf</x:v>
      </x:c>
      <x:c r="G470" s="73" t="str">
        <x:v>5, 14</x:v>
      </x:c>
      <x:c r="H470" s="73" t="str">
        <x:v>Страница найдена по сумме; определение требует сверки</x:v>
      </x:c>
      <x:c r="I470" s="69"/>
      <x:c r="J470" s="69"/>
      <x:c r="K470" s="69"/>
    </x:row>
    <x:row r="471" ht="15" hidden="0" customHeight="1">
      <x:c r="A471" t="str">
        <x:v>PHOR</x:v>
      </x:c>
      <x:c r="B471" t="str">
        <x:v>1П2026</x:v>
      </x:c>
      <x:c r="C471" s="73" t="str">
        <x:v>Процентные расходы</x:v>
      </x:c>
      <x:c r="D471" s="73" t="str">
        <x:v>Раскрытое значение / ранее внесенное значение</x:v>
      </x:c>
      <x:c r="E471" s="74" t="n">
        <x:v>11864</x:v>
      </x:c>
      <x:c r="F471" s="73" t="str">
        <x:v>PHOR_2026H1.pdf</x:v>
      </x:c>
      <x:c r="G471" s="73" t="str"/>
      <x:c r="H471" s="73" t="str">
        <x:v>Страница пока не подтверждена</x:v>
      </x:c>
      <x:c r="I471" s="69"/>
      <x:c r="J471" s="69"/>
      <x:c r="K471" s="69"/>
    </x:row>
    <x:row r="472" ht="15" hidden="0" customHeight="1">
      <x:c r="A472" t="str">
        <x:v>PHOR</x:v>
      </x:c>
      <x:c r="B472" t="str">
        <x:v>1П2026</x:v>
      </x:c>
      <x:c r="C472" s="73" t="str">
        <x:v>Процентные доходы</x:v>
      </x:c>
      <x:c r="D472" s="73" t="str">
        <x:v>Раскрытое значение / ранее внесенное значение</x:v>
      </x:c>
      <x:c r="E472" s="74" t="n">
        <x:v>1518</x:v>
      </x:c>
      <x:c r="F472" s="73" t="str">
        <x:v>PHOR_2026H1.pdf</x:v>
      </x:c>
      <x:c r="G472" s="73" t="str">
        <x:v>7, 14</x:v>
      </x:c>
      <x:c r="H472" s="73" t="str">
        <x:v>Страница найдена по сумме; определение требует сверки</x:v>
      </x:c>
      <x:c r="I472" s="69"/>
      <x:c r="J472" s="69"/>
      <x:c r="K472" s="69"/>
    </x:row>
    <x:row r="473" ht="15" hidden="0" customHeight="1">
      <x:c r="A473" t="str">
        <x:v>PHOR</x:v>
      </x:c>
      <x:c r="B473" t="str">
        <x:v>1П2026</x:v>
      </x:c>
      <x:c r="C473" s="73" t="str">
        <x:v>Амортизация</x:v>
      </x:c>
      <x:c r="D473" s="73" t="str">
        <x:v>Раскрытое значение / ранее внесенное значение</x:v>
      </x:c>
      <x:c r="E473" s="74" t="n">
        <x:v>22994</x:v>
      </x:c>
      <x:c r="F473" s="73" t="str">
        <x:v>PHOR_2026H1.pdf</x:v>
      </x:c>
      <x:c r="G473" s="73" t="str">
        <x:v>7</x:v>
      </x:c>
      <x:c r="H473" s="73" t="str">
        <x:v>Страница найдена по сумме; определение требует сверки</x:v>
      </x:c>
      <x:c r="I473" s="69"/>
      <x:c r="J473" s="69"/>
      <x:c r="K473" s="69"/>
    </x:row>
    <x:row r="474" ht="15" hidden="0" customHeight="1">
      <x:c r="A474" t="str">
        <x:v>PHOR</x:v>
      </x:c>
      <x:c r="B474" t="str">
        <x:v>1П2026</x:v>
      </x:c>
      <x:c r="C474" s="73" t="str">
        <x:v>Арендные обязательства вне кредитов</x:v>
      </x:c>
      <x:c r="D474" s="73" t="str">
        <x:v>Раскрытое значение / ранее внесенное значение</x:v>
      </x:c>
      <x:c r="E474" s="74" t="n">
        <x:v>6119</x:v>
      </x:c>
      <x:c r="F474" s="73" t="str">
        <x:v>PHOR_2026H1.pdf</x:v>
      </x:c>
      <x:c r="G474" s="73" t="str">
        <x:v>22</x:v>
      </x:c>
      <x:c r="H474" s="73" t="str">
        <x:v>Страница найдена по сумме; определение требует сверки</x:v>
      </x:c>
      <x:c r="I474" s="69"/>
      <x:c r="J474" s="69"/>
      <x:c r="K474" s="69"/>
    </x:row>
    <x:row r="475" ht="15" hidden="0" customHeight="1">
      <x:c r="A475" t="str">
        <x:v>PHOR</x:v>
      </x:c>
      <x:c r="B475" t="str">
        <x:v>1П2026</x:v>
      </x:c>
      <x:c r="C475" s="73" t="str">
        <x:v>Неконтролирующие доли</x:v>
      </x:c>
      <x:c r="D475" s="73" t="str">
        <x:v>Раскрытое значение / ранее внесенное значение</x:v>
      </x:c>
      <x:c r="E475" s="74" t="n">
        <x:v>255</x:v>
      </x:c>
      <x:c r="F475" s="73" t="str">
        <x:v>PHOR_2026H1.pdf</x:v>
      </x:c>
      <x:c r="G475" s="73" t="str">
        <x:v>6, 8, 22</x:v>
      </x:c>
      <x:c r="H475" s="73" t="str">
        <x:v>Страница найдена по сумме; определение требует сверки</x:v>
      </x:c>
      <x:c r="I475" s="69"/>
      <x:c r="J475" s="69"/>
      <x:c r="K475" s="69"/>
    </x:row>
    <x:row r="476" ht="15" hidden="0" customHeight="1">
      <x:c r="A476" t="str">
        <x:v>RTKM</x:v>
      </x:c>
      <x:c r="B476" t="str">
        <x:v>1П2026</x:v>
      </x:c>
      <x:c r="C476" s="73" t="str">
        <x:v>Чистый долг</x:v>
      </x:c>
      <x:c r="D476" s="73" t="str">
        <x:v>Раскрытое значение / ранее внесенное значение</x:v>
      </x:c>
      <x:c r="E476" s="74" t="n">
        <x:v>731559</x:v>
      </x:c>
      <x:c r="F476" s="73" t="str">
        <x:v>RTKM_2026H1.pdf</x:v>
      </x:c>
      <x:c r="G476" s="73" t="str"/>
      <x:c r="H476" s="73" t="str">
        <x:v>Страница пока не подтверждена</x:v>
      </x:c>
      <x:c r="I476" s="69"/>
      <x:c r="J476" s="69"/>
      <x:c r="K476" s="69"/>
    </x:row>
    <x:row r="477" ht="15" hidden="0" customHeight="1">
      <x:c r="A477" t="str">
        <x:v>RTKM</x:v>
      </x:c>
      <x:c r="B477" t="str">
        <x:v>1П2026</x:v>
      </x:c>
      <x:c r="C477" s="73" t="str">
        <x:v>Выручка</x:v>
      </x:c>
      <x:c r="D477" s="73" t="str">
        <x:v>Раскрытое значение / ранее внесенное значение</x:v>
      </x:c>
      <x:c r="E477" s="74" t="n">
        <x:v>435672</x:v>
      </x:c>
      <x:c r="F477" s="73" t="str">
        <x:v>RTKM_2026H1.pdf</x:v>
      </x:c>
      <x:c r="G477" s="73" t="str">
        <x:v>3, 23, 26</x:v>
      </x:c>
      <x:c r="H477" s="73" t="str">
        <x:v>Страница найдена по сумме; определение требует сверки</x:v>
      </x:c>
      <x:c r="I477" s="69"/>
      <x:c r="J477" s="69"/>
      <x:c r="K477" s="69"/>
    </x:row>
    <x:row r="478" ht="15" hidden="0" customHeight="1">
      <x:c r="A478" t="str">
        <x:v>RTKM</x:v>
      </x:c>
      <x:c r="B478" t="str">
        <x:v>1П2026</x:v>
      </x:c>
      <x:c r="C478" s="73" t="str">
        <x:v>OIBDA</x:v>
      </x:c>
      <x:c r="D478" s="73" t="str">
        <x:v>Раскрытое значение / ранее внесенное значение</x:v>
      </x:c>
      <x:c r="E478" s="74" t="n">
        <x:v>171353</x:v>
      </x:c>
      <x:c r="F478" s="73" t="str">
        <x:v>RTKM_2026H1.pdf</x:v>
      </x:c>
      <x:c r="G478" s="73" t="str">
        <x:v>26, 27</x:v>
      </x:c>
      <x:c r="H478" s="73" t="str">
        <x:v>Страница найдена по сумме; определение требует сверки</x:v>
      </x:c>
      <x:c r="I478" s="69"/>
      <x:c r="J478" s="69"/>
      <x:c r="K478" s="69"/>
    </x:row>
    <x:row r="479" ht="15" hidden="0" customHeight="1">
      <x:c r="A479" t="str">
        <x:v>RTKM</x:v>
      </x:c>
      <x:c r="B479" t="str">
        <x:v>1П2026</x:v>
      </x:c>
      <x:c r="C479" s="73" t="str">
        <x:v>ЧП акционеров</x:v>
      </x:c>
      <x:c r="D479" s="73" t="str">
        <x:v>Раскрытое значение / ранее внесенное значение</x:v>
      </x:c>
      <x:c r="E479" s="74" t="n">
        <x:v>9713</x:v>
      </x:c>
      <x:c r="F479" s="73" t="str">
        <x:v>RTKM_2026H1.pdf</x:v>
      </x:c>
      <x:c r="G479" s="73" t="str">
        <x:v>3, 6</x:v>
      </x:c>
      <x:c r="H479" s="73" t="str">
        <x:v>Страница найдена по сумме; определение требует сверки</x:v>
      </x:c>
      <x:c r="I479" s="69"/>
      <x:c r="J479" s="69"/>
      <x:c r="K479" s="69"/>
    </x:row>
    <x:row r="480" ht="15" hidden="0" customHeight="1">
      <x:c r="A480" t="str">
        <x:v>RTKM</x:v>
      </x:c>
      <x:c r="B480" t="str">
        <x:v>1П2026</x:v>
      </x:c>
      <x:c r="C480" s="73" t="str">
        <x:v>Капитал акционеров</x:v>
      </x:c>
      <x:c r="D480" s="73" t="str">
        <x:v>Раскрытое значение / ранее внесенное значение</x:v>
      </x:c>
      <x:c r="E480" s="74" t="n">
        <x:v>223392</x:v>
      </x:c>
      <x:c r="F480" s="73" t="str">
        <x:v>RTKM_2026H1.pdf</x:v>
      </x:c>
      <x:c r="G480" s="73" t="str">
        <x:v>2</x:v>
      </x:c>
      <x:c r="H480" s="73" t="str">
        <x:v>Страница найдена по сумме; определение требует сверки</x:v>
      </x:c>
      <x:c r="I480" s="69"/>
      <x:c r="J480" s="69"/>
      <x:c r="K480" s="69"/>
    </x:row>
    <x:row r="481" ht="15" hidden="0" customHeight="1">
      <x:c r="A481" t="str">
        <x:v>RTKM</x:v>
      </x:c>
      <x:c r="B481" t="str">
        <x:v>1П2026</x:v>
      </x:c>
      <x:c r="C481" s="73" t="str">
        <x:v>Неконтролирующие доли</x:v>
      </x:c>
      <x:c r="D481" s="73" t="str">
        <x:v>Раскрытое значение / ранее внесенное значение</x:v>
      </x:c>
      <x:c r="E481" s="74" t="n">
        <x:v>59406</x:v>
      </x:c>
      <x:c r="F481" s="73" t="str">
        <x:v>RTKM_2026H1.pdf</x:v>
      </x:c>
      <x:c r="G481" s="73" t="str">
        <x:v>2, 6</x:v>
      </x:c>
      <x:c r="H481" s="73" t="str">
        <x:v>Страница найдена по сумме; определение требует сверки</x:v>
      </x:c>
      <x:c r="I481" s="69"/>
      <x:c r="J481" s="69"/>
      <x:c r="K481" s="69"/>
    </x:row>
    <x:row r="482" ht="15" hidden="0" customHeight="1">
      <x:c r="A482" t="str">
        <x:v>MAGN</x:v>
      </x:c>
      <x:c r="B482" t="str">
        <x:v>1П2026</x:v>
      </x:c>
      <x:c r="C482" s="73" t="str">
        <x:v>Чистый долг</x:v>
      </x:c>
      <x:c r="D482" s="73" t="str">
        <x:v>Раскрытое значение / ранее внесенное значение</x:v>
      </x:c>
      <x:c r="E482" s="74" t="n">
        <x:v>-80732</x:v>
      </x:c>
      <x:c r="F482" s="73" t="str">
        <x:v>MAGN_2026H1.pdf</x:v>
      </x:c>
      <x:c r="G482" s="73" t="str">
        <x:v>19</x:v>
      </x:c>
      <x:c r="H482" s="73" t="str">
        <x:v>Страница найдена по сумме; определение требует сверки</x:v>
      </x:c>
      <x:c r="I482" s="69"/>
      <x:c r="J482" s="69"/>
      <x:c r="K482" s="69"/>
    </x:row>
    <x:row r="483" ht="15" hidden="0" customHeight="1">
      <x:c r="A483" t="str">
        <x:v>MAGN</x:v>
      </x:c>
      <x:c r="B483" t="str">
        <x:v>1П2026</x:v>
      </x:c>
      <x:c r="C483" s="73" t="str">
        <x:v>Выручка</x:v>
      </x:c>
      <x:c r="D483" s="73" t="str">
        <x:v>Раскрытое значение / ранее внесенное значение</x:v>
      </x:c>
      <x:c r="E483" s="74" t="n">
        <x:v>282311</x:v>
      </x:c>
      <x:c r="F483" s="73" t="str">
        <x:v>MAGN_2026H1.pdf</x:v>
      </x:c>
      <x:c r="G483" s="73" t="str">
        <x:v>6, 12, 14</x:v>
      </x:c>
      <x:c r="H483" s="73" t="str">
        <x:v>Страница найдена по сумме; определение требует сверки</x:v>
      </x:c>
      <x:c r="I483" s="69"/>
      <x:c r="J483" s="69"/>
      <x:c r="K483" s="69"/>
    </x:row>
    <x:row r="484" ht="15" hidden="0" customHeight="1">
      <x:c r="A484" t="str">
        <x:v>MAGN</x:v>
      </x:c>
      <x:c r="B484" t="str">
        <x:v>1П2026</x:v>
      </x:c>
      <x:c r="C484" s="73" t="str">
        <x:v>Скорр. EBITDA</x:v>
      </x:c>
      <x:c r="D484" s="73" t="str">
        <x:v>Раскрытое значение / ранее внесенное значение</x:v>
      </x:c>
      <x:c r="E484" s="74" t="n">
        <x:v>24710</x:v>
      </x:c>
      <x:c r="F484" s="73" t="str">
        <x:v>MAGN_2026H1.pdf</x:v>
      </x:c>
      <x:c r="G484" s="73" t="str">
        <x:v>14</x:v>
      </x:c>
      <x:c r="H484" s="73" t="str">
        <x:v>Страница найдена по сумме; определение требует сверки</x:v>
      </x:c>
      <x:c r="I484" s="69"/>
      <x:c r="J484" s="69"/>
      <x:c r="K484" s="69"/>
    </x:row>
    <x:row r="485" ht="15" hidden="0" customHeight="1">
      <x:c r="A485" t="str">
        <x:v>MAGN</x:v>
      </x:c>
      <x:c r="B485" t="str">
        <x:v>1П2026</x:v>
      </x:c>
      <x:c r="C485" s="73" t="str">
        <x:v>ЧП акционеров</x:v>
      </x:c>
      <x:c r="D485" s="73" t="str">
        <x:v>Раскрытое значение / ранее внесенное значение</x:v>
      </x:c>
      <x:c r="E485" s="74" t="n">
        <x:v>-19112</x:v>
      </x:c>
      <x:c r="F485" s="73" t="str">
        <x:v>MAGN_2026H1.pdf</x:v>
      </x:c>
      <x:c r="G485" s="73" t="str">
        <x:v>6, 8, 9</x:v>
      </x:c>
      <x:c r="H485" s="73" t="str">
        <x:v>Страница найдена по сумме; определение требует сверки</x:v>
      </x:c>
      <x:c r="I485" s="69"/>
      <x:c r="J485" s="69"/>
      <x:c r="K485" s="69"/>
    </x:row>
    <x:row r="486" ht="15" hidden="0" customHeight="1">
      <x:c r="A486" t="str">
        <x:v>MAGN</x:v>
      </x:c>
      <x:c r="B486" t="str">
        <x:v>1П2026</x:v>
      </x:c>
      <x:c r="C486" s="73" t="str">
        <x:v>Капитал акционеров</x:v>
      </x:c>
      <x:c r="D486" s="73" t="str">
        <x:v>Раскрытое значение / ранее внесенное значение</x:v>
      </x:c>
      <x:c r="E486" s="74" t="n">
        <x:v>645191</x:v>
      </x:c>
      <x:c r="F486" s="73" t="str">
        <x:v>MAGN_2026H1.pdf</x:v>
      </x:c>
      <x:c r="G486" s="73" t="str">
        <x:v>7, 8</x:v>
      </x:c>
      <x:c r="H486" s="73" t="str">
        <x:v>Страница найдена по сумме; определение требует сверки</x:v>
      </x:c>
      <x:c r="I486" s="69"/>
      <x:c r="J486" s="69"/>
      <x:c r="K486" s="69"/>
    </x:row>
    <x:row r="487" ht="15" hidden="0" customHeight="1">
      <x:c r="A487" t="str">
        <x:v>MAGN</x:v>
      </x:c>
      <x:c r="B487" t="str">
        <x:v>1П2026</x:v>
      </x:c>
      <x:c r="C487" s="73" t="str">
        <x:v>Краткосрочный долг</x:v>
      </x:c>
      <x:c r="D487" s="73" t="str">
        <x:v>Раскрытое значение / ранее внесенное значение</x:v>
      </x:c>
      <x:c r="E487" s="74" t="n">
        <x:v>31498</x:v>
      </x:c>
      <x:c r="F487" s="73" t="str">
        <x:v>MAGN_2026H1.pdf</x:v>
      </x:c>
      <x:c r="G487" s="73" t="str">
        <x:v>7</x:v>
      </x:c>
      <x:c r="H487" s="73" t="str">
        <x:v>Сверено с таблицей отчета</x:v>
      </x:c>
      <x:c r="I487" s="69"/>
      <x:c r="J487" s="69"/>
      <x:c r="K487" s="69"/>
    </x:row>
    <x:row r="488" ht="15" hidden="0" customHeight="1">
      <x:c r="A488" t="str">
        <x:v>MAGN</x:v>
      </x:c>
      <x:c r="B488" t="str">
        <x:v>1П2026</x:v>
      </x:c>
      <x:c r="C488" s="73" t="str">
        <x:v>Долгосрочный долг</x:v>
      </x:c>
      <x:c r="D488" s="73" t="str">
        <x:v>Раскрытое значение / ранее внесенное значение</x:v>
      </x:c>
      <x:c r="E488" s="74" t="n">
        <x:v>21108</x:v>
      </x:c>
      <x:c r="F488" s="73" t="str">
        <x:v>MAGN_2026H1.pdf</x:v>
      </x:c>
      <x:c r="G488" s="73" t="str">
        <x:v>7</x:v>
      </x:c>
      <x:c r="H488" s="73" t="str">
        <x:v>Сверено с таблицей отчета</x:v>
      </x:c>
      <x:c r="I488" s="69"/>
      <x:c r="J488" s="69"/>
      <x:c r="K488" s="69"/>
    </x:row>
    <x:row r="489" ht="15" hidden="0" customHeight="1">
      <x:c r="A489" t="str">
        <x:v>MAGN</x:v>
      </x:c>
      <x:c r="B489" t="str">
        <x:v>1П2026</x:v>
      </x:c>
      <x:c r="C489" s="73" t="str">
        <x:v>Денежные средства</x:v>
      </x:c>
      <x:c r="D489" s="73" t="str">
        <x:v>Раскрытое значение / ранее внесенное значение</x:v>
      </x:c>
      <x:c r="E489" s="74" t="n">
        <x:v>19821</x:v>
      </x:c>
      <x:c r="F489" s="73" t="str">
        <x:v>MAGN_2026H1.pdf</x:v>
      </x:c>
      <x:c r="G489" s="73" t="str">
        <x:v>7</x:v>
      </x:c>
      <x:c r="H489" s="73" t="str">
        <x:v>Сверено с таблицей отчета</x:v>
      </x:c>
      <x:c r="I489" s="69"/>
      <x:c r="J489" s="69"/>
      <x:c r="K489" s="69"/>
    </x:row>
    <x:row r="490" ht="15" hidden="0" customHeight="1">
      <x:c r="A490" t="str">
        <x:v>MAGN</x:v>
      </x:c>
      <x:c r="B490" t="str">
        <x:v>1П2026</x:v>
      </x:c>
      <x:c r="C490" s="73" t="str">
        <x:v>Арендные обязательства вне кредитов</x:v>
      </x:c>
      <x:c r="D490" s="73" t="str">
        <x:v>Раскрытое значение / ранее внесенное значение</x:v>
      </x:c>
      <x:c r="E490" s="74" t="n">
        <x:v>2259</x:v>
      </x:c>
      <x:c r="F490" s="73" t="str">
        <x:v>MAGN_2026H1.pdf</x:v>
      </x:c>
      <x:c r="G490" s="73" t="str">
        <x:v>19</x:v>
      </x:c>
      <x:c r="H490" s="73" t="str">
        <x:v>Страница найдена по сумме; определение требует сверки</x:v>
      </x:c>
      <x:c r="I490" s="69"/>
      <x:c r="J490" s="69"/>
      <x:c r="K490" s="69"/>
    </x:row>
    <x:row r="491" ht="15" hidden="0" customHeight="1">
      <x:c r="A491" t="str">
        <x:v>MAGN</x:v>
      </x:c>
      <x:c r="B491" t="str">
        <x:v>1П2026</x:v>
      </x:c>
      <x:c r="C491" s="73" t="str">
        <x:v>Неконтролирующие доли</x:v>
      </x:c>
      <x:c r="D491" s="73" t="str">
        <x:v>Раскрытое значение / ранее внесенное значение</x:v>
      </x:c>
      <x:c r="E491" s="74" t="n">
        <x:v>155</x:v>
      </x:c>
      <x:c r="F491" s="73" t="str">
        <x:v>MAGN_2026H1.pdf</x:v>
      </x:c>
      <x:c r="G491" s="73" t="str">
        <x:v>6, 7, 8, 12, 13</x:v>
      </x:c>
      <x:c r="H491" s="73" t="str">
        <x:v>Страница найдена по сумме; определение требует сверки</x:v>
      </x:c>
      <x:c r="I491" s="69"/>
      <x:c r="J491" s="69"/>
      <x:c r="K491" s="69"/>
    </x:row>
    <x:row r="492" ht="15" hidden="0" customHeight="1">
      <x:c r="A492" t="str">
        <x:v>ENPG</x:v>
      </x:c>
      <x:c r="B492" t="str">
        <x:v>1П2026</x:v>
      </x:c>
      <x:c r="C492" s="73" t="str">
        <x:v>Выручка</x:v>
      </x:c>
      <x:c r="D492" s="73" t="str">
        <x:v>Раскрытое значение / ранее внесенное значение</x:v>
      </x:c>
      <x:c r="E492" s="74" t="n">
        <x:v>772009.5677016574</x:v>
      </x:c>
      <x:c r="F492" s="73" t="str">
        <x:v>ENPG_2026H1.pdf</x:v>
      </x:c>
      <x:c r="G492" s="73" t="str">
        <x:v>19</x:v>
      </x:c>
      <x:c r="H492" s="73" t="str">
        <x:v>Страница найдена по сумме; определение требует сверки</x:v>
      </x:c>
      <x:c r="I492" s="69"/>
      <x:c r="J492" s="69"/>
      <x:c r="K492" s="69"/>
    </x:row>
    <x:row r="493" ht="15" hidden="0" customHeight="1">
      <x:c r="A493" t="str">
        <x:v>ENPG</x:v>
      </x:c>
      <x:c r="B493" t="str">
        <x:v>1П2026</x:v>
      </x:c>
      <x:c r="C493" s="73" t="str">
        <x:v>Скорр. EBITDA</x:v>
      </x:c>
      <x:c r="D493" s="73" t="str">
        <x:v>Раскрытое значение / ранее внесенное значение</x:v>
      </x:c>
      <x:c r="E493" s="74" t="n">
        <x:v>177762.34554143646</x:v>
      </x:c>
      <x:c r="F493" s="73" t="str">
        <x:v>ENPG_2026H1.pdf</x:v>
      </x:c>
      <x:c r="G493" s="73" t="str"/>
      <x:c r="H493" s="73" t="str">
        <x:v>Страница пока не подтверждена</x:v>
      </x:c>
      <x:c r="I493" s="69"/>
      <x:c r="J493" s="69"/>
      <x:c r="K493" s="69"/>
    </x:row>
    <x:row r="494" ht="15" hidden="0" customHeight="1">
      <x:c r="A494" t="str">
        <x:v>ENPG</x:v>
      </x:c>
      <x:c r="B494" t="str">
        <x:v>1П2026</x:v>
      </x:c>
      <x:c r="C494" s="73" t="str">
        <x:v>ЧП акционеров</x:v>
      </x:c>
      <x:c r="D494" s="73" t="str">
        <x:v>Раскрытое значение / ранее внесенное значение</x:v>
      </x:c>
      <x:c r="E494" s="74" t="n">
        <x:v>55383.62720994475</x:v>
      </x:c>
      <x:c r="F494" s="73" t="str">
        <x:v>ENPG_2026H1.pdf</x:v>
      </x:c>
      <x:c r="G494" s="73" t="str"/>
      <x:c r="H494" s="73" t="str">
        <x:v>Страница пока не подтверждена</x:v>
      </x:c>
      <x:c r="I494" s="69"/>
      <x:c r="J494" s="69"/>
      <x:c r="K494" s="69"/>
    </x:row>
    <x:row r="495" ht="15" hidden="0" customHeight="1">
      <x:c r="A495" t="str">
        <x:v>ENPG</x:v>
      </x:c>
      <x:c r="B495" t="str">
        <x:v>1П2026</x:v>
      </x:c>
      <x:c r="C495" s="73" t="str">
        <x:v>Капитал акционеров</x:v>
      </x:c>
      <x:c r="D495" s="73" t="str">
        <x:v>Раскрытое значение / ранее внесенное значение</x:v>
      </x:c>
      <x:c r="E495" s="74" t="n">
        <x:v>760510.8959</x:v>
      </x:c>
      <x:c r="F495" s="73" t="str">
        <x:v>ENPG_2026H1.pdf</x:v>
      </x:c>
      <x:c r="G495" s="73" t="str"/>
      <x:c r="H495" s="73" t="str">
        <x:v>Страница пока не подтверждена</x:v>
      </x:c>
      <x:c r="I495" s="69"/>
      <x:c r="J495" s="69"/>
      <x:c r="K495" s="69"/>
    </x:row>
    <x:row r="496" ht="15" hidden="0" customHeight="1">
      <x:c r="A496" t="str">
        <x:v>ENPG</x:v>
      </x:c>
      <x:c r="B496" t="str">
        <x:v>1П2026</x:v>
      </x:c>
      <x:c r="C496" s="73" t="str">
        <x:v>Неконтролирующие доли</x:v>
      </x:c>
      <x:c r="D496" s="73" t="str">
        <x:v>Раскрытое значение / ранее внесенное значение</x:v>
      </x:c>
      <x:c r="E496" s="74" t="n">
        <x:v>402842.9559</x:v>
      </x:c>
      <x:c r="F496" s="73" t="str">
        <x:v>ENPG_2026H1.pdf</x:v>
      </x:c>
      <x:c r="G496" s="73" t="str"/>
      <x:c r="H496" s="73" t="str">
        <x:v>Страница пока не подтверждена</x:v>
      </x:c>
      <x:c r="I496" s="69"/>
      <x:c r="J496" s="69"/>
      <x:c r="K496" s="69"/>
    </x:row>
    <x:row r="497" ht="15" hidden="0" customHeight="1">
      <x:c r="A497" t="str">
        <x:v>MDMG</x:v>
      </x:c>
      <x:c r="B497" t="str">
        <x:v>1П2026</x:v>
      </x:c>
      <x:c r="C497" s="73" t="str">
        <x:v>Чистый долг</x:v>
      </x:c>
      <x:c r="D497" s="73" t="str">
        <x:v>Раскрытое значение / ранее внесенное значение</x:v>
      </x:c>
      <x:c r="E497" s="74" t="n">
        <x:v>6261</x:v>
      </x:c>
      <x:c r="F497" s="73" t="str">
        <x:v>MD Medical Group — 6M 2026 IFRS Financial Results (официальный пресс-релиз)</x:v>
      </x:c>
      <x:c r="G497" s="73" t="str">
        <x:v>PDF стр. 1, 6</x:v>
      </x:c>
      <x:c r="H497" s="73" t="str">
        <x:v>Подтверждено: чистый долг 6 261 млн руб., включая аренду; округленное раскрытие</x:v>
      </x:c>
      <x:c r="I497" s="69"/>
      <x:c r="J497" s="69"/>
      <x:c r="K497" s="69"/>
    </x:row>
    <x:row r="498" ht="15" hidden="0" customHeight="1">
      <x:c r="A498" t="str">
        <x:v>MDMG</x:v>
      </x:c>
      <x:c r="B498" t="str">
        <x:v>1П2026</x:v>
      </x:c>
      <x:c r="C498" s="73" t="str">
        <x:v>Выручка</x:v>
      </x:c>
      <x:c r="D498" s="73" t="str">
        <x:v>Раскрытое значение / ранее внесенное значение</x:v>
      </x:c>
      <x:c r="E498" s="74" t="n">
        <x:v>24809.227</x:v>
      </x:c>
      <x:c r="F498" s="73" t="str">
        <x:v>MD Medical Group — 6M 2026 IFRS Financial Results (официальный пресс-релиз)</x:v>
      </x:c>
      <x:c r="G498" s="73" t="str">
        <x:v>PDF стр. 1, 3</x:v>
      </x:c>
      <x:c r="H498" s="73" t="str">
        <x:v>Подтверждено: выручка за 6 месяцев 2026</x:v>
      </x:c>
      <x:c r="I498" s="69"/>
      <x:c r="J498" s="69"/>
      <x:c r="K498" s="69"/>
    </x:row>
    <x:row r="499" ht="15" hidden="0" customHeight="1">
      <x:c r="A499" t="str">
        <x:v>MDMG</x:v>
      </x:c>
      <x:c r="B499" t="str">
        <x:v>1П2026</x:v>
      </x:c>
      <x:c r="C499" s="73" t="str">
        <x:v>EBITDA</x:v>
      </x:c>
      <x:c r="D499" s="73" t="str">
        <x:v>Раскрытое значение / ранее внесенное значение</x:v>
      </x:c>
      <x:c r="E499" s="74" t="n">
        <x:v>6986</x:v>
      </x:c>
      <x:c r="F499" s="73" t="str">
        <x:v>MD Medical Group — 6M 2026 IFRS Financial Results (официальный пресс-релиз)</x:v>
      </x:c>
      <x:c r="G499" s="73" t="str">
        <x:v>PDF стр. 1, 3, 5</x:v>
      </x:c>
      <x:c r="H499" s="73" t="str">
        <x:v>Подтверждено: раскрытая EBITDA компании</x:v>
      </x:c>
      <x:c r="I499" s="69"/>
      <x:c r="J499" s="69"/>
      <x:c r="K499" s="69"/>
    </x:row>
    <x:row r="500" ht="15" hidden="0" customHeight="1">
      <x:c r="A500" t="str">
        <x:v>MDMG</x:v>
      </x:c>
      <x:c r="B500" t="str">
        <x:v>1П2026</x:v>
      </x:c>
      <x:c r="C500" s="73" t="str">
        <x:v>ЧП акционеров</x:v>
      </x:c>
      <x:c r="D500" s="73" t="str">
        <x:v>Раскрытое значение / ранее внесенное значение</x:v>
      </x:c>
      <x:c r="E500" s="74" t="n">
        <x:v>5196.444</x:v>
      </x:c>
      <x:c r="F500" s="73" t="str">
        <x:v>MD Medical Group — Interim Condensed Consolidated Financial Statements, 6M 2026 (официальный сайт компании)</x:v>
      </x:c>
      <x:c r="G500" s="73" t="str">
        <x:v>PDF стр. 7</x:v>
      </x:c>
      <x:c r="H500" s="73" t="str">
        <x:v>Подтверждено: прибыль, относимая к акционерам материнской компании</x:v>
      </x:c>
      <x:c r="I500" s="69"/>
      <x:c r="J500" s="69"/>
      <x:c r="K500" s="69"/>
    </x:row>
    <x:row r="501" ht="15" hidden="0" customHeight="1">
      <x:c r="A501" t="str">
        <x:v>MDMG</x:v>
      </x:c>
      <x:c r="B501" t="str">
        <x:v>1П2026</x:v>
      </x:c>
      <x:c r="C501" s="73" t="str">
        <x:v>Капитал акционеров</x:v>
      </x:c>
      <x:c r="D501" s="73" t="str">
        <x:v>Раскрытое значение / ранее внесенное значение</x:v>
      </x:c>
      <x:c r="E501" s="74" t="n">
        <x:v>38169.801</x:v>
      </x:c>
      <x:c r="F501" s="73" t="str">
        <x:v>MD Medical Group — Interim Condensed Consolidated Financial Statements, 6M 2026 (официальный сайт компании)</x:v>
      </x:c>
      <x:c r="G501" s="73" t="str">
        <x:v>PDF стр. 5, 7</x:v>
      </x:c>
      <x:c r="H501" s="73" t="str">
        <x:v>Подтверждено: капитал акционеров материнской компании</x:v>
      </x:c>
      <x:c r="I501" s="69"/>
      <x:c r="J501" s="69"/>
      <x:c r="K501" s="69"/>
    </x:row>
    <x:row r="502" ht="15" hidden="0" customHeight="1">
      <x:c r="A502" t="str">
        <x:v>MDMG</x:v>
      </x:c>
      <x:c r="B502" t="str">
        <x:v>1П2026</x:v>
      </x:c>
      <x:c r="C502" s="73" t="str">
        <x:v>Неконтролирующие доли</x:v>
      </x:c>
      <x:c r="D502" s="73" t="str">
        <x:v>Раскрытое значение / ранее внесенное значение</x:v>
      </x:c>
      <x:c r="E502" s="74" t="n">
        <x:v>272.426</x:v>
      </x:c>
      <x:c r="F502" s="73" t="str">
        <x:v>MD Medical Group — Interim Condensed Consolidated Financial Statements, 6M 2026 (официальный сайт компании)</x:v>
      </x:c>
      <x:c r="G502" s="73" t="str">
        <x:v>PDF стр. 5, 7</x:v>
      </x:c>
      <x:c r="H502" s="73" t="str">
        <x:v>Подтверждено: неконтролирующие доли показаны отдельно</x:v>
      </x:c>
      <x:c r="I502" s="69"/>
      <x:c r="J502" s="69"/>
      <x:c r="K502" s="69"/>
    </x:row>
    <x:row r="503" ht="15" hidden="0" customHeight="1">
      <x:c r="A503" t="str">
        <x:v>LENT</x:v>
      </x:c>
      <x:c r="B503" t="str">
        <x:v>1П2026</x:v>
      </x:c>
      <x:c r="C503" s="73" t="str">
        <x:v>Выручка</x:v>
      </x:c>
      <x:c r="D503" s="73" t="str">
        <x:v>Раскрытое значение / ранее внесенное значение</x:v>
      </x:c>
      <x:c r="E503" s="74" t="n">
        <x:v>648488.059</x:v>
      </x:c>
      <x:c r="F503" s="73" t="str">
        <x:v>LENT_2026H1.pdf</x:v>
      </x:c>
      <x:c r="G503" s="73" t="str">
        <x:v>7, 24, 34</x:v>
      </x:c>
      <x:c r="H503" s="73" t="str">
        <x:v>Страница найдена по сумме; определение требует сверки</x:v>
      </x:c>
      <x:c r="I503" s="69"/>
      <x:c r="J503" s="69"/>
      <x:c r="K503" s="69"/>
    </x:row>
    <x:row r="504" ht="15" hidden="0" customHeight="1">
      <x:c r="A504" t="str">
        <x:v>LENT</x:v>
      </x:c>
      <x:c r="B504" t="str">
        <x:v>1П2026</x:v>
      </x:c>
      <x:c r="C504" s="73" t="str">
        <x:v>Скорр. EBITDA</x:v>
      </x:c>
      <x:c r="D504" s="73" t="str">
        <x:v>Раскрытое значение / ранее внесенное значение</x:v>
      </x:c>
      <x:c r="E504" s="74" t="n">
        <x:v>58289.515</x:v>
      </x:c>
      <x:c r="F504" s="73" t="str">
        <x:v>LENT_2026H1.pdf</x:v>
      </x:c>
      <x:c r="G504" s="73" t="str">
        <x:v>24</x:v>
      </x:c>
      <x:c r="H504" s="73" t="str">
        <x:v>Страница найдена по сумме; определение требует сверки</x:v>
      </x:c>
      <x:c r="I504" s="69"/>
      <x:c r="J504" s="69"/>
      <x:c r="K504" s="69"/>
    </x:row>
    <x:row r="505" ht="15" hidden="0" customHeight="1">
      <x:c r="A505" t="str">
        <x:v>LENT</x:v>
      </x:c>
      <x:c r="B505" t="str">
        <x:v>1П2026</x:v>
      </x:c>
      <x:c r="C505" s="73" t="str">
        <x:v>ЧП акционеров</x:v>
      </x:c>
      <x:c r="D505" s="73" t="str">
        <x:v>Раскрытое значение / ранее внесенное значение</x:v>
      </x:c>
      <x:c r="E505" s="74" t="n">
        <x:v>10612.827</x:v>
      </x:c>
      <x:c r="F505" s="73" t="str">
        <x:v>LENT_2026H1.pdf</x:v>
      </x:c>
      <x:c r="G505" s="73" t="str">
        <x:v>7, 9, 30</x:v>
      </x:c>
      <x:c r="H505" s="73" t="str">
        <x:v>Страница найдена по сумме; определение требует сверки</x:v>
      </x:c>
      <x:c r="I505" s="69"/>
      <x:c r="J505" s="69"/>
      <x:c r="K505" s="69"/>
    </x:row>
    <x:row r="506" ht="15" hidden="0" customHeight="1">
      <x:c r="A506" t="str">
        <x:v>LENT</x:v>
      </x:c>
      <x:c r="B506" t="str">
        <x:v>1П2026</x:v>
      </x:c>
      <x:c r="C506" s="73" t="str">
        <x:v>Капитал акционеров</x:v>
      </x:c>
      <x:c r="D506" s="73" t="str">
        <x:v>Раскрытое значение / ранее внесенное значение</x:v>
      </x:c>
      <x:c r="E506" s="74" t="n">
        <x:v>189728.624</x:v>
      </x:c>
      <x:c r="F506" s="73" t="str">
        <x:v>LENT_2026H1.pdf</x:v>
      </x:c>
      <x:c r="G506" s="73" t="str">
        <x:v>9</x:v>
      </x:c>
      <x:c r="H506" s="73" t="str">
        <x:v>Страница найдена по сумме; определение требует сверки</x:v>
      </x:c>
      <x:c r="I506" s="69"/>
      <x:c r="J506" s="69"/>
      <x:c r="K506" s="69"/>
    </x:row>
    <x:row r="507" ht="15" hidden="0" customHeight="1">
      <x:c r="A507" t="str">
        <x:v>LENT</x:v>
      </x:c>
      <x:c r="B507" t="str">
        <x:v>1П2026</x:v>
      </x:c>
      <x:c r="C507" s="73" t="str">
        <x:v>Краткосрочный долг</x:v>
      </x:c>
      <x:c r="D507" s="73" t="str">
        <x:v>Раскрытое значение / ранее внесенное значение</x:v>
      </x:c>
      <x:c r="E507" s="74" t="n">
        <x:v>42553.313</x:v>
      </x:c>
      <x:c r="F507" s="73" t="str">
        <x:v>LENT_2026H1.pdf</x:v>
      </x:c>
      <x:c r="G507" s="73" t="str">
        <x:v>6</x:v>
      </x:c>
      <x:c r="H507" s="73" t="str">
        <x:v>Сверено с таблицей отчета</x:v>
      </x:c>
      <x:c r="I507" s="69"/>
      <x:c r="J507" s="69"/>
      <x:c r="K507" s="69"/>
    </x:row>
    <x:row r="508" ht="15" hidden="0" customHeight="1">
      <x:c r="A508" t="str">
        <x:v>LENT</x:v>
      </x:c>
      <x:c r="B508" t="str">
        <x:v>1П2026</x:v>
      </x:c>
      <x:c r="C508" s="73" t="str">
        <x:v>Долгосрочный долг</x:v>
      </x:c>
      <x:c r="D508" s="73" t="str">
        <x:v>Раскрытое значение / ранее внесенное значение</x:v>
      </x:c>
      <x:c r="E508" s="74" t="n">
        <x:v>100030.371</x:v>
      </x:c>
      <x:c r="F508" s="73" t="str">
        <x:v>LENT_2026H1.pdf</x:v>
      </x:c>
      <x:c r="G508" s="73" t="str">
        <x:v>6</x:v>
      </x:c>
      <x:c r="H508" s="73" t="str">
        <x:v>Сверено с таблицей отчета</x:v>
      </x:c>
      <x:c r="I508" s="69"/>
      <x:c r="J508" s="69"/>
      <x:c r="K508" s="69"/>
    </x:row>
    <x:row r="509" ht="15" hidden="0" customHeight="1">
      <x:c r="A509" t="str">
        <x:v>LENT</x:v>
      </x:c>
      <x:c r="B509" t="str">
        <x:v>1П2026</x:v>
      </x:c>
      <x:c r="C509" s="73" t="str">
        <x:v>Денежные средства</x:v>
      </x:c>
      <x:c r="D509" s="73" t="str">
        <x:v>Раскрытое значение / ранее внесенное значение</x:v>
      </x:c>
      <x:c r="E509" s="74" t="n">
        <x:v>25172.516</x:v>
      </x:c>
      <x:c r="F509" s="73" t="str">
        <x:v>LENT_2026H1.pdf</x:v>
      </x:c>
      <x:c r="G509" s="73" t="str">
        <x:v>6</x:v>
      </x:c>
      <x:c r="H509" s="73" t="str">
        <x:v>Сверено с таблицей отчета</x:v>
      </x:c>
      <x:c r="I509" s="69"/>
      <x:c r="J509" s="69"/>
      <x:c r="K509" s="69"/>
    </x:row>
    <x:row r="510" ht="15" hidden="0" customHeight="1">
      <x:c r="A510" t="str">
        <x:v>LENT</x:v>
      </x:c>
      <x:c r="B510" t="str">
        <x:v>1П2026</x:v>
      </x:c>
      <x:c r="C510" s="73" t="str">
        <x:v>Арендные обязательства вне кредитов</x:v>
      </x:c>
      <x:c r="D510" s="73" t="str">
        <x:v>Раскрытое значение / ранее внесенное значение</x:v>
      </x:c>
      <x:c r="E510" s="74" t="n">
        <x:v>159265.87</x:v>
      </x:c>
      <x:c r="F510" s="73" t="str">
        <x:v>LENT_2026H1.pdf</x:v>
      </x:c>
      <x:c r="G510" s="73" t="str">
        <x:v>21, 37</x:v>
      </x:c>
      <x:c r="H510" s="73" t="str">
        <x:v>Страница найдена по сумме; определение требует сверки</x:v>
      </x:c>
      <x:c r="I510" s="69"/>
      <x:c r="J510" s="69"/>
      <x:c r="K510" s="69"/>
    </x:row>
    <x:row r="511" ht="15" hidden="0" customHeight="1">
      <x:c r="A511" t="str">
        <x:v>LENT</x:v>
      </x:c>
      <x:c r="B511" t="str">
        <x:v>1П2026</x:v>
      </x:c>
      <x:c r="C511" s="73" t="str">
        <x:v>Неконтролирующие доли</x:v>
      </x:c>
      <x:c r="D511" s="73" t="str">
        <x:v>Раскрытое значение / ранее внесенное значение</x:v>
      </x:c>
      <x:c r="E511" s="74" t="n">
        <x:v>991.707</x:v>
      </x:c>
      <x:c r="F511" s="73" t="str">
        <x:v>LENT_2026H1.pdf</x:v>
      </x:c>
      <x:c r="G511" s="73" t="str">
        <x:v>6, 9</x:v>
      </x:c>
      <x:c r="H511" s="73" t="str">
        <x:v>Страница найдена по сумме; определение требует сверки</x:v>
      </x:c>
      <x:c r="I511" s="69"/>
      <x:c r="J511" s="69"/>
      <x:c r="K511" s="69"/>
    </x:row>
    <x:row r="512" ht="15" hidden="0" customHeight="1">
      <x:c r="A512" t="str">
        <x:v>FLOT</x:v>
      </x:c>
      <x:c r="B512" t="str">
        <x:v>1П2026</x:v>
      </x:c>
      <x:c r="C512" s="73" t="str">
        <x:v>Выручка</x:v>
      </x:c>
      <x:c r="D512" s="73" t="str">
        <x:v>Раскрытое значение / ранее внесенное значение</x:v>
      </x:c>
      <x:c r="E512" s="74" t="n">
        <x:v>78101</x:v>
      </x:c>
      <x:c r="F512" s="73" t="str">
        <x:v>FLOT_2026H1.pdf</x:v>
      </x:c>
      <x:c r="G512" s="73" t="str">
        <x:v>5</x:v>
      </x:c>
      <x:c r="H512" s="73" t="str">
        <x:v>Страница найдена по сумме; определение требует сверки</x:v>
      </x:c>
      <x:c r="I512" s="69"/>
      <x:c r="J512" s="69"/>
      <x:c r="K512" s="69"/>
    </x:row>
    <x:row r="513" ht="15" hidden="0" customHeight="1">
      <x:c r="A513" t="str">
        <x:v>FLOT</x:v>
      </x:c>
      <x:c r="B513" t="str">
        <x:v>1П2026</x:v>
      </x:c>
      <x:c r="C513" s="73" t="str">
        <x:v>ЧП акционеров</x:v>
      </x:c>
      <x:c r="D513" s="73" t="str">
        <x:v>Раскрытое значение / ранее внесенное значение</x:v>
      </x:c>
      <x:c r="E513" s="74" t="n">
        <x:v>21058</x:v>
      </x:c>
      <x:c r="F513" s="73" t="str">
        <x:v>FLOT_2026H1.pdf</x:v>
      </x:c>
      <x:c r="G513" s="73" t="str">
        <x:v>5, 8</x:v>
      </x:c>
      <x:c r="H513" s="73" t="str">
        <x:v>Страница найдена по сумме; определение требует сверки</x:v>
      </x:c>
      <x:c r="I513" s="69"/>
      <x:c r="J513" s="69"/>
      <x:c r="K513" s="69"/>
    </x:row>
    <x:row r="514" ht="15" hidden="0" customHeight="1">
      <x:c r="A514" t="str">
        <x:v>FLOT</x:v>
      </x:c>
      <x:c r="B514" t="str">
        <x:v>1П2026</x:v>
      </x:c>
      <x:c r="C514" s="73" t="str">
        <x:v>Капитал акционеров</x:v>
      </x:c>
      <x:c r="D514" s="73" t="str">
        <x:v>Раскрытое значение / ранее внесенное значение</x:v>
      </x:c>
      <x:c r="E514" s="74" t="n">
        <x:v>364723</x:v>
      </x:c>
      <x:c r="F514" s="73" t="str">
        <x:v>FLOT_2026H1.pdf</x:v>
      </x:c>
      <x:c r="G514" s="73" t="str">
        <x:v>7, 8</x:v>
      </x:c>
      <x:c r="H514" s="73" t="str">
        <x:v>Страница найдена по сумме; определение требует сверки</x:v>
      </x:c>
      <x:c r="I514" s="69"/>
      <x:c r="J514" s="69"/>
      <x:c r="K514" s="69"/>
    </x:row>
    <x:row r="515" ht="15" hidden="0" customHeight="1">
      <x:c r="A515" t="str">
        <x:v>FLOT</x:v>
      </x:c>
      <x:c r="B515" t="str">
        <x:v>1П2026</x:v>
      </x:c>
      <x:c r="C515" s="73" t="str">
        <x:v>Краткосрочный долг</x:v>
      </x:c>
      <x:c r="D515" s="73" t="str">
        <x:v>Раскрытое значение / ранее внесенное значение</x:v>
      </x:c>
      <x:c r="E515" s="74" t="n">
        <x:v>20992</x:v>
      </x:c>
      <x:c r="F515" s="73" t="str">
        <x:v>FLOT_2026H1.pdf</x:v>
      </x:c>
      <x:c r="G515" s="73" t="str"/>
      <x:c r="H515" s="73" t="str">
        <x:v>Страница пока не подтверждена</x:v>
      </x:c>
      <x:c r="I515" s="69"/>
      <x:c r="J515" s="69"/>
      <x:c r="K515" s="69"/>
    </x:row>
    <x:row r="516" ht="15" hidden="0" customHeight="1">
      <x:c r="A516" t="str">
        <x:v>FLOT</x:v>
      </x:c>
      <x:c r="B516" t="str">
        <x:v>1П2026</x:v>
      </x:c>
      <x:c r="C516" s="73" t="str">
        <x:v>Долгосрочный долг</x:v>
      </x:c>
      <x:c r="D516" s="73" t="str">
        <x:v>Раскрытое значение / ранее внесенное значение</x:v>
      </x:c>
      <x:c r="E516" s="74" t="n">
        <x:v>132346</x:v>
      </x:c>
      <x:c r="F516" s="73" t="str">
        <x:v>FLOT_2026H1.pdf</x:v>
      </x:c>
      <x:c r="G516" s="73" t="str"/>
      <x:c r="H516" s="73" t="str">
        <x:v>Страница пока не подтверждена</x:v>
      </x:c>
      <x:c r="I516" s="69"/>
      <x:c r="J516" s="69"/>
      <x:c r="K516" s="69"/>
    </x:row>
    <x:row r="517" ht="15" hidden="0" customHeight="1">
      <x:c r="A517" t="str">
        <x:v>FLOT</x:v>
      </x:c>
      <x:c r="B517" t="str">
        <x:v>1П2026</x:v>
      </x:c>
      <x:c r="C517" s="73" t="str">
        <x:v>Денежные средства</x:v>
      </x:c>
      <x:c r="D517" s="73" t="str">
        <x:v>Раскрытое значение / ранее внесенное значение</x:v>
      </x:c>
      <x:c r="E517" s="74" t="n">
        <x:v>51441</x:v>
      </x:c>
      <x:c r="F517" s="73" t="str">
        <x:v>FLOT_2026H1.pdf</x:v>
      </x:c>
      <x:c r="G517" s="73" t="str">
        <x:v>7, 9, 12</x:v>
      </x:c>
      <x:c r="H517" s="73" t="str">
        <x:v>Страница найдена по сумме; определение требует сверки</x:v>
      </x:c>
      <x:c r="I517" s="69"/>
      <x:c r="J517" s="69"/>
      <x:c r="K517" s="69"/>
    </x:row>
    <x:row r="518" ht="15" hidden="0" customHeight="1">
      <x:c r="A518" t="str">
        <x:v>FLOT</x:v>
      </x:c>
      <x:c r="B518" t="str">
        <x:v>1П2026</x:v>
      </x:c>
      <x:c r="C518" s="73" t="str">
        <x:v>Арендные обязательства вне кредитов</x:v>
      </x:c>
      <x:c r="D518" s="73" t="str">
        <x:v>Раскрытое значение / ранее внесенное значение</x:v>
      </x:c>
      <x:c r="E518" s="74" t="n">
        <x:v>2024</x:v>
      </x:c>
      <x:c r="F518" s="73" t="str">
        <x:v>FLOT_2026H1.pdf</x:v>
      </x:c>
      <x:c r="G518" s="73" t="str"/>
      <x:c r="H518" s="73" t="str">
        <x:v>Страница пока не подтверждена</x:v>
      </x:c>
      <x:c r="I518" s="69"/>
      <x:c r="J518" s="69"/>
      <x:c r="K518" s="69"/>
    </x:row>
    <x:row r="519" ht="15" hidden="0" customHeight="1">
      <x:c r="A519" t="str">
        <x:v>FLOT</x:v>
      </x:c>
      <x:c r="B519" t="str">
        <x:v>1П2026</x:v>
      </x:c>
      <x:c r="C519" s="73" t="str">
        <x:v>Неконтролирующие доли</x:v>
      </x:c>
      <x:c r="D519" s="73" t="str">
        <x:v>Раскрытое значение / ранее внесенное значение</x:v>
      </x:c>
      <x:c r="E519" s="74" t="n">
        <x:v>10417</x:v>
      </x:c>
      <x:c r="F519" s="73" t="str">
        <x:v>FLOT_2026H1.pdf</x:v>
      </x:c>
      <x:c r="G519" s="73" t="str">
        <x:v>7, 8</x:v>
      </x:c>
      <x:c r="H519" s="73" t="str">
        <x:v>Страница найдена по сумме; определение требует сверки</x:v>
      </x:c>
      <x:c r="I519" s="69"/>
      <x:c r="J519" s="69"/>
      <x:c r="K519" s="69"/>
    </x:row>
    <x:row r="520" ht="15" hidden="0" customHeight="1">
      <x:c r="A520" t="str">
        <x:v>BSPB</x:v>
      </x:c>
      <x:c r="B520" t="str">
        <x:v>1П2026</x:v>
      </x:c>
      <x:c r="C520" s="73" t="str">
        <x:v>ЧП акционеров</x:v>
      </x:c>
      <x:c r="D520" s="73" t="str">
        <x:v>Раскрытое значение / ранее внесенное значение</x:v>
      </x:c>
      <x:c r="E520" s="74" t="n">
        <x:v>16491</x:v>
      </x:c>
      <x:c r="F520" s="73" t="str">
        <x:v>BSPB_2026H1.pdf</x:v>
      </x:c>
      <x:c r="G520" s="73" t="str">
        <x:v>6, 41</x:v>
      </x:c>
      <x:c r="H520" s="73" t="str">
        <x:v>Страница найдена по сумме; определение требует сверки</x:v>
      </x:c>
      <x:c r="I520" s="69"/>
      <x:c r="J520" s="69"/>
      <x:c r="K520" s="69"/>
    </x:row>
    <x:row r="521" ht="15" hidden="0" customHeight="1">
      <x:c r="A521" t="str">
        <x:v>BSPB</x:v>
      </x:c>
      <x:c r="B521" t="str">
        <x:v>1П2026</x:v>
      </x:c>
      <x:c r="C521" s="73" t="str">
        <x:v>Капитал акционеров</x:v>
      </x:c>
      <x:c r="D521" s="73" t="str">
        <x:v>Раскрытое значение / ранее внесенное значение</x:v>
      </x:c>
      <x:c r="E521" s="74" t="n">
        <x:v>218353</x:v>
      </x:c>
      <x:c r="F521" s="73" t="str">
        <x:v>BSPB_2026H1.pdf</x:v>
      </x:c>
      <x:c r="G521" s="73" t="str"/>
      <x:c r="H521" s="73" t="str">
        <x:v>Страница пока не подтверждена</x:v>
      </x:c>
      <x:c r="I521" s="69"/>
      <x:c r="J521" s="69"/>
      <x:c r="K521" s="69"/>
    </x:row>
    <x:row r="522" ht="15" hidden="0" customHeight="1">
      <x:c r="A522" t="str">
        <x:v>BSPB</x:v>
      </x:c>
      <x:c r="B522" t="str">
        <x:v>1П2026</x:v>
      </x:c>
      <x:c r="C522" s="73" t="str">
        <x:v>Неконтролирующие доли</x:v>
      </x:c>
      <x:c r="D522" s="73" t="str">
        <x:v>Раскрытое значение / ранее внесенное значение</x:v>
      </x:c>
      <x:c r="E522" s="74" t="n">
        <x:v>41</x:v>
      </x:c>
      <x:c r="F522" s="73" t="str">
        <x:v>BSPB_2026H1.pdf</x:v>
      </x:c>
      <x:c r="G522" s="73" t="str"/>
      <x:c r="H522" s="73" t="str">
        <x:v>Страница пока не подтверждена</x:v>
      </x:c>
      <x:c r="I522" s="69"/>
      <x:c r="J522" s="69"/>
      <x:c r="K522" s="69"/>
    </x:row>
    <x:row r="523" ht="15" hidden="0" customHeight="1">
      <x:c r="A523" t="str">
        <x:v>ALRS</x:v>
      </x:c>
      <x:c r="B523" t="str">
        <x:v>1П2026</x:v>
      </x:c>
      <x:c r="C523" s="73" t="str">
        <x:v>Чистый долг</x:v>
      </x:c>
      <x:c r="D523" s="73" t="str">
        <x:v>Раскрытое значение / ранее внесенное значение</x:v>
      </x:c>
      <x:c r="E523" s="74" t="n">
        <x:v>112116</x:v>
      </x:c>
      <x:c r="F523" s="73" t="str">
        <x:v>ALRS_2026H1.pdf</x:v>
      </x:c>
      <x:c r="G523" s="73" t="str">
        <x:v>14</x:v>
      </x:c>
      <x:c r="H523" s="73" t="str">
        <x:v>Страница найдена по сумме; определение требует сверки</x:v>
      </x:c>
      <x:c r="I523" s="69"/>
      <x:c r="J523" s="69"/>
      <x:c r="K523" s="69"/>
    </x:row>
    <x:row r="524" ht="15" hidden="0" customHeight="1">
      <x:c r="A524" t="str">
        <x:v>ALRS</x:v>
      </x:c>
      <x:c r="B524" t="str">
        <x:v>1П2026</x:v>
      </x:c>
      <x:c r="C524" s="73" t="str">
        <x:v>Выручка</x:v>
      </x:c>
      <x:c r="D524" s="73" t="str">
        <x:v>Раскрытое значение / ранее внесенное значение</x:v>
      </x:c>
      <x:c r="E524" s="74" t="n">
        <x:v>90312</x:v>
      </x:c>
      <x:c r="F524" s="73" t="str">
        <x:v>ALRS_2026H1.pdf</x:v>
      </x:c>
      <x:c r="G524" s="73" t="str">
        <x:v>7, 27, 39</x:v>
      </x:c>
      <x:c r="H524" s="73" t="str">
        <x:v>Страница найдена по сумме; определение требует сверки</x:v>
      </x:c>
      <x:c r="I524" s="69"/>
      <x:c r="J524" s="69"/>
      <x:c r="K524" s="69"/>
    </x:row>
    <x:row r="525" ht="15" hidden="0" customHeight="1">
      <x:c r="A525" t="str">
        <x:v>ALRS</x:v>
      </x:c>
      <x:c r="B525" t="str">
        <x:v>1П2026</x:v>
      </x:c>
      <x:c r="C525" s="73" t="str">
        <x:v>Скорр. EBITDA</x:v>
      </x:c>
      <x:c r="D525" s="73" t="str">
        <x:v>Раскрытое значение / ранее внесенное значение</x:v>
      </x:c>
      <x:c r="E525" s="74" t="n">
        <x:v>14349</x:v>
      </x:c>
      <x:c r="F525" s="73" t="str">
        <x:v>ALRS_2026H1.pdf</x:v>
      </x:c>
      <x:c r="G525" s="73" t="str">
        <x:v>14</x:v>
      </x:c>
      <x:c r="H525" s="73" t="str">
        <x:v>Страница найдена по сумме; определение требует сверки</x:v>
      </x:c>
      <x:c r="I525" s="69"/>
      <x:c r="J525" s="69"/>
      <x:c r="K525" s="69"/>
    </x:row>
    <x:row r="526" ht="15" hidden="0" customHeight="1">
      <x:c r="A526" t="str">
        <x:v>ALRS</x:v>
      </x:c>
      <x:c r="B526" t="str">
        <x:v>1П2026</x:v>
      </x:c>
      <x:c r="C526" s="73" t="str">
        <x:v>ЧП акционеров</x:v>
      </x:c>
      <x:c r="D526" s="73" t="str">
        <x:v>Раскрытое значение / ранее внесенное значение</x:v>
      </x:c>
      <x:c r="E526" s="74" t="n">
        <x:v>-9527</x:v>
      </x:c>
      <x:c r="F526" s="73" t="str">
        <x:v>ALRS_2026H1.pdf</x:v>
      </x:c>
      <x:c r="G526" s="73" t="str">
        <x:v>7, 9</x:v>
      </x:c>
      <x:c r="H526" s="73" t="str">
        <x:v>Страница найдена по сумме; определение требует сверки</x:v>
      </x:c>
      <x:c r="I526" s="69"/>
      <x:c r="J526" s="69"/>
      <x:c r="K526" s="69"/>
    </x:row>
    <x:row r="527" ht="15" hidden="0" customHeight="1">
      <x:c r="A527" t="str">
        <x:v>ALRS</x:v>
      </x:c>
      <x:c r="B527" t="str">
        <x:v>1П2026</x:v>
      </x:c>
      <x:c r="C527" s="73" t="str">
        <x:v>Капитал акционеров</x:v>
      </x:c>
      <x:c r="D527" s="73" t="str">
        <x:v>Раскрытое значение / ранее внесенное значение</x:v>
      </x:c>
      <x:c r="E527" s="74" t="n">
        <x:v>396998</x:v>
      </x:c>
      <x:c r="F527" s="73" t="str">
        <x:v>ALRS_2026H1.pdf</x:v>
      </x:c>
      <x:c r="G527" s="73" t="str">
        <x:v>9, 14</x:v>
      </x:c>
      <x:c r="H527" s="73" t="str">
        <x:v>Страница найдена по сумме; определение требует сверки</x:v>
      </x:c>
      <x:c r="I527" s="69"/>
      <x:c r="J527" s="69"/>
      <x:c r="K527" s="69"/>
    </x:row>
    <x:row r="528" ht="15" hidden="0" customHeight="1">
      <x:c r="A528" t="str">
        <x:v>ALRS</x:v>
      </x:c>
      <x:c r="B528" t="str">
        <x:v>1П2026</x:v>
      </x:c>
      <x:c r="C528" s="73" t="str">
        <x:v>Неконтролирующие доли</x:v>
      </x:c>
      <x:c r="D528" s="73" t="str">
        <x:v>Раскрытое значение / ранее внесенное значение</x:v>
      </x:c>
      <x:c r="E528" s="74" t="n">
        <x:v>259</x:v>
      </x:c>
      <x:c r="F528" s="73" t="str">
        <x:v>ALRS_2026H1.pdf</x:v>
      </x:c>
      <x:c r="G528" s="73" t="str">
        <x:v>9</x:v>
      </x:c>
      <x:c r="H528" s="73" t="str">
        <x:v>Страница найдена по сумме; определение требует сверки</x:v>
      </x:c>
      <x:c r="I528" s="69"/>
      <x:c r="J528" s="69"/>
      <x:c r="K528" s="69"/>
    </x:row>
    <x:row r="529" ht="15" hidden="0" customHeight="1">
      <x:c r="A529" t="str">
        <x:v>CNRU</x:v>
      </x:c>
      <x:c r="B529" t="str">
        <x:v>1П2026</x:v>
      </x:c>
      <x:c r="C529" s="73" t="str">
        <x:v>Выручка</x:v>
      </x:c>
      <x:c r="D529" s="73" t="str">
        <x:v>Раскрытое значение / ранее внесенное значение</x:v>
      </x:c>
      <x:c r="E529" s="74" t="n">
        <x:v>8320</x:v>
      </x:c>
      <x:c r="F529" s="73" t="str">
        <x:v>CNRU_2026H1.pdf</x:v>
      </x:c>
      <x:c r="G529" s="73" t="str">
        <x:v>11</x:v>
      </x:c>
      <x:c r="H529" s="73" t="str">
        <x:v>Сверено с таблицей отчета</x:v>
      </x:c>
      <x:c r="I529" s="69"/>
      <x:c r="J529" s="69"/>
      <x:c r="K529" s="69"/>
    </x:row>
    <x:row r="530" ht="15" hidden="0" customHeight="1">
      <x:c r="A530" t="str">
        <x:v>CNRU</x:v>
      </x:c>
      <x:c r="B530" t="str">
        <x:v>1П2026</x:v>
      </x:c>
      <x:c r="C530" s="73" t="str">
        <x:v>Скорр. EBITDA</x:v>
      </x:c>
      <x:c r="D530" s="73" t="str">
        <x:v>Раскрытое значение / ранее внесенное значение</x:v>
      </x:c>
      <x:c r="E530" s="74" t="n">
        <x:v>2721</x:v>
      </x:c>
      <x:c r="F530" s="73" t="str">
        <x:v>CNRU_2026H1.pdf</x:v>
      </x:c>
      <x:c r="G530" s="73" t="str">
        <x:v>11</x:v>
      </x:c>
      <x:c r="H530" s="73" t="str">
        <x:v>Сверено с таблицей отчета</x:v>
      </x:c>
      <x:c r="I530" s="69"/>
      <x:c r="J530" s="69"/>
      <x:c r="K530" s="69"/>
    </x:row>
    <x:row r="531" ht="15" hidden="0" customHeight="1">
      <x:c r="A531" t="str">
        <x:v>CNRU</x:v>
      </x:c>
      <x:c r="B531" t="str">
        <x:v>1П2026</x:v>
      </x:c>
      <x:c r="C531" s="73" t="str">
        <x:v>ЧП акционеров</x:v>
      </x:c>
      <x:c r="D531" s="73" t="str">
        <x:v>Раскрытое значение / ранее внесенное значение</x:v>
      </x:c>
      <x:c r="E531" s="74" t="n">
        <x:v>1927</x:v>
      </x:c>
      <x:c r="F531" s="73" t="str">
        <x:v>CNRU_2026H1.pdf</x:v>
      </x:c>
      <x:c r="G531" s="73" t="str"/>
      <x:c r="H531" s="73" t="str">
        <x:v>Страница пока не подтверждена</x:v>
      </x:c>
      <x:c r="I531" s="69"/>
      <x:c r="J531" s="69"/>
      <x:c r="K531" s="69"/>
    </x:row>
    <x:row r="532" ht="15" hidden="0" customHeight="1">
      <x:c r="A532" t="str">
        <x:v>CNRU</x:v>
      </x:c>
      <x:c r="B532" t="str">
        <x:v>1П2026</x:v>
      </x:c>
      <x:c r="C532" s="73" t="str">
        <x:v>Капитал акционеров</x:v>
      </x:c>
      <x:c r="D532" s="73" t="str">
        <x:v>Раскрытое значение / ранее внесенное значение</x:v>
      </x:c>
      <x:c r="E532" s="74" t="n">
        <x:v>3671</x:v>
      </x:c>
      <x:c r="F532" s="73" t="str">
        <x:v>CNRU_2026H1.pdf</x:v>
      </x:c>
      <x:c r="G532" s="73" t="str"/>
      <x:c r="H532" s="73" t="str">
        <x:v>Страница пока не подтверждена</x:v>
      </x:c>
      <x:c r="I532" s="69"/>
      <x:c r="J532" s="69"/>
      <x:c r="K532" s="69"/>
    </x:row>
    <x:row r="533" ht="15" hidden="0" customHeight="1">
      <x:c r="A533" t="str">
        <x:v>CNRU</x:v>
      </x:c>
      <x:c r="B533" t="str">
        <x:v>1П2026</x:v>
      </x:c>
      <x:c r="C533" s="73" t="str">
        <x:v>Неконтролирующие доли</x:v>
      </x:c>
      <x:c r="D533" s="73" t="str">
        <x:v>Раскрытое значение / ранее внесенное значение</x:v>
      </x:c>
      <x:c r="E533" s="74" t="n">
        <x:v>376</x:v>
      </x:c>
      <x:c r="F533" s="73" t="str">
        <x:v>CNRU_2026H1.pdf</x:v>
      </x:c>
      <x:c r="G533" s="73" t="str"/>
      <x:c r="H533" s="73" t="str">
        <x:v>Страница пока не подтверждена</x:v>
      </x:c>
      <x:c r="I533" s="69"/>
      <x:c r="J533" s="69"/>
      <x:c r="K533" s="69"/>
    </x:row>
    <x:row r="534" ht="15" hidden="0" customHeight="1">
      <x:c r="A534" t="str">
        <x:v>AFKS</x:v>
      </x:c>
      <x:c r="B534" t="str">
        <x:v>1П2026</x:v>
      </x:c>
      <x:c r="C534" s="73" t="str">
        <x:v>Выручка</x:v>
      </x:c>
      <x:c r="D534" s="73" t="str">
        <x:v>Раскрытое значение / ранее внесенное значение</x:v>
      </x:c>
      <x:c r="E534" s="74" t="n">
        <x:v>639543</x:v>
      </x:c>
      <x:c r="F534" s="73" t="str">
        <x:v>AFKS_2026H1.pdf</x:v>
      </x:c>
      <x:c r="G534" s="73" t="str">
        <x:v>5, 19, 34</x:v>
      </x:c>
      <x:c r="H534" s="73" t="str">
        <x:v>Страница найдена по сумме; определение требует сверки</x:v>
      </x:c>
      <x:c r="I534" s="69"/>
      <x:c r="J534" s="69"/>
      <x:c r="K534" s="69"/>
    </x:row>
    <x:row r="535" ht="15" hidden="0" customHeight="1">
      <x:c r="A535" t="str">
        <x:v>AFKS</x:v>
      </x:c>
      <x:c r="B535" t="str">
        <x:v>1П2026</x:v>
      </x:c>
      <x:c r="C535" s="73" t="str">
        <x:v>ЧП акционеров</x:v>
      </x:c>
      <x:c r="D535" s="73" t="str">
        <x:v>Раскрытое значение / ранее внесенное значение</x:v>
      </x:c>
      <x:c r="E535" s="74" t="n">
        <x:v>-35429</x:v>
      </x:c>
      <x:c r="F535" s="73" t="str">
        <x:v>AFKS_2026H1.pdf</x:v>
      </x:c>
      <x:c r="G535" s="73" t="str">
        <x:v>5, 9</x:v>
      </x:c>
      <x:c r="H535" s="73" t="str">
        <x:v>Страница найдена по сумме; определение требует сверки</x:v>
      </x:c>
      <x:c r="I535" s="69"/>
      <x:c r="J535" s="69"/>
      <x:c r="K535" s="69"/>
    </x:row>
    <x:row r="536" ht="15" hidden="0" customHeight="1">
      <x:c r="A536" t="str">
        <x:v>AFKS</x:v>
      </x:c>
      <x:c r="B536" t="str">
        <x:v>1П2026</x:v>
      </x:c>
      <x:c r="C536" s="73" t="str">
        <x:v>Капитал акционеров</x:v>
      </x:c>
      <x:c r="D536" s="73" t="str">
        <x:v>Раскрытое значение / ранее внесенное значение</x:v>
      </x:c>
      <x:c r="E536" s="74" t="n">
        <x:v>-205832</x:v>
      </x:c>
      <x:c r="F536" s="73" t="str">
        <x:v>AFKS_2026H1.pdf</x:v>
      </x:c>
      <x:c r="G536" s="73" t="str">
        <x:v>8, 9, 13</x:v>
      </x:c>
      <x:c r="H536" s="73" t="str">
        <x:v>Страница найдена по сумме; определение требует сверки</x:v>
      </x:c>
      <x:c r="I536" s="69"/>
      <x:c r="J536" s="69"/>
      <x:c r="K536" s="69"/>
    </x:row>
    <x:row r="537" ht="15" hidden="0" customHeight="1">
      <x:c r="A537" t="str">
        <x:v>AFKS</x:v>
      </x:c>
      <x:c r="B537" t="str">
        <x:v>1П2026</x:v>
      </x:c>
      <x:c r="C537" s="73" t="str">
        <x:v>Краткосрочный долг</x:v>
      </x:c>
      <x:c r="D537" s="73" t="str">
        <x:v>Раскрытое значение / ранее внесенное значение</x:v>
      </x:c>
      <x:c r="E537" s="74" t="n">
        <x:v>830123</x:v>
      </x:c>
      <x:c r="F537" s="73" t="str">
        <x:v>AFKS_2026H1.pdf</x:v>
      </x:c>
      <x:c r="G537" s="73" t="str">
        <x:v>8, 31</x:v>
      </x:c>
      <x:c r="H537" s="73" t="str">
        <x:v>Страница найдена по сумме; определение требует сверки</x:v>
      </x:c>
      <x:c r="I537" s="69"/>
      <x:c r="J537" s="69"/>
      <x:c r="K537" s="69"/>
    </x:row>
    <x:row r="538" ht="15" hidden="0" customHeight="1">
      <x:c r="A538" t="str">
        <x:v>AFKS</x:v>
      </x:c>
      <x:c r="B538" t="str">
        <x:v>1П2026</x:v>
      </x:c>
      <x:c r="C538" s="73" t="str">
        <x:v>Долгосрочный долг</x:v>
      </x:c>
      <x:c r="D538" s="73" t="str">
        <x:v>Раскрытое значение / ранее внесенное значение</x:v>
      </x:c>
      <x:c r="E538" s="74" t="n">
        <x:v>687238</x:v>
      </x:c>
      <x:c r="F538" s="73" t="str">
        <x:v>AFKS_2026H1.pdf</x:v>
      </x:c>
      <x:c r="G538" s="73" t="str">
        <x:v>8, 31</x:v>
      </x:c>
      <x:c r="H538" s="73" t="str">
        <x:v>Страница найдена по сумме; определение требует сверки</x:v>
      </x:c>
      <x:c r="I538" s="69"/>
      <x:c r="J538" s="69"/>
      <x:c r="K538" s="69"/>
    </x:row>
    <x:row r="539" ht="15" hidden="0" customHeight="1">
      <x:c r="A539" t="str">
        <x:v>AFKS</x:v>
      </x:c>
      <x:c r="B539" t="str">
        <x:v>1П2026</x:v>
      </x:c>
      <x:c r="C539" s="73" t="str">
        <x:v>Денежные средства</x:v>
      </x:c>
      <x:c r="D539" s="73" t="str">
        <x:v>Раскрытое значение / ранее внесенное значение</x:v>
      </x:c>
      <x:c r="E539" s="74" t="n">
        <x:v>98846</x:v>
      </x:c>
      <x:c r="F539" s="73" t="str">
        <x:v>AFKS_2026H1.pdf</x:v>
      </x:c>
      <x:c r="G539" s="73" t="str">
        <x:v>7, 11</x:v>
      </x:c>
      <x:c r="H539" s="73" t="str">
        <x:v>Страница найдена по сумме; определение требует сверки</x:v>
      </x:c>
      <x:c r="I539" s="69"/>
      <x:c r="J539" s="69"/>
      <x:c r="K539" s="69"/>
    </x:row>
    <x:row r="540" ht="15" hidden="0" customHeight="1">
      <x:c r="A540" t="str">
        <x:v>AFKS</x:v>
      </x:c>
      <x:c r="B540" t="str">
        <x:v>1П2026</x:v>
      </x:c>
      <x:c r="C540" s="73" t="str">
        <x:v>Операционная прибыль</x:v>
      </x:c>
      <x:c r="D540" s="73" t="str">
        <x:v>Раскрытое значение / ранее внесенное значение</x:v>
      </x:c>
      <x:c r="E540" s="74" t="n">
        <x:v>157093</x:v>
      </x:c>
      <x:c r="F540" s="73" t="str">
        <x:v>AFKS_2026H1.pdf</x:v>
      </x:c>
      <x:c r="G540" s="73" t="str">
        <x:v>5, 19</x:v>
      </x:c>
      <x:c r="H540" s="73" t="str">
        <x:v>Страница найдена по сумме; определение требует сверки</x:v>
      </x:c>
      <x:c r="I540" s="69"/>
      <x:c r="J540" s="69"/>
      <x:c r="K540" s="69"/>
    </x:row>
    <x:row r="541" ht="15" hidden="0" customHeight="1">
      <x:c r="A541" t="str">
        <x:v>AFKS</x:v>
      </x:c>
      <x:c r="B541" t="str">
        <x:v>1П2026</x:v>
      </x:c>
      <x:c r="C541" s="73" t="str">
        <x:v>Амортизация</x:v>
      </x:c>
      <x:c r="D541" s="73" t="str">
        <x:v>Раскрытое значение / ранее внесенное значение</x:v>
      </x:c>
      <x:c r="E541" s="74" t="n">
        <x:v>93181</x:v>
      </x:c>
      <x:c r="F541" s="73" t="str">
        <x:v>AFKS_2026H1.pdf</x:v>
      </x:c>
      <x:c r="G541" s="73" t="str">
        <x:v>5, 10</x:v>
      </x:c>
      <x:c r="H541" s="73" t="str">
        <x:v>Страница найдена по сумме; определение требует сверки</x:v>
      </x:c>
      <x:c r="I541" s="69"/>
      <x:c r="J541" s="69"/>
      <x:c r="K541" s="69"/>
    </x:row>
    <x:row r="542" ht="15" hidden="0" customHeight="1">
      <x:c r="A542" t="str">
        <x:v>AFKS</x:v>
      </x:c>
      <x:c r="B542" t="str">
        <x:v>1П2026</x:v>
      </x:c>
      <x:c r="C542" s="73" t="str">
        <x:v>Арендные обязательства вне кредитов</x:v>
      </x:c>
      <x:c r="D542" s="73" t="str">
        <x:v>Раскрытое значение / ранее внесенное значение</x:v>
      </x:c>
      <x:c r="E542" s="74" t="n">
        <x:v>221276</x:v>
      </x:c>
      <x:c r="F542" s="73" t="str">
        <x:v>AFKS_2026H1.pdf</x:v>
      </x:c>
      <x:c r="G542" s="73" t="str"/>
      <x:c r="H542" s="73" t="str">
        <x:v>Страница пока не подтверждена</x:v>
      </x:c>
      <x:c r="I542" s="69"/>
      <x:c r="J542" s="69"/>
      <x:c r="K542" s="69"/>
    </x:row>
    <x:row r="543" ht="15" hidden="0" customHeight="1">
      <x:c r="A543" t="str">
        <x:v>AFKS</x:v>
      </x:c>
      <x:c r="B543" t="str">
        <x:v>1П2026</x:v>
      </x:c>
      <x:c r="C543" s="73" t="str">
        <x:v>Неконтролирующие доли</x:v>
      </x:c>
      <x:c r="D543" s="73" t="str">
        <x:v>Раскрытое значение / ранее внесенное значение</x:v>
      </x:c>
      <x:c r="E543" s="74" t="n">
        <x:v>52112</x:v>
      </x:c>
      <x:c r="F543" s="73" t="str">
        <x:v>AFKS_2026H1.pdf</x:v>
      </x:c>
      <x:c r="G543" s="73" t="str">
        <x:v>8, 9</x:v>
      </x:c>
      <x:c r="H543" s="73" t="str">
        <x:v>Страница найдена по сумме; определение требует сверки</x:v>
      </x:c>
      <x:c r="I543" s="69"/>
      <x:c r="J543" s="69"/>
      <x:c r="K543" s="69"/>
    </x:row>
    <x:row r="544" ht="15" hidden="0" customHeight="1">
      <x:c r="A544" t="str">
        <x:v>UGLD</x:v>
      </x:c>
      <x:c r="B544" t="str">
        <x:v>1П2026</x:v>
      </x:c>
      <x:c r="C544" s="73" t="str">
        <x:v>Чистый долг</x:v>
      </x:c>
      <x:c r="D544" s="73" t="str">
        <x:v>Раскрытое значение / ранее внесенное значение</x:v>
      </x:c>
      <x:c r="E544" s="74" t="n">
        <x:v>69232</x:v>
      </x:c>
      <x:c r="F544" s="73" t="str">
        <x:v>UGLD_2026H1.pdf</x:v>
      </x:c>
      <x:c r="G544" s="73" t="str">
        <x:v>31</x:v>
      </x:c>
      <x:c r="H544" s="73" t="str">
        <x:v>Страница найдена по сумме; определение требует сверки</x:v>
      </x:c>
      <x:c r="I544" s="69"/>
      <x:c r="J544" s="69"/>
      <x:c r="K544" s="69"/>
    </x:row>
    <x:row r="545" ht="15" hidden="0" customHeight="1">
      <x:c r="A545" t="str">
        <x:v>UGLD</x:v>
      </x:c>
      <x:c r="B545" t="str">
        <x:v>1П2026</x:v>
      </x:c>
      <x:c r="C545" s="73" t="str">
        <x:v>Выручка</x:v>
      </x:c>
      <x:c r="D545" s="73" t="str">
        <x:v>Раскрытое значение / ранее внесенное значение</x:v>
      </x:c>
      <x:c r="E545" s="74" t="n">
        <x:v>84124</x:v>
      </x:c>
      <x:c r="F545" s="73" t="str">
        <x:v>UGLD_2026H1.pdf</x:v>
      </x:c>
      <x:c r="G545" s="73" t="str">
        <x:v>6, 14, 15</x:v>
      </x:c>
      <x:c r="H545" s="73" t="str">
        <x:v>Страница найдена по сумме; определение требует сверки</x:v>
      </x:c>
      <x:c r="I545" s="69"/>
      <x:c r="J545" s="69"/>
      <x:c r="K545" s="69"/>
    </x:row>
    <x:row r="546" ht="15" hidden="0" customHeight="1">
      <x:c r="A546" t="str">
        <x:v>UGLD</x:v>
      </x:c>
      <x:c r="B546" t="str">
        <x:v>1П2026</x:v>
      </x:c>
      <x:c r="C546" s="73" t="str">
        <x:v>Скорр. EBITDA</x:v>
      </x:c>
      <x:c r="D546" s="73" t="str">
        <x:v>Раскрытое значение / ранее внесенное значение</x:v>
      </x:c>
      <x:c r="E546" s="74" t="n">
        <x:v>38069</x:v>
      </x:c>
      <x:c r="F546" s="73" t="str">
        <x:v>UGLD_2026H1.pdf</x:v>
      </x:c>
      <x:c r="G546" s="73" t="str">
        <x:v>14, 31</x:v>
      </x:c>
      <x:c r="H546" s="73" t="str">
        <x:v>Страница найдена по сумме; определение требует сверки</x:v>
      </x:c>
      <x:c r="I546" s="69"/>
      <x:c r="J546" s="69"/>
      <x:c r="K546" s="69"/>
    </x:row>
    <x:row r="547" ht="15" hidden="0" customHeight="1">
      <x:c r="A547" t="str">
        <x:v>UGLD</x:v>
      </x:c>
      <x:c r="B547" t="str">
        <x:v>1П2026</x:v>
      </x:c>
      <x:c r="C547" s="73" t="str">
        <x:v>ЧП акционеров</x:v>
      </x:c>
      <x:c r="D547" s="73" t="str">
        <x:v>Раскрытое значение / ранее внесенное значение</x:v>
      </x:c>
      <x:c r="E547" s="74" t="n">
        <x:v>15359</x:v>
      </x:c>
      <x:c r="F547" s="73" t="str">
        <x:v>UGLD_2026H1.pdf</x:v>
      </x:c>
      <x:c r="G547" s="73" t="str">
        <x:v>6, 8, 25</x:v>
      </x:c>
      <x:c r="H547" s="73" t="str">
        <x:v>Страница найдена по сумме; определение требует сверки</x:v>
      </x:c>
      <x:c r="I547" s="69"/>
      <x:c r="J547" s="69"/>
      <x:c r="K547" s="69"/>
    </x:row>
    <x:row r="548" ht="15" hidden="0" customHeight="1">
      <x:c r="A548" t="str">
        <x:v>UGLD</x:v>
      </x:c>
      <x:c r="B548" t="str">
        <x:v>1П2026</x:v>
      </x:c>
      <x:c r="C548" s="73" t="str">
        <x:v>Капитал акционеров</x:v>
      </x:c>
      <x:c r="D548" s="73" t="str">
        <x:v>Раскрытое значение / ранее внесенное значение</x:v>
      </x:c>
      <x:c r="E548" s="74" t="n">
        <x:v>75382</x:v>
      </x:c>
      <x:c r="F548" s="73" t="str">
        <x:v>UGLD_2026H1.pdf</x:v>
      </x:c>
      <x:c r="G548" s="73" t="str">
        <x:v>7, 8</x:v>
      </x:c>
      <x:c r="H548" s="73" t="str">
        <x:v>Страница найдена по сумме; определение требует сверки</x:v>
      </x:c>
      <x:c r="I548" s="69"/>
      <x:c r="J548" s="69"/>
      <x:c r="K548" s="69"/>
    </x:row>
    <x:row r="549" ht="15" hidden="0" customHeight="1">
      <x:c r="A549" t="str">
        <x:v>UGLD</x:v>
      </x:c>
      <x:c r="B549" t="str">
        <x:v>1П2026</x:v>
      </x:c>
      <x:c r="C549" s="73" t="str">
        <x:v>Краткосрочный долг</x:v>
      </x:c>
      <x:c r="D549" s="73" t="str">
        <x:v>Раскрытое значение / ранее внесенное значение</x:v>
      </x:c>
      <x:c r="E549" s="74" t="n">
        <x:v>46899</x:v>
      </x:c>
      <x:c r="F549" s="73" t="str">
        <x:v>UGLD_2026H1.pdf</x:v>
      </x:c>
      <x:c r="G549" s="73" t="str">
        <x:v>7</x:v>
      </x:c>
      <x:c r="H549" s="73" t="str">
        <x:v>Сверено с таблицей отчета</x:v>
      </x:c>
      <x:c r="I549" s="69"/>
      <x:c r="J549" s="69"/>
      <x:c r="K549" s="69"/>
    </x:row>
    <x:row r="550" ht="15" hidden="0" customHeight="1">
      <x:c r="A550" t="str">
        <x:v>UGLD</x:v>
      </x:c>
      <x:c r="B550" t="str">
        <x:v>1П2026</x:v>
      </x:c>
      <x:c r="C550" s="73" t="str">
        <x:v>Долгосрочный долг</x:v>
      </x:c>
      <x:c r="D550" s="73" t="str">
        <x:v>Раскрытое значение / ранее внесенное значение</x:v>
      </x:c>
      <x:c r="E550" s="74" t="n">
        <x:v>3512</x:v>
      </x:c>
      <x:c r="F550" s="73" t="str">
        <x:v>UGLD_2026H1.pdf</x:v>
      </x:c>
      <x:c r="G550" s="73" t="str">
        <x:v>7</x:v>
      </x:c>
      <x:c r="H550" s="73" t="str">
        <x:v>Сверено с таблицей отчета</x:v>
      </x:c>
      <x:c r="I550" s="69"/>
      <x:c r="J550" s="69"/>
      <x:c r="K550" s="69"/>
    </x:row>
    <x:row r="551" ht="15" hidden="0" customHeight="1">
      <x:c r="A551" t="str">
        <x:v>UGLD</x:v>
      </x:c>
      <x:c r="B551" t="str">
        <x:v>1П2026</x:v>
      </x:c>
      <x:c r="C551" s="73" t="str">
        <x:v>Денежные средства</x:v>
      </x:c>
      <x:c r="D551" s="73" t="str">
        <x:v>Раскрытое значение / ранее внесенное значение</x:v>
      </x:c>
      <x:c r="E551" s="74" t="n">
        <x:v>3862</x:v>
      </x:c>
      <x:c r="F551" s="73" t="str">
        <x:v>UGLD_2026H1.pdf</x:v>
      </x:c>
      <x:c r="G551" s="73" t="str">
        <x:v>7</x:v>
      </x:c>
      <x:c r="H551" s="73" t="str">
        <x:v>Сверено с таблицей отчета</x:v>
      </x:c>
      <x:c r="I551" s="69"/>
      <x:c r="J551" s="69"/>
      <x:c r="K551" s="69"/>
    </x:row>
    <x:row r="552" ht="15" hidden="0" customHeight="1">
      <x:c r="A552" t="str">
        <x:v>UGLD</x:v>
      </x:c>
      <x:c r="B552" t="str">
        <x:v>1П2026</x:v>
      </x:c>
      <x:c r="C552" s="73" t="str">
        <x:v>Арендные обязательства вне кредитов</x:v>
      </x:c>
      <x:c r="D552" s="73" t="str">
        <x:v>Раскрытое значение / ранее внесенное значение</x:v>
      </x:c>
      <x:c r="E552" s="74" t="n">
        <x:v>4391</x:v>
      </x:c>
      <x:c r="F552" s="73" t="str">
        <x:v>UGLD_2026H1.pdf</x:v>
      </x:c>
      <x:c r="G552" s="73" t="str">
        <x:v>22, 23, 26, 31</x:v>
      </x:c>
      <x:c r="H552" s="73" t="str">
        <x:v>Страница найдена по сумме; определение требует сверки</x:v>
      </x:c>
      <x:c r="I552" s="69"/>
      <x:c r="J552" s="69"/>
      <x:c r="K552" s="69"/>
    </x:row>
    <x:row r="553" ht="15" hidden="0" customHeight="1">
      <x:c r="A553" t="str">
        <x:v>UGLD</x:v>
      </x:c>
      <x:c r="B553" t="str">
        <x:v>1П2026</x:v>
      </x:c>
      <x:c r="C553" s="73" t="str">
        <x:v>Неконтролирующие доли</x:v>
      </x:c>
      <x:c r="D553" s="73" t="str">
        <x:v>Раскрытое значение / ранее внесенное значение</x:v>
      </x:c>
      <x:c r="E553" s="74" t="n">
        <x:v>126</x:v>
      </x:c>
      <x:c r="F553" s="73" t="str">
        <x:v>UGLD_2026H1.pdf</x:v>
      </x:c>
      <x:c r="G553" s="73" t="str">
        <x:v>7, 8</x:v>
      </x:c>
      <x:c r="H553" s="73" t="str">
        <x:v>Страница найдена по сумме; определение требует сверки</x:v>
      </x:c>
      <x:c r="I553" s="69"/>
      <x:c r="J553" s="69"/>
      <x:c r="K553" s="69"/>
    </x:row>
    <x:row r="554" ht="15" hidden="0" customHeight="1">
      <x:c r="A554" t="str">
        <x:v>POSI</x:v>
      </x:c>
      <x:c r="B554" t="str">
        <x:v>1П2026</x:v>
      </x:c>
      <x:c r="C554" s="73" t="str">
        <x:v>Чистый долг</x:v>
      </x:c>
      <x:c r="D554" s="73" t="str">
        <x:v>Раскрытое значение / ранее внесенное значение</x:v>
      </x:c>
      <x:c r="E554" s="74" t="n">
        <x:v>12495.42</x:v>
      </x:c>
      <x:c r="F554" s="73" t="str">
        <x:v>POSI_2026H1.pdf</x:v>
      </x:c>
      <x:c r="G554" s="73" t="str">
        <x:v>12</x:v>
      </x:c>
      <x:c r="H554" s="73" t="str">
        <x:v>Страница найдена по сумме; определение требует сверки</x:v>
      </x:c>
      <x:c r="I554" s="69"/>
      <x:c r="J554" s="69"/>
      <x:c r="K554" s="69"/>
    </x:row>
    <x:row r="555" ht="15" hidden="0" customHeight="1">
      <x:c r="A555" t="str">
        <x:v>POSI</x:v>
      </x:c>
      <x:c r="B555" t="str">
        <x:v>1П2026</x:v>
      </x:c>
      <x:c r="C555" s="73" t="str">
        <x:v>Выручка</x:v>
      </x:c>
      <x:c r="D555" s="73" t="str">
        <x:v>Раскрытое значение / ранее внесенное значение</x:v>
      </x:c>
      <x:c r="E555" s="74" t="n">
        <x:v>9541.471</x:v>
      </x:c>
      <x:c r="F555" s="73" t="str">
        <x:v>POSI_2026H1.pdf</x:v>
      </x:c>
      <x:c r="G555" s="73" t="str">
        <x:v>5, 13</x:v>
      </x:c>
      <x:c r="H555" s="73" t="str">
        <x:v>Страница найдена по сумме; определение требует сверки</x:v>
      </x:c>
      <x:c r="I555" s="69"/>
      <x:c r="J555" s="69"/>
      <x:c r="K555" s="69"/>
    </x:row>
    <x:row r="556" ht="15" hidden="0" customHeight="1">
      <x:c r="A556" t="str">
        <x:v>POSI</x:v>
      </x:c>
      <x:c r="B556" t="str">
        <x:v>1П2026</x:v>
      </x:c>
      <x:c r="C556" s="73" t="str">
        <x:v>Скорр. EBITDA</x:v>
      </x:c>
      <x:c r="D556" s="73" t="str">
        <x:v>Раскрытое значение / ранее внесенное значение</x:v>
      </x:c>
      <x:c r="E556" s="74" t="n">
        <x:v>840.281</x:v>
      </x:c>
      <x:c r="F556" s="73" t="str">
        <x:v>POSI_2026H1.pdf</x:v>
      </x:c>
      <x:c r="G556" s="73" t="str">
        <x:v>13</x:v>
      </x:c>
      <x:c r="H556" s="73" t="str">
        <x:v>Страница найдена по сумме; определение требует сверки</x:v>
      </x:c>
      <x:c r="I556" s="69"/>
      <x:c r="J556" s="69"/>
      <x:c r="K556" s="69"/>
    </x:row>
    <x:row r="557" ht="15" hidden="0" customHeight="1">
      <x:c r="A557" t="str">
        <x:v>POSI</x:v>
      </x:c>
      <x:c r="B557" t="str">
        <x:v>1П2026</x:v>
      </x:c>
      <x:c r="C557" s="73" t="str">
        <x:v>EBITDAC</x:v>
      </x:c>
      <x:c r="D557" s="73" t="str">
        <x:v>Раскрытое значение / ранее внесенное значение</x:v>
      </x:c>
      <x:c r="E557" s="74" t="n">
        <x:v>-1820.552</x:v>
      </x:c>
      <x:c r="F557" s="73" t="str">
        <x:v>POSI_2026H1.pdf</x:v>
      </x:c>
      <x:c r="G557" s="73" t="str">
        <x:v>13</x:v>
      </x:c>
      <x:c r="H557" s="73" t="str">
        <x:v>Страница найдена по сумме; определение требует сверки</x:v>
      </x:c>
      <x:c r="I557" s="69"/>
      <x:c r="J557" s="69"/>
      <x:c r="K557" s="69"/>
    </x:row>
    <x:row r="558" ht="15" hidden="0" customHeight="1">
      <x:c r="A558" t="str">
        <x:v>POSI</x:v>
      </x:c>
      <x:c r="B558" t="str">
        <x:v>1П2026</x:v>
      </x:c>
      <x:c r="C558" s="73" t="str">
        <x:v>ЧП акционеров</x:v>
      </x:c>
      <x:c r="D558" s="73" t="str">
        <x:v>Раскрытое значение / ранее внесенное значение</x:v>
      </x:c>
      <x:c r="E558" s="74" t="n">
        <x:v>-1354.154</x:v>
      </x:c>
      <x:c r="F558" s="73" t="str">
        <x:v>POSI_2026H1.pdf</x:v>
      </x:c>
      <x:c r="G558" s="73" t="str">
        <x:v>5</x:v>
      </x:c>
      <x:c r="H558" s="73" t="str">
        <x:v>Страница найдена по сумме; определение требует сверки</x:v>
      </x:c>
      <x:c r="I558" s="69"/>
      <x:c r="J558" s="69"/>
      <x:c r="K558" s="69"/>
    </x:row>
    <x:row r="559" ht="15" hidden="0" customHeight="1">
      <x:c r="A559" t="str">
        <x:v>POSI</x:v>
      </x:c>
      <x:c r="B559" t="str">
        <x:v>1П2026</x:v>
      </x:c>
      <x:c r="C559" s="73" t="str">
        <x:v>Капитал акционеров</x:v>
      </x:c>
      <x:c r="D559" s="73" t="str">
        <x:v>Раскрытое значение / ранее внесенное значение</x:v>
      </x:c>
      <x:c r="E559" s="74" t="n">
        <x:v>20987.517</x:v>
      </x:c>
      <x:c r="F559" s="73" t="str">
        <x:v>POSI_2026H1.pdf</x:v>
      </x:c>
      <x:c r="G559" s="73" t="str">
        <x:v>6, 7, 14</x:v>
      </x:c>
      <x:c r="H559" s="73" t="str">
        <x:v>Страница найдена по сумме; определение требует сверки</x:v>
      </x:c>
      <x:c r="I559" s="69"/>
      <x:c r="J559" s="69"/>
      <x:c r="K559" s="69"/>
    </x:row>
    <x:row r="560" ht="15" hidden="0" customHeight="1">
      <x:c r="A560" t="str">
        <x:v>POSI</x:v>
      </x:c>
      <x:c r="B560" t="str">
        <x:v>1П2026</x:v>
      </x:c>
      <x:c r="C560" s="73" t="str">
        <x:v>Неконтролирующие доли</x:v>
      </x:c>
      <x:c r="D560" s="73" t="str">
        <x:v>Раскрытое значение / ранее внесенное значение</x:v>
      </x:c>
      <x:c r="E560" s="74" t="n">
        <x:v>-10.018</x:v>
      </x:c>
      <x:c r="F560" s="73" t="str">
        <x:v>POSI_2026H1.pdf</x:v>
      </x:c>
      <x:c r="G560" s="73" t="str">
        <x:v>6, 7</x:v>
      </x:c>
      <x:c r="H560" s="73" t="str">
        <x:v>Страница найдена по сумме; определение требует сверки</x:v>
      </x:c>
      <x:c r="I560" s="69"/>
      <x:c r="J560" s="69"/>
      <x:c r="K560" s="69"/>
    </x:row>
    <x:row r="561" ht="15" hidden="0" customHeight="1">
      <x:c r="A561" t="str">
        <x:v>POSI</x:v>
      </x:c>
      <x:c r="B561" t="str">
        <x:v>1П2026</x:v>
      </x:c>
      <x:c r="C561" s="73" t="str">
        <x:v>Капитализированные расходы</x:v>
      </x:c>
      <x:c r="D561" s="73" t="str">
        <x:v>Раскрытое значение / ранее внесенное значение</x:v>
      </x:c>
      <x:c r="E561" s="74" t="n">
        <x:v>3027.473</x:v>
      </x:c>
      <x:c r="F561" s="73" t="str">
        <x:v>POSI_2026H1.pdf</x:v>
      </x:c>
      <x:c r="G561" s="73" t="str">
        <x:v>13</x:v>
      </x:c>
      <x:c r="H561" s="73" t="str">
        <x:v>Страница найдена по сумме; определение требует сверки</x:v>
      </x:c>
      <x:c r="I561" s="69"/>
      <x:c r="J561" s="69"/>
      <x:c r="K561" s="69"/>
    </x:row>
    <x:row r="562" ht="15" hidden="0" customHeight="1">
      <x:c r="A562" t="str">
        <x:v>POSI</x:v>
      </x:c>
      <x:c r="B562" t="str">
        <x:v>1П2026</x:v>
      </x:c>
      <x:c r="C562" s="73" t="str">
        <x:v>Отгрузки</x:v>
      </x:c>
      <x:c r="D562" s="73" t="str">
        <x:v>Раскрытое значение / ранее внесенное значение</x:v>
      </x:c>
      <x:c r="E562" s="74" t="n">
        <x:v>366.64</x:v>
      </x:c>
      <x:c r="F562" s="73" t="str">
        <x:v>POSI_2026H1.pdf</x:v>
      </x:c>
      <x:c r="G562" s="73" t="str">
        <x:v>13</x:v>
      </x:c>
      <x:c r="H562" s="73" t="str">
        <x:v>Страница найдена по сумме; определение требует сверки</x:v>
      </x:c>
      <x:c r="I562" s="69"/>
      <x:c r="J562" s="69"/>
      <x:c r="K562" s="69"/>
    </x:row>
    <x:row r="563" ht="15" hidden="0" customHeight="1">
      <x:c r="A563" t="str">
        <x:v>VKCO</x:v>
      </x:c>
      <x:c r="B563" t="str">
        <x:v>1П2026</x:v>
      </x:c>
      <x:c r="C563" s="73" t="str">
        <x:v>Выручка</x:v>
      </x:c>
      <x:c r="D563" s="73" t="str">
        <x:v>Раскрытое значение / ранее внесенное значение</x:v>
      </x:c>
      <x:c r="E563" s="74" t="n">
        <x:v>81043</x:v>
      </x:c>
      <x:c r="F563" s="73" t="str">
        <x:v>VKCO_2026H1.pdf</x:v>
      </x:c>
      <x:c r="G563" s="73" t="str">
        <x:v>6, 16, 19</x:v>
      </x:c>
      <x:c r="H563" s="73" t="str">
        <x:v>Страница найдена по сумме; определение требует сверки</x:v>
      </x:c>
      <x:c r="I563" s="69"/>
      <x:c r="J563" s="69"/>
      <x:c r="K563" s="69"/>
    </x:row>
    <x:row r="564" ht="15" hidden="0" customHeight="1">
      <x:c r="A564" t="str">
        <x:v>VKCO</x:v>
      </x:c>
      <x:c r="B564" t="str">
        <x:v>1П2026</x:v>
      </x:c>
      <x:c r="C564" s="73" t="str">
        <x:v>Скорр. EBITDA</x:v>
      </x:c>
      <x:c r="D564" s="73" t="str">
        <x:v>Раскрытое значение / ранее внесенное значение</x:v>
      </x:c>
      <x:c r="E564" s="74" t="n">
        <x:v>14018</x:v>
      </x:c>
      <x:c r="F564" s="73" t="str">
        <x:v>VKCO_2026H1.pdf</x:v>
      </x:c>
      <x:c r="G564" s="73" t="str">
        <x:v>16</x:v>
      </x:c>
      <x:c r="H564" s="73" t="str">
        <x:v>Страница найдена по сумме; определение требует сверки</x:v>
      </x:c>
      <x:c r="I564" s="69"/>
      <x:c r="J564" s="69"/>
      <x:c r="K564" s="69"/>
    </x:row>
    <x:row r="565" ht="15" hidden="0" customHeight="1">
      <x:c r="A565" t="str">
        <x:v>VKCO</x:v>
      </x:c>
      <x:c r="B565" t="str">
        <x:v>1П2026</x:v>
      </x:c>
      <x:c r="C565" s="73" t="str">
        <x:v>ЧП акционеров</x:v>
      </x:c>
      <x:c r="D565" s="73" t="str">
        <x:v>Раскрытое значение / ранее внесенное значение</x:v>
      </x:c>
      <x:c r="E565" s="74" t="n">
        <x:v>-3595</x:v>
      </x:c>
      <x:c r="F565" s="73" t="str">
        <x:v>VKCO_2026H1.pdf</x:v>
      </x:c>
      <x:c r="G565" s="73" t="str">
        <x:v>7, 11</x:v>
      </x:c>
      <x:c r="H565" s="73" t="str">
        <x:v>Страница найдена по сумме; определение требует сверки</x:v>
      </x:c>
      <x:c r="I565" s="69"/>
      <x:c r="J565" s="69"/>
      <x:c r="K565" s="69"/>
    </x:row>
    <x:row r="566" ht="15" hidden="0" customHeight="1">
      <x:c r="A566" t="str">
        <x:v>VKCO</x:v>
      </x:c>
      <x:c r="B566" t="str">
        <x:v>1П2026</x:v>
      </x:c>
      <x:c r="C566" s="73" t="str">
        <x:v>Капитал акционеров</x:v>
      </x:c>
      <x:c r="D566" s="73" t="str">
        <x:v>Раскрытое значение / ранее внесенное значение</x:v>
      </x:c>
      <x:c r="E566" s="74" t="n">
        <x:v>129415</x:v>
      </x:c>
      <x:c r="F566" s="73" t="str">
        <x:v>VKCO_2026H1.pdf</x:v>
      </x:c>
      <x:c r="G566" s="73" t="str">
        <x:v>11</x:v>
      </x:c>
      <x:c r="H566" s="73" t="str">
        <x:v>Страница найдена по сумме; определение требует сверки</x:v>
      </x:c>
      <x:c r="I566" s="69"/>
      <x:c r="J566" s="69"/>
      <x:c r="K566" s="69"/>
    </x:row>
    <x:row r="567" ht="15" hidden="0" customHeight="1">
      <x:c r="A567" t="str">
        <x:v>VKCO</x:v>
      </x:c>
      <x:c r="B567" t="str">
        <x:v>1П2026</x:v>
      </x:c>
      <x:c r="C567" s="73" t="str">
        <x:v>Неконтролирующие доли</x:v>
      </x:c>
      <x:c r="D567" s="73" t="str">
        <x:v>Раскрытое значение / ранее внесенное значение</x:v>
      </x:c>
      <x:c r="E567" s="74" t="n">
        <x:v>236</x:v>
      </x:c>
      <x:c r="F567" s="73" t="str">
        <x:v>VKCO_2026H1.pdf</x:v>
      </x:c>
      <x:c r="G567" s="73" t="str">
        <x:v>11, 18</x:v>
      </x:c>
      <x:c r="H567" s="73" t="str">
        <x:v>Страница найдена по сумме; определение требует сверки</x:v>
      </x:c>
      <x:c r="I567" s="69"/>
      <x:c r="J567" s="69"/>
      <x:c r="K567" s="69"/>
    </x:row>
    <x:row r="568" ht="15" hidden="0" customHeight="1">
      <x:c r="A568" t="str">
        <x:v>RAGR</x:v>
      </x:c>
      <x:c r="B568" t="str">
        <x:v>1П2026</x:v>
      </x:c>
      <x:c r="C568" s="73" t="str">
        <x:v>Выручка</x:v>
      </x:c>
      <x:c r="D568" s="73" t="str">
        <x:v>Раскрытое значение / ранее внесенное значение</x:v>
      </x:c>
      <x:c r="E568" s="74" t="n">
        <x:v>183039.298</x:v>
      </x:c>
      <x:c r="F568" s="73" t="str">
        <x:v>RAGR_2026H1.pdf</x:v>
      </x:c>
      <x:c r="G568" s="73" t="str">
        <x:v>6, 20, 32</x:v>
      </x:c>
      <x:c r="H568" s="73" t="str">
        <x:v>Страница найдена по сумме; определение требует сверки</x:v>
      </x:c>
      <x:c r="I568" s="69"/>
      <x:c r="J568" s="69"/>
      <x:c r="K568" s="69"/>
    </x:row>
    <x:row r="569" ht="15" hidden="0" customHeight="1">
      <x:c r="A569" t="str">
        <x:v>RAGR</x:v>
      </x:c>
      <x:c r="B569" t="str">
        <x:v>1П2026</x:v>
      </x:c>
      <x:c r="C569" s="73" t="str">
        <x:v>Скорр. EBITDA</x:v>
      </x:c>
      <x:c r="D569" s="73" t="str">
        <x:v>Раскрытое значение / ранее внесенное значение</x:v>
      </x:c>
      <x:c r="E569" s="74" t="n">
        <x:v>9379.09</x:v>
      </x:c>
      <x:c r="F569" s="73" t="str">
        <x:v>RAGR_2026H1.pdf</x:v>
      </x:c>
      <x:c r="G569" s="73" t="str">
        <x:v>32</x:v>
      </x:c>
      <x:c r="H569" s="73" t="str">
        <x:v>Страница найдена по сумме; определение требует сверки</x:v>
      </x:c>
      <x:c r="I569" s="69"/>
      <x:c r="J569" s="69"/>
      <x:c r="K569" s="69"/>
    </x:row>
    <x:row r="570" ht="15" hidden="0" customHeight="1">
      <x:c r="A570" t="str">
        <x:v>RAGR</x:v>
      </x:c>
      <x:c r="B570" t="str">
        <x:v>1П2026</x:v>
      </x:c>
      <x:c r="C570" s="73" t="str">
        <x:v>ЧП акционеров</x:v>
      </x:c>
      <x:c r="D570" s="73" t="str">
        <x:v>Раскрытое значение / ранее внесенное значение</x:v>
      </x:c>
      <x:c r="E570" s="74" t="n">
        <x:v>-1399.848</x:v>
      </x:c>
      <x:c r="F570" s="73" t="str">
        <x:v>RAGR_2026H1.pdf</x:v>
      </x:c>
      <x:c r="G570" s="73" t="str">
        <x:v>6, 7, 30</x:v>
      </x:c>
      <x:c r="H570" s="73" t="str">
        <x:v>Страница найдена по сумме; определение требует сверки</x:v>
      </x:c>
      <x:c r="I570" s="69"/>
      <x:c r="J570" s="69"/>
      <x:c r="K570" s="69"/>
    </x:row>
    <x:row r="571" ht="15" hidden="0" customHeight="1">
      <x:c r="A571" t="str">
        <x:v>RAGR</x:v>
      </x:c>
      <x:c r="B571" t="str">
        <x:v>1П2026</x:v>
      </x:c>
      <x:c r="C571" s="73" t="str">
        <x:v>Капитал акционеров</x:v>
      </x:c>
      <x:c r="D571" s="73" t="str">
        <x:v>Раскрытое значение / ранее внесенное значение</x:v>
      </x:c>
      <x:c r="E571" s="74" t="n">
        <x:v>238126.417</x:v>
      </x:c>
      <x:c r="F571" s="73" t="str">
        <x:v>RAGR_2026H1.pdf</x:v>
      </x:c>
      <x:c r="G571" s="73" t="str">
        <x:v>7</x:v>
      </x:c>
      <x:c r="H571" s="73" t="str">
        <x:v>Страница найдена по сумме; определение требует сверки</x:v>
      </x:c>
      <x:c r="I571" s="69"/>
      <x:c r="J571" s="69"/>
      <x:c r="K571" s="69"/>
    </x:row>
    <x:row r="572" ht="15" hidden="0" customHeight="1">
      <x:c r="A572" t="str">
        <x:v>RAGR</x:v>
      </x:c>
      <x:c r="B572" t="str">
        <x:v>1П2026</x:v>
      </x:c>
      <x:c r="C572" s="73" t="str">
        <x:v>Неконтролирующие доли</x:v>
      </x:c>
      <x:c r="D572" s="73" t="str">
        <x:v>Раскрытое значение / ранее внесенное значение</x:v>
      </x:c>
      <x:c r="E572" s="74" t="n">
        <x:v>22308.132</x:v>
      </x:c>
      <x:c r="F572" s="73" t="str">
        <x:v>RAGR_2026H1.pdf</x:v>
      </x:c>
      <x:c r="G572" s="73" t="str">
        <x:v>7</x:v>
      </x:c>
      <x:c r="H572" s="73" t="str">
        <x:v>Страница найдена по сумме; определение требует сверки</x:v>
      </x:c>
      <x:c r="I572" s="69"/>
      <x:c r="J572" s="69"/>
      <x:c r="K572" s="69"/>
    </x:row>
    <x:row r="573" ht="15" hidden="0" customHeight="1">
      <x:c r="A573" t="str">
        <x:v>YDEX</x:v>
      </x:c>
      <x:c r="B573" t="str">
        <x:v>2025</x:v>
      </x:c>
      <x:c r="C573" s="73" t="str">
        <x:v>Скорр. EBITDA</x:v>
      </x:c>
      <x:c r="D573" s="73" t="str">
        <x:v>Прибыль до налогообложения</x:v>
      </x:c>
      <x:c r="E573" s="74" t="n">
        <x:v>111092</x:v>
      </x:c>
      <x:c r="F573" s="73" t="str">
        <x:v>МСФО_Яндекс_2025.pdf</x:v>
      </x:c>
      <x:c r="G573" s="73" t="n">
        <x:v>28</x:v>
      </x:c>
      <x:c r="H573" s="73" t="str">
        <x:v>Состав и сумма сверены с раскрытием компании</x:v>
      </x:c>
      <x:c r="I573" s="69"/>
      <x:c r="J573" s="69"/>
      <x:c r="K573" s="69"/>
    </x:row>
    <x:row r="574" ht="15" hidden="0" customHeight="1">
      <x:c r="A574" t="str">
        <x:v>YDEX</x:v>
      </x:c>
      <x:c r="B574" t="str">
        <x:v>2025</x:v>
      </x:c>
      <x:c r="C574" s="73" t="str">
        <x:v>Скорр. EBITDA</x:v>
      </x:c>
      <x:c r="D574" s="73" t="str">
        <x:v>Амортизация</x:v>
      </x:c>
      <x:c r="E574" s="74" t="n">
        <x:v>80595</x:v>
      </x:c>
      <x:c r="F574" s="73" t="str">
        <x:v>МСФО_Яндекс_2025.pdf</x:v>
      </x:c>
      <x:c r="G574" s="73" t="n">
        <x:v>28</x:v>
      </x:c>
      <x:c r="H574" s="73" t="str">
        <x:v>Состав и сумма сверены с раскрытием компании</x:v>
      </x:c>
      <x:c r="I574" s="69"/>
      <x:c r="J574" s="69"/>
      <x:c r="K574" s="69"/>
    </x:row>
    <x:row r="575" ht="15" hidden="0" customHeight="1">
      <x:c r="A575" t="str">
        <x:v>YDEX</x:v>
      </x:c>
      <x:c r="B575" t="str">
        <x:v>2025</x:v>
      </x:c>
      <x:c r="C575" s="73" t="str">
        <x:v>Скорр. EBITDA</x:v>
      </x:c>
      <x:c r="D575" s="73" t="str">
        <x:v>Процентные расходы</x:v>
      </x:c>
      <x:c r="E575" s="74" t="n">
        <x:v>62726</x:v>
      </x:c>
      <x:c r="F575" s="73" t="str">
        <x:v>МСФО_Яндекс_2025.pdf</x:v>
      </x:c>
      <x:c r="G575" s="73" t="n">
        <x:v>28</x:v>
      </x:c>
      <x:c r="H575" s="73" t="str">
        <x:v>Состав и сумма сверены с раскрытием компании</x:v>
      </x:c>
      <x:c r="I575" s="69"/>
      <x:c r="J575" s="69"/>
      <x:c r="K575" s="69"/>
    </x:row>
    <x:row r="576" ht="15" hidden="0" customHeight="1">
      <x:c r="A576" t="str">
        <x:v>YDEX</x:v>
      </x:c>
      <x:c r="B576" t="str">
        <x:v>2025</x:v>
      </x:c>
      <x:c r="C576" s="73" t="str">
        <x:v>Скорр. EBITDA</x:v>
      </x:c>
      <x:c r="D576" s="73" t="str">
        <x:v>Минус процентные доходы</x:v>
      </x:c>
      <x:c r="E576" s="74" t="n">
        <x:v>-15556</x:v>
      </x:c>
      <x:c r="F576" s="73" t="str">
        <x:v>МСФО_Яндекс_2025.pdf</x:v>
      </x:c>
      <x:c r="G576" s="73" t="n">
        <x:v>28</x:v>
      </x:c>
      <x:c r="H576" s="73" t="str">
        <x:v>Состав и сумма сверены с раскрытием компании</x:v>
      </x:c>
      <x:c r="I576" s="69"/>
      <x:c r="J576" s="69"/>
      <x:c r="K576" s="69"/>
    </x:row>
    <x:row r="577" ht="15" hidden="0" customHeight="1">
      <x:c r="A577" t="str">
        <x:v>YDEX</x:v>
      </x:c>
      <x:c r="B577" t="str">
        <x:v>2025</x:v>
      </x:c>
      <x:c r="C577" s="73" t="str">
        <x:v>Скорр. EBITDA</x:v>
      </x:c>
      <x:c r="D577" s="73" t="str">
        <x:v>Вознаграждения акциями</x:v>
      </x:c>
      <x:c r="E577" s="74" t="n">
        <x:v>48116</x:v>
      </x:c>
      <x:c r="F577" s="73" t="str">
        <x:v>МСФО_Яндекс_2025.pdf</x:v>
      </x:c>
      <x:c r="G577" s="73" t="n">
        <x:v>28</x:v>
      </x:c>
      <x:c r="H577" s="73" t="str">
        <x:v>Состав и сумма сверены с раскрытием компании</x:v>
      </x:c>
      <x:c r="I577" s="69"/>
      <x:c r="J577" s="69"/>
      <x:c r="K577" s="69"/>
    </x:row>
    <x:row r="578" ht="15" hidden="0" customHeight="1">
      <x:c r="A578" t="str">
        <x:v>YDEX</x:v>
      </x:c>
      <x:c r="B578" t="str">
        <x:v>2025</x:v>
      </x:c>
      <x:c r="C578" s="73" t="str">
        <x:v>Скорр. EBITDA</x:v>
      </x:c>
      <x:c r="D578" s="73" t="str">
        <x:v>Прочие расходы по вознаграждениям</x:v>
      </x:c>
      <x:c r="E578" s="74" t="n">
        <x:v>1997</x:v>
      </x:c>
      <x:c r="F578" s="73" t="str">
        <x:v>МСФО_Яндекс_2025.pdf</x:v>
      </x:c>
      <x:c r="G578" s="73" t="n">
        <x:v>28</x:v>
      </x:c>
      <x:c r="H578" s="73" t="str">
        <x:v>Состав и сумма сверены с раскрытием компании</x:v>
      </x:c>
      <x:c r="I578" s="69"/>
      <x:c r="J578" s="69"/>
      <x:c r="K578" s="69"/>
    </x:row>
    <x:row r="579" ht="15" hidden="0" customHeight="1">
      <x:c r="A579" t="str">
        <x:v>YDEX</x:v>
      </x:c>
      <x:c r="B579" t="str">
        <x:v>2025</x:v>
      </x:c>
      <x:c r="C579" s="73" t="str">
        <x:v>Скорр. EBITDA</x:v>
      </x:c>
      <x:c r="D579" s="73" t="str">
        <x:v>Приобретения и реструктуризация</x:v>
      </x:c>
      <x:c r="E579" s="74" t="n">
        <x:v>119</x:v>
      </x:c>
      <x:c r="F579" s="73" t="str">
        <x:v>МСФО_Яндекс_2025.pdf</x:v>
      </x:c>
      <x:c r="G579" s="73" t="n">
        <x:v>28</x:v>
      </x:c>
      <x:c r="H579" s="73" t="str">
        <x:v>Состав и сумма сверены с раскрытием компании</x:v>
      </x:c>
      <x:c r="I579" s="69"/>
      <x:c r="J579" s="69"/>
      <x:c r="K579" s="69"/>
    </x:row>
    <x:row r="580" ht="15" hidden="0" customHeight="1">
      <x:c r="A580" t="str">
        <x:v>YDEX</x:v>
      </x:c>
      <x:c r="B580" t="str">
        <x:v>2025</x:v>
      </x:c>
      <x:c r="C580" s="73" t="str">
        <x:v>Скорр. EBITDA</x:v>
      </x:c>
      <x:c r="D580" s="73" t="str">
        <x:v>Прочие внеоперационные расходы</x:v>
      </x:c>
      <x:c r="E580" s="74" t="n">
        <x:v>15380</x:v>
      </x:c>
      <x:c r="F580" s="73" t="str">
        <x:v>МСФО_Яндекс_2025.pdf</x:v>
      </x:c>
      <x:c r="G580" s="73" t="n">
        <x:v>28</x:v>
      </x:c>
      <x:c r="H580" s="73" t="str">
        <x:v>Состав и сумма сверены с раскрытием компании</x:v>
      </x:c>
      <x:c r="I580" s="69"/>
      <x:c r="J580" s="69"/>
      <x:c r="K580" s="69"/>
    </x:row>
    <x:row r="581" ht="15" hidden="0" customHeight="1">
      <x:c r="A581" t="str">
        <x:v>YDEX</x:v>
      </x:c>
      <x:c r="B581" t="str">
        <x:v>2025</x:v>
      </x:c>
      <x:c r="C581" s="73" t="str">
        <x:v>Скорр. EBITDA</x:v>
      </x:c>
      <x:c r="D581" s="73" t="str">
        <x:v>Минус доход от продажи Авто.ру</x:v>
      </x:c>
      <x:c r="E581" s="74" t="n">
        <x:v>0</x:v>
      </x:c>
      <x:c r="F581" s="73" t="str">
        <x:v>МСФО_Яндекс_2025.pdf</x:v>
      </x:c>
      <x:c r="G581" s="73" t="n">
        <x:v>28</x:v>
      </x:c>
      <x:c r="H581" s="73" t="str">
        <x:v>Состав и сумма сверены с раскрытием компании</x:v>
      </x:c>
      <x:c r="I581" s="69"/>
      <x:c r="J581" s="69"/>
      <x:c r="K581" s="69"/>
    </x:row>
    <x:row r="582" ht="15" hidden="0" customHeight="1">
      <x:c r="A582" t="str">
        <x:v>YDEX</x:v>
      </x:c>
      <x:c r="B582" t="str">
        <x:v>2025</x:v>
      </x:c>
      <x:c r="C582" s="73" t="str">
        <x:v>Скорр. EBITDA</x:v>
      </x:c>
      <x:c r="D582" s="73" t="str">
        <x:v>Минус амортизация аренды офисов</x:v>
      </x:c>
      <x:c r="E582" s="74" t="n">
        <x:v>-13234</x:v>
      </x:c>
      <x:c r="F582" s="73" t="str">
        <x:v>МСФО_Яндекс_2025.pdf</x:v>
      </x:c>
      <x:c r="G582" s="73" t="n">
        <x:v>28</x:v>
      </x:c>
      <x:c r="H582" s="73" t="str">
        <x:v>Состав и сумма сверены с раскрытием компании</x:v>
      </x:c>
      <x:c r="I582" s="69"/>
      <x:c r="J582" s="69"/>
      <x:c r="K582" s="69"/>
    </x:row>
    <x:row r="583" ht="15" hidden="0" customHeight="1">
      <x:c r="A583" t="str">
        <x:v>YDEX</x:v>
      </x:c>
      <x:c r="B583" t="str">
        <x:v>2025</x:v>
      </x:c>
      <x:c r="C583" s="73" t="str">
        <x:v>Скорр. EBITDA</x:v>
      </x:c>
      <x:c r="D583" s="73" t="str">
        <x:v>Минус проценты по аренде офисов</x:v>
      </x:c>
      <x:c r="E583" s="74" t="n">
        <x:v>-10401</x:v>
      </x:c>
      <x:c r="F583" s="73" t="str">
        <x:v>МСФО_Яндекс_2025.pdf</x:v>
      </x:c>
      <x:c r="G583" s="73" t="n">
        <x:v>28</x:v>
      </x:c>
      <x:c r="H583" s="73" t="str">
        <x:v>Состав и сумма сверены с раскрытием компании</x:v>
      </x:c>
      <x:c r="I583" s="69"/>
      <x:c r="J583" s="69"/>
      <x:c r="K583" s="69"/>
    </x:row>
    <x:row r="584" ht="15" hidden="0" customHeight="1">
      <x:c r="A584" s="60" t="str">
        <x:v>YDEX</x:v>
      </x:c>
      <x:c r="B584" s="60" t="str">
        <x:v>2025</x:v>
      </x:c>
      <x:c r="C584" s="76" t="str">
        <x:v>Скорр. EBITDA</x:v>
      </x:c>
      <x:c r="D584" s="76" t="str">
        <x:v>ИТОГО — расчет</x:v>
      </x:c>
      <x:c r="E584" s="77" t="n">
        <x:f>SUM(E573:E583)</x:f>
        <x:v>280834</x:v>
      </x:c>
      <x:c r="F584" s="76" t="str">
        <x:v>МСФО_Яндекс_2025.pdf</x:v>
      </x:c>
      <x:c r="G584" s="76" t="n">
        <x:v>28</x:v>
      </x:c>
      <x:c r="H584" s="76"/>
      <x:c r="I584" s="71" t="n">
        <x:v>280834</x:v>
      </x:c>
      <x:c r="J584" s="71" t="n">
        <x:f>E584-I584</x:f>
        <x:v>0</x:v>
      </x:c>
      <x:c r="K584" s="71" t="n">
        <x:f>SUM(E573:E576)</x:f>
        <x:v>238857</x:v>
      </x:c>
    </x:row>
    <x:row r="585" ht="15" hidden="0" customHeight="1">
      <x:c r="C585" s="73"/>
      <x:c r="D585" s="73"/>
      <x:c r="E585" s="74"/>
      <x:c r="F585" s="73"/>
      <x:c r="G585" s="73"/>
      <x:c r="H585" s="73"/>
      <x:c r="I585" s="69"/>
      <x:c r="J585" s="69"/>
      <x:c r="K585" s="69"/>
    </x:row>
    <x:row r="586" ht="15" hidden="0" customHeight="1">
      <x:c r="A586" t="str">
        <x:v>YDEX</x:v>
      </x:c>
      <x:c r="B586" t="str">
        <x:v>1П2025</x:v>
      </x:c>
      <x:c r="C586" s="73" t="str">
        <x:v>Скорр. EBITDA</x:v>
      </x:c>
      <x:c r="D586" s="73" t="str">
        <x:v>Прибыль до налогообложения</x:v>
      </x:c>
      <x:c r="E586" s="74" t="n">
        <x:v>24909</x:v>
      </x:c>
      <x:c r="F586" s="73" t="str">
        <x:v>YDEX_2026H1.pdf</x:v>
      </x:c>
      <x:c r="G586" s="73" t="n">
        <x:v>12</x:v>
      </x:c>
      <x:c r="H586" s="73" t="str">
        <x:v>Состав и сумма сверены с раскрытием компании</x:v>
      </x:c>
      <x:c r="I586" s="69"/>
      <x:c r="J586" s="69"/>
      <x:c r="K586" s="69"/>
    </x:row>
    <x:row r="587" ht="15" hidden="0" customHeight="1">
      <x:c r="A587" t="str">
        <x:v>YDEX</x:v>
      </x:c>
      <x:c r="B587" t="str">
        <x:v>1П2025</x:v>
      </x:c>
      <x:c r="C587" s="73" t="str">
        <x:v>Скорр. EBITDA</x:v>
      </x:c>
      <x:c r="D587" s="73" t="str">
        <x:v>Амортизация</x:v>
      </x:c>
      <x:c r="E587" s="74" t="n">
        <x:v>37457</x:v>
      </x:c>
      <x:c r="F587" s="73" t="str">
        <x:v>YDEX_2026H1.pdf</x:v>
      </x:c>
      <x:c r="G587" s="73" t="n">
        <x:v>12</x:v>
      </x:c>
      <x:c r="H587" s="73" t="str">
        <x:v>Состав и сумма сверены с раскрытием компании</x:v>
      </x:c>
      <x:c r="I587" s="69"/>
      <x:c r="J587" s="69"/>
      <x:c r="K587" s="69"/>
    </x:row>
    <x:row r="588" ht="15" hidden="0" customHeight="1">
      <x:c r="A588" t="str">
        <x:v>YDEX</x:v>
      </x:c>
      <x:c r="B588" t="str">
        <x:v>1П2025</x:v>
      </x:c>
      <x:c r="C588" s="73" t="str">
        <x:v>Скорр. EBITDA</x:v>
      </x:c>
      <x:c r="D588" s="73" t="str">
        <x:v>Процентные расходы</x:v>
      </x:c>
      <x:c r="E588" s="74" t="n">
        <x:v>32430</x:v>
      </x:c>
      <x:c r="F588" s="73" t="str">
        <x:v>YDEX_2026H1.pdf</x:v>
      </x:c>
      <x:c r="G588" s="73" t="n">
        <x:v>12</x:v>
      </x:c>
      <x:c r="H588" s="73" t="str">
        <x:v>Состав и сумма сверены с раскрытием компании</x:v>
      </x:c>
      <x:c r="I588" s="69"/>
      <x:c r="J588" s="69"/>
      <x:c r="K588" s="69"/>
    </x:row>
    <x:row r="589" ht="15" hidden="0" customHeight="1">
      <x:c r="A589" t="str">
        <x:v>YDEX</x:v>
      </x:c>
      <x:c r="B589" t="str">
        <x:v>1П2025</x:v>
      </x:c>
      <x:c r="C589" s="73" t="str">
        <x:v>Скорр. EBITDA</x:v>
      </x:c>
      <x:c r="D589" s="73" t="str">
        <x:v>Минус процентные доходы</x:v>
      </x:c>
      <x:c r="E589" s="74" t="n">
        <x:v>-9631</x:v>
      </x:c>
      <x:c r="F589" s="73" t="str">
        <x:v>YDEX_2026H1.pdf</x:v>
      </x:c>
      <x:c r="G589" s="73" t="n">
        <x:v>12</x:v>
      </x:c>
      <x:c r="H589" s="73" t="str">
        <x:v>Состав и сумма сверены с раскрытием компании</x:v>
      </x:c>
      <x:c r="I589" s="69"/>
      <x:c r="J589" s="69"/>
      <x:c r="K589" s="69"/>
    </x:row>
    <x:row r="590" ht="15" hidden="0" customHeight="1">
      <x:c r="A590" t="str">
        <x:v>YDEX</x:v>
      </x:c>
      <x:c r="B590" t="str">
        <x:v>1П2025</x:v>
      </x:c>
      <x:c r="C590" s="73" t="str">
        <x:v>Скорр. EBITDA</x:v>
      </x:c>
      <x:c r="D590" s="73" t="str">
        <x:v>Вознаграждения акциями</x:v>
      </x:c>
      <x:c r="E590" s="74" t="n">
        <x:v>26795</x:v>
      </x:c>
      <x:c r="F590" s="73" t="str">
        <x:v>YDEX_2026H1.pdf</x:v>
      </x:c>
      <x:c r="G590" s="73" t="n">
        <x:v>12</x:v>
      </x:c>
      <x:c r="H590" s="73" t="str">
        <x:v>Состав и сумма сверены с раскрытием компании</x:v>
      </x:c>
      <x:c r="I590" s="69"/>
      <x:c r="J590" s="69"/>
      <x:c r="K590" s="69"/>
    </x:row>
    <x:row r="591" ht="15" hidden="0" customHeight="1">
      <x:c r="A591" t="str">
        <x:v>YDEX</x:v>
      </x:c>
      <x:c r="B591" t="str">
        <x:v>1П2025</x:v>
      </x:c>
      <x:c r="C591" s="73" t="str">
        <x:v>Скорр. EBITDA</x:v>
      </x:c>
      <x:c r="D591" s="73" t="str">
        <x:v>Прочие расходы по вознаграждениям</x:v>
      </x:c>
      <x:c r="E591" s="74" t="n">
        <x:v>1206</x:v>
      </x:c>
      <x:c r="F591" s="73" t="str">
        <x:v>YDEX_2026H1.pdf</x:v>
      </x:c>
      <x:c r="G591" s="73" t="n">
        <x:v>12</x:v>
      </x:c>
      <x:c r="H591" s="73" t="str">
        <x:v>Состав и сумма сверены с раскрытием компании</x:v>
      </x:c>
      <x:c r="I591" s="69"/>
      <x:c r="J591" s="69"/>
      <x:c r="K591" s="69"/>
    </x:row>
    <x:row r="592" ht="15" hidden="0" customHeight="1">
      <x:c r="A592" t="str">
        <x:v>YDEX</x:v>
      </x:c>
      <x:c r="B592" t="str">
        <x:v>1П2025</x:v>
      </x:c>
      <x:c r="C592" s="73" t="str">
        <x:v>Скорр. EBITDA</x:v>
      </x:c>
      <x:c r="D592" s="73" t="str">
        <x:v>Приобретения и реструктуризация</x:v>
      </x:c>
      <x:c r="E592" s="74" t="n">
        <x:v>80</x:v>
      </x:c>
      <x:c r="F592" s="73" t="str">
        <x:v>YDEX_2026H1.pdf</x:v>
      </x:c>
      <x:c r="G592" s="73" t="n">
        <x:v>12</x:v>
      </x:c>
      <x:c r="H592" s="73" t="str">
        <x:v>Состав и сумма сверены с раскрытием компании</x:v>
      </x:c>
      <x:c r="I592" s="69"/>
      <x:c r="J592" s="69"/>
      <x:c r="K592" s="69"/>
    </x:row>
    <x:row r="593" ht="15" hidden="0" customHeight="1">
      <x:c r="A593" t="str">
        <x:v>YDEX</x:v>
      </x:c>
      <x:c r="B593" t="str">
        <x:v>1П2025</x:v>
      </x:c>
      <x:c r="C593" s="73" t="str">
        <x:v>Скорр. EBITDA</x:v>
      </x:c>
      <x:c r="D593" s="73" t="str">
        <x:v>Прочие внеоперационные расходы</x:v>
      </x:c>
      <x:c r="E593" s="74" t="n">
        <x:v>12946</x:v>
      </x:c>
      <x:c r="F593" s="73" t="str">
        <x:v>YDEX_2026H1.pdf</x:v>
      </x:c>
      <x:c r="G593" s="73" t="n">
        <x:v>12</x:v>
      </x:c>
      <x:c r="H593" s="73" t="str">
        <x:v>Состав и сумма сверены с раскрытием компании</x:v>
      </x:c>
      <x:c r="I593" s="69"/>
      <x:c r="J593" s="69"/>
      <x:c r="K593" s="69"/>
    </x:row>
    <x:row r="594" ht="15" hidden="0" customHeight="1">
      <x:c r="A594" t="str">
        <x:v>YDEX</x:v>
      </x:c>
      <x:c r="B594" t="str">
        <x:v>1П2025</x:v>
      </x:c>
      <x:c r="C594" s="73" t="str">
        <x:v>Скорр. EBITDA</x:v>
      </x:c>
      <x:c r="D594" s="73" t="str">
        <x:v>Минус доход от продажи Авто.ру</x:v>
      </x:c>
      <x:c r="E594" s="74" t="n">
        <x:v>0</x:v>
      </x:c>
      <x:c r="F594" s="73" t="str">
        <x:v>YDEX_2026H1.pdf</x:v>
      </x:c>
      <x:c r="G594" s="73" t="n">
        <x:v>12</x:v>
      </x:c>
      <x:c r="H594" s="73" t="str">
        <x:v>Состав и сумма сверены с раскрытием компании</x:v>
      </x:c>
      <x:c r="I594" s="69"/>
      <x:c r="J594" s="69"/>
      <x:c r="K594" s="69"/>
    </x:row>
    <x:row r="595" ht="15" hidden="0" customHeight="1">
      <x:c r="A595" t="str">
        <x:v>YDEX</x:v>
      </x:c>
      <x:c r="B595" t="str">
        <x:v>1П2025</x:v>
      </x:c>
      <x:c r="C595" s="73" t="str">
        <x:v>Скорр. EBITDA</x:v>
      </x:c>
      <x:c r="D595" s="73" t="str">
        <x:v>Минус амортизация аренды офисов</x:v>
      </x:c>
      <x:c r="E595" s="74" t="n">
        <x:v>-6347</x:v>
      </x:c>
      <x:c r="F595" s="73" t="str">
        <x:v>YDEX_2026H1.pdf</x:v>
      </x:c>
      <x:c r="G595" s="73" t="n">
        <x:v>12</x:v>
      </x:c>
      <x:c r="H595" s="73" t="str">
        <x:v>Состав и сумма сверены с раскрытием компании</x:v>
      </x:c>
      <x:c r="I595" s="69"/>
      <x:c r="J595" s="69"/>
      <x:c r="K595" s="69"/>
    </x:row>
    <x:row r="596" ht="15" hidden="0" customHeight="1">
      <x:c r="A596" t="str">
        <x:v>YDEX</x:v>
      </x:c>
      <x:c r="B596" t="str">
        <x:v>1П2025</x:v>
      </x:c>
      <x:c r="C596" s="73" t="str">
        <x:v>Скорр. EBITDA</x:v>
      </x:c>
      <x:c r="D596" s="73" t="str">
        <x:v>Минус проценты по аренде офисов</x:v>
      </x:c>
      <x:c r="E596" s="74" t="n">
        <x:v>-4903</x:v>
      </x:c>
      <x:c r="F596" s="73" t="str">
        <x:v>YDEX_2026H1.pdf</x:v>
      </x:c>
      <x:c r="G596" s="73" t="n">
        <x:v>12</x:v>
      </x:c>
      <x:c r="H596" s="73" t="str">
        <x:v>Состав и сумма сверены с раскрытием компании</x:v>
      </x:c>
      <x:c r="I596" s="69"/>
      <x:c r="J596" s="69"/>
      <x:c r="K596" s="69"/>
    </x:row>
    <x:row r="597" ht="15" hidden="0" customHeight="1">
      <x:c r="A597" s="60" t="str">
        <x:v>YDEX</x:v>
      </x:c>
      <x:c r="B597" s="60" t="str">
        <x:v>1П2025</x:v>
      </x:c>
      <x:c r="C597" s="76" t="str">
        <x:v>Скорр. EBITDA</x:v>
      </x:c>
      <x:c r="D597" s="76" t="str">
        <x:v>ИТОГО — расчет</x:v>
      </x:c>
      <x:c r="E597" s="77" t="n">
        <x:f>SUM(E586:E596)</x:f>
        <x:v>114942</x:v>
      </x:c>
      <x:c r="F597" s="76" t="str">
        <x:v>YDEX_2026H1.pdf</x:v>
      </x:c>
      <x:c r="G597" s="76" t="n">
        <x:v>12</x:v>
      </x:c>
      <x:c r="H597" s="76"/>
      <x:c r="I597" s="71" t="n">
        <x:v>114942</x:v>
      </x:c>
      <x:c r="J597" s="71" t="n">
        <x:f>E597-I597</x:f>
        <x:v>0</x:v>
      </x:c>
      <x:c r="K597" s="71" t="n">
        <x:f>SUM(E586:E589)</x:f>
        <x:v>85165</x:v>
      </x:c>
    </x:row>
    <x:row r="598" ht="15" hidden="0" customHeight="1">
      <x:c r="C598" s="73"/>
      <x:c r="D598" s="73"/>
      <x:c r="E598" s="74"/>
      <x:c r="F598" s="73"/>
      <x:c r="G598" s="73"/>
      <x:c r="H598" s="73"/>
      <x:c r="I598" s="69"/>
      <x:c r="J598" s="69"/>
      <x:c r="K598" s="69"/>
    </x:row>
    <x:row r="599" ht="15" hidden="0" customHeight="1">
      <x:c r="A599" t="str">
        <x:v>YDEX</x:v>
      </x:c>
      <x:c r="B599" t="str">
        <x:v>1П2026</x:v>
      </x:c>
      <x:c r="C599" s="73" t="str">
        <x:v>Скорр. EBITDA</x:v>
      </x:c>
      <x:c r="D599" s="73" t="str">
        <x:v>Прибыль до налогообложения</x:v>
      </x:c>
      <x:c r="E599" s="74" t="n">
        <x:v>114006</x:v>
      </x:c>
      <x:c r="F599" s="73" t="str">
        <x:v>YDEX_2026H1.pdf</x:v>
      </x:c>
      <x:c r="G599" s="73" t="n">
        <x:v>12</x:v>
      </x:c>
      <x:c r="H599" s="73" t="str">
        <x:v>Состав и сумма сверены с раскрытием компании</x:v>
      </x:c>
      <x:c r="I599" s="69"/>
      <x:c r="J599" s="69"/>
      <x:c r="K599" s="69"/>
    </x:row>
    <x:row r="600" ht="15" hidden="0" customHeight="1">
      <x:c r="A600" t="str">
        <x:v>YDEX</x:v>
      </x:c>
      <x:c r="B600" t="str">
        <x:v>1П2026</x:v>
      </x:c>
      <x:c r="C600" s="73" t="str">
        <x:v>Скорр. EBITDA</x:v>
      </x:c>
      <x:c r="D600" s="73" t="str">
        <x:v>Амортизация</x:v>
      </x:c>
      <x:c r="E600" s="74" t="n">
        <x:v>49529</x:v>
      </x:c>
      <x:c r="F600" s="73" t="str">
        <x:v>YDEX_2026H1.pdf</x:v>
      </x:c>
      <x:c r="G600" s="73" t="n">
        <x:v>12</x:v>
      </x:c>
      <x:c r="H600" s="73" t="str">
        <x:v>Состав и сумма сверены с раскрытием компании</x:v>
      </x:c>
      <x:c r="I600" s="69"/>
      <x:c r="J600" s="69"/>
      <x:c r="K600" s="69"/>
    </x:row>
    <x:row r="601" ht="15" hidden="0" customHeight="1">
      <x:c r="A601" t="str">
        <x:v>YDEX</x:v>
      </x:c>
      <x:c r="B601" t="str">
        <x:v>1П2026</x:v>
      </x:c>
      <x:c r="C601" s="73" t="str">
        <x:v>Скорр. EBITDA</x:v>
      </x:c>
      <x:c r="D601" s="73" t="str">
        <x:v>Процентные расходы</x:v>
      </x:c>
      <x:c r="E601" s="74" t="n">
        <x:v>25481</x:v>
      </x:c>
      <x:c r="F601" s="73" t="str">
        <x:v>YDEX_2026H1.pdf</x:v>
      </x:c>
      <x:c r="G601" s="73" t="n">
        <x:v>12</x:v>
      </x:c>
      <x:c r="H601" s="73" t="str">
        <x:v>Состав и сумма сверены с раскрытием компании</x:v>
      </x:c>
      <x:c r="I601" s="69"/>
      <x:c r="J601" s="69"/>
      <x:c r="K601" s="69"/>
    </x:row>
    <x:row r="602" ht="15" hidden="0" customHeight="1">
      <x:c r="A602" t="str">
        <x:v>YDEX</x:v>
      </x:c>
      <x:c r="B602" t="str">
        <x:v>1П2026</x:v>
      </x:c>
      <x:c r="C602" s="73" t="str">
        <x:v>Скорр. EBITDA</x:v>
      </x:c>
      <x:c r="D602" s="73" t="str">
        <x:v>Минус процентные доходы</x:v>
      </x:c>
      <x:c r="E602" s="74" t="n">
        <x:v>-5891</x:v>
      </x:c>
      <x:c r="F602" s="73" t="str">
        <x:v>YDEX_2026H1.pdf</x:v>
      </x:c>
      <x:c r="G602" s="73" t="n">
        <x:v>12</x:v>
      </x:c>
      <x:c r="H602" s="73" t="str">
        <x:v>Состав и сумма сверены с раскрытием компании</x:v>
      </x:c>
      <x:c r="I602" s="69"/>
      <x:c r="J602" s="69"/>
      <x:c r="K602" s="69"/>
    </x:row>
    <x:row r="603" ht="15" hidden="0" customHeight="1">
      <x:c r="A603" t="str">
        <x:v>YDEX</x:v>
      </x:c>
      <x:c r="B603" t="str">
        <x:v>1П2026</x:v>
      </x:c>
      <x:c r="C603" s="73" t="str">
        <x:v>Скорр. EBITDA</x:v>
      </x:c>
      <x:c r="D603" s="73" t="str">
        <x:v>Вознаграждения акциями</x:v>
      </x:c>
      <x:c r="E603" s="74" t="n">
        <x:v>17196</x:v>
      </x:c>
      <x:c r="F603" s="73" t="str">
        <x:v>YDEX_2026H1.pdf</x:v>
      </x:c>
      <x:c r="G603" s="73" t="n">
        <x:v>12</x:v>
      </x:c>
      <x:c r="H603" s="73" t="str">
        <x:v>Состав и сумма сверены с раскрытием компании</x:v>
      </x:c>
      <x:c r="I603" s="69"/>
      <x:c r="J603" s="69"/>
      <x:c r="K603" s="69"/>
    </x:row>
    <x:row r="604" ht="15" hidden="0" customHeight="1">
      <x:c r="A604" t="str">
        <x:v>YDEX</x:v>
      </x:c>
      <x:c r="B604" t="str">
        <x:v>1П2026</x:v>
      </x:c>
      <x:c r="C604" s="73" t="str">
        <x:v>Скорр. EBITDA</x:v>
      </x:c>
      <x:c r="D604" s="73" t="str">
        <x:v>Прочие расходы по вознаграждениям</x:v>
      </x:c>
      <x:c r="E604" s="74" t="n">
        <x:v>1101</x:v>
      </x:c>
      <x:c r="F604" s="73" t="str">
        <x:v>YDEX_2026H1.pdf</x:v>
      </x:c>
      <x:c r="G604" s="73" t="n">
        <x:v>12</x:v>
      </x:c>
      <x:c r="H604" s="73" t="str">
        <x:v>Состав и сумма сверены с раскрытием компании</x:v>
      </x:c>
      <x:c r="I604" s="69"/>
      <x:c r="J604" s="69"/>
      <x:c r="K604" s="69"/>
    </x:row>
    <x:row r="605" ht="15" hidden="0" customHeight="1">
      <x:c r="A605" t="str">
        <x:v>YDEX</x:v>
      </x:c>
      <x:c r="B605" t="str">
        <x:v>1П2026</x:v>
      </x:c>
      <x:c r="C605" s="73" t="str">
        <x:v>Скорр. EBITDA</x:v>
      </x:c>
      <x:c r="D605" s="73" t="str">
        <x:v>Приобретения и реструктуризация</x:v>
      </x:c>
      <x:c r="E605" s="74" t="n">
        <x:v>177</x:v>
      </x:c>
      <x:c r="F605" s="73" t="str">
        <x:v>YDEX_2026H1.pdf</x:v>
      </x:c>
      <x:c r="G605" s="73" t="n">
        <x:v>12</x:v>
      </x:c>
      <x:c r="H605" s="73" t="str">
        <x:v>Состав и сумма сверены с раскрытием компании</x:v>
      </x:c>
      <x:c r="I605" s="69"/>
      <x:c r="J605" s="69"/>
      <x:c r="K605" s="69"/>
    </x:row>
    <x:row r="606" ht="15" hidden="0" customHeight="1">
      <x:c r="A606" t="str">
        <x:v>YDEX</x:v>
      </x:c>
      <x:c r="B606" t="str">
        <x:v>1П2026</x:v>
      </x:c>
      <x:c r="C606" s="73" t="str">
        <x:v>Скорр. EBITDA</x:v>
      </x:c>
      <x:c r="D606" s="73" t="str">
        <x:v>Прочие внеоперационные расходы</x:v>
      </x:c>
      <x:c r="E606" s="74" t="n">
        <x:v>1347</x:v>
      </x:c>
      <x:c r="F606" s="73" t="str">
        <x:v>YDEX_2026H1.pdf</x:v>
      </x:c>
      <x:c r="G606" s="73" t="n">
        <x:v>12</x:v>
      </x:c>
      <x:c r="H606" s="73" t="str">
        <x:v>Состав и сумма сверены с раскрытием компании</x:v>
      </x:c>
      <x:c r="I606" s="69"/>
      <x:c r="J606" s="69"/>
      <x:c r="K606" s="69"/>
    </x:row>
    <x:row r="607" ht="15" hidden="0" customHeight="1">
      <x:c r="A607" t="str">
        <x:v>YDEX</x:v>
      </x:c>
      <x:c r="B607" t="str">
        <x:v>1П2026</x:v>
      </x:c>
      <x:c r="C607" s="73" t="str">
        <x:v>Скорр. EBITDA</x:v>
      </x:c>
      <x:c r="D607" s="73" t="str">
        <x:v>Минус доход от продажи Авто.ру</x:v>
      </x:c>
      <x:c r="E607" s="74" t="n">
        <x:v>-25719</x:v>
      </x:c>
      <x:c r="F607" s="73" t="str">
        <x:v>YDEX_2026H1.pdf</x:v>
      </x:c>
      <x:c r="G607" s="73" t="n">
        <x:v>12</x:v>
      </x:c>
      <x:c r="H607" s="73" t="str">
        <x:v>Состав и сумма сверены с раскрытием компании</x:v>
      </x:c>
      <x:c r="I607" s="69"/>
      <x:c r="J607" s="69"/>
      <x:c r="K607" s="69"/>
    </x:row>
    <x:row r="608" ht="15" hidden="0" customHeight="1">
      <x:c r="A608" t="str">
        <x:v>YDEX</x:v>
      </x:c>
      <x:c r="B608" t="str">
        <x:v>1П2026</x:v>
      </x:c>
      <x:c r="C608" s="73" t="str">
        <x:v>Скорр. EBITDA</x:v>
      </x:c>
      <x:c r="D608" s="73" t="str">
        <x:v>Минус амортизация аренды офисов</x:v>
      </x:c>
      <x:c r="E608" s="74" t="n">
        <x:v>-8586</x:v>
      </x:c>
      <x:c r="F608" s="73" t="str">
        <x:v>YDEX_2026H1.pdf</x:v>
      </x:c>
      <x:c r="G608" s="73" t="n">
        <x:v>12</x:v>
      </x:c>
      <x:c r="H608" s="73" t="str">
        <x:v>Состав и сумма сверены с раскрытием компании</x:v>
      </x:c>
      <x:c r="I608" s="69"/>
      <x:c r="J608" s="69"/>
      <x:c r="K608" s="69"/>
    </x:row>
    <x:row r="609" ht="15" hidden="0" customHeight="1">
      <x:c r="A609" t="str">
        <x:v>YDEX</x:v>
      </x:c>
      <x:c r="B609" t="str">
        <x:v>1П2026</x:v>
      </x:c>
      <x:c r="C609" s="73" t="str">
        <x:v>Скорр. EBITDA</x:v>
      </x:c>
      <x:c r="D609" s="73" t="str">
        <x:v>Минус проценты по аренде офисов</x:v>
      </x:c>
      <x:c r="E609" s="74" t="n">
        <x:v>-6435</x:v>
      </x:c>
      <x:c r="F609" s="73" t="str">
        <x:v>YDEX_2026H1.pdf</x:v>
      </x:c>
      <x:c r="G609" s="73" t="n">
        <x:v>12</x:v>
      </x:c>
      <x:c r="H609" s="73" t="str">
        <x:v>Состав и сумма сверены с раскрытием компании</x:v>
      </x:c>
      <x:c r="I609" s="69"/>
      <x:c r="J609" s="69"/>
      <x:c r="K609" s="69"/>
    </x:row>
    <x:row r="610" ht="15" hidden="0" customHeight="1">
      <x:c r="A610" s="60" t="str">
        <x:v>YDEX</x:v>
      </x:c>
      <x:c r="B610" s="60" t="str">
        <x:v>1П2026</x:v>
      </x:c>
      <x:c r="C610" s="76" t="str">
        <x:v>Скорр. EBITDA</x:v>
      </x:c>
      <x:c r="D610" s="76" t="str">
        <x:v>ИТОГО — расчет</x:v>
      </x:c>
      <x:c r="E610" s="77" t="n">
        <x:f>SUM(E599:E609)</x:f>
        <x:v>162206</x:v>
      </x:c>
      <x:c r="F610" s="76" t="str">
        <x:v>YDEX_2026H1.pdf</x:v>
      </x:c>
      <x:c r="G610" s="76" t="n">
        <x:v>12</x:v>
      </x:c>
      <x:c r="H610" s="76"/>
      <x:c r="I610" s="71" t="n">
        <x:v>162206</x:v>
      </x:c>
      <x:c r="J610" s="71" t="n">
        <x:f>E610-I610</x:f>
        <x:v>0</x:v>
      </x:c>
      <x:c r="K610" s="71" t="n">
        <x:f>SUM(E599:E602)</x:f>
        <x:v>183125</x:v>
      </x:c>
    </x:row>
    <x:row r="611" ht="15" hidden="0" customHeight="1">
      <x:c r="C611" s="73"/>
      <x:c r="D611" s="73"/>
      <x:c r="E611" s="74"/>
      <x:c r="F611" s="73"/>
      <x:c r="G611" s="73"/>
      <x:c r="H611" s="73"/>
      <x:c r="I611" s="69"/>
      <x:c r="J611" s="69"/>
      <x:c r="K611" s="69"/>
    </x:row>
    <x:row r="612" ht="15" hidden="0" customHeight="1">
      <x:c r="A612" t="str">
        <x:v>UGLD</x:v>
      </x:c>
      <x:c r="B612" t="str">
        <x:v>2025</x:v>
      </x:c>
      <x:c r="C612" s="73" t="str">
        <x:v>Скорр. EBITDA</x:v>
      </x:c>
      <x:c r="D612" s="73" t="str">
        <x:v>Прибыль до налогообложения</x:v>
      </x:c>
      <x:c r="E612" s="74" t="n">
        <x:v>18215</x:v>
      </x:c>
      <x:c r="F612" s="73" t="str">
        <x:v>UGLD_FY.pdf</x:v>
      </x:c>
      <x:c r="G612" s="73" t="n">
        <x:v>38</x:v>
      </x:c>
      <x:c r="H612" s="73" t="str">
        <x:v>Состав и сумма сверены с раскрытием компании</x:v>
      </x:c>
      <x:c r="I612" s="69"/>
      <x:c r="J612" s="69"/>
      <x:c r="K612" s="69"/>
    </x:row>
    <x:row r="613" ht="15" hidden="0" customHeight="1">
      <x:c r="A613" t="str">
        <x:v>UGLD</x:v>
      </x:c>
      <x:c r="B613" t="str">
        <x:v>2025</x:v>
      </x:c>
      <x:c r="C613" s="73" t="str">
        <x:v>Скорр. EBITDA</x:v>
      </x:c>
      <x:c r="D613" s="73" t="str">
        <x:v>Амортизация</x:v>
      </x:c>
      <x:c r="E613" s="74" t="n">
        <x:v>14965</x:v>
      </x:c>
      <x:c r="F613" s="73" t="str">
        <x:v>UGLD_FY.pdf</x:v>
      </x:c>
      <x:c r="G613" s="73" t="n">
        <x:v>38</x:v>
      </x:c>
      <x:c r="H613" s="73" t="str">
        <x:v>Состав и сумма сверены с раскрытием компании</x:v>
      </x:c>
      <x:c r="I613" s="69"/>
      <x:c r="J613" s="69"/>
      <x:c r="K613" s="69"/>
    </x:row>
    <x:row r="614" ht="15" hidden="0" customHeight="1">
      <x:c r="A614" t="str">
        <x:v>UGLD</x:v>
      </x:c>
      <x:c r="B614" t="str">
        <x:v>2025</x:v>
      </x:c>
      <x:c r="C614" s="73" t="str">
        <x:v>Скорр. EBITDA</x:v>
      </x:c>
      <x:c r="D614" s="73" t="str">
        <x:v>Финансовые расходы, нетто</x:v>
      </x:c>
      <x:c r="E614" s="74" t="n">
        <x:v>10311</x:v>
      </x:c>
      <x:c r="F614" s="73" t="str">
        <x:v>UGLD_FY.pdf</x:v>
      </x:c>
      <x:c r="G614" s="73" t="n">
        <x:v>38</x:v>
      </x:c>
      <x:c r="H614" s="73" t="str">
        <x:v>Состав и сумма сверены с раскрытием компании</x:v>
      </x:c>
      <x:c r="I614" s="69"/>
      <x:c r="J614" s="69"/>
      <x:c r="K614" s="69"/>
    </x:row>
    <x:row r="615" ht="15" hidden="0" customHeight="1">
      <x:c r="A615" t="str">
        <x:v>UGLD</x:v>
      </x:c>
      <x:c r="B615" t="str">
        <x:v>2025</x:v>
      </x:c>
      <x:c r="C615" s="73" t="str">
        <x:v>Скорр. EBITDA</x:v>
      </x:c>
      <x:c r="D615" s="73" t="str">
        <x:v>Курсовые разницы</x:v>
      </x:c>
      <x:c r="E615" s="74" t="n">
        <x:v>-6316</x:v>
      </x:c>
      <x:c r="F615" s="73" t="str">
        <x:v>UGLD_FY.pdf</x:v>
      </x:c>
      <x:c r="G615" s="73" t="n">
        <x:v>38</x:v>
      </x:c>
      <x:c r="H615" s="73" t="str">
        <x:v>Состав и сумма сверены с раскрытием компании</x:v>
      </x:c>
      <x:c r="I615" s="69"/>
      <x:c r="J615" s="69"/>
      <x:c r="K615" s="69"/>
    </x:row>
    <x:row r="616" ht="15" hidden="0" customHeight="1">
      <x:c r="A616" t="str">
        <x:v>UGLD</x:v>
      </x:c>
      <x:c r="B616" t="str">
        <x:v>2025</x:v>
      </x:c>
      <x:c r="C616" s="73" t="str">
        <x:v>Скорр. EBITDA</x:v>
      </x:c>
      <x:c r="D616" s="73" t="str">
        <x:v>Вознаграждения</x:v>
      </x:c>
      <x:c r="E616" s="74" t="n">
        <x:v>1173</x:v>
      </x:c>
      <x:c r="F616" s="73" t="str">
        <x:v>UGLD_FY.pdf</x:v>
      </x:c>
      <x:c r="G616" s="73" t="n">
        <x:v>38</x:v>
      </x:c>
      <x:c r="H616" s="73" t="str">
        <x:v>Состав и сумма сверены с раскрытием компании</x:v>
      </x:c>
      <x:c r="I616" s="69"/>
      <x:c r="J616" s="69"/>
      <x:c r="K616" s="69"/>
    </x:row>
    <x:row r="617" ht="15" hidden="0" customHeight="1">
      <x:c r="A617" t="str">
        <x:v>UGLD</x:v>
      </x:c>
      <x:c r="B617" t="str">
        <x:v>2025</x:v>
      </x:c>
      <x:c r="C617" s="73" t="str">
        <x:v>Скорр. EBITDA</x:v>
      </x:c>
      <x:c r="D617" s="73" t="str">
        <x:v>Изменение резервов</x:v>
      </x:c>
      <x:c r="E617" s="74" t="n">
        <x:v>3907</x:v>
      </x:c>
      <x:c r="F617" s="73" t="str">
        <x:v>UGLD_FY.pdf</x:v>
      </x:c>
      <x:c r="G617" s="73" t="n">
        <x:v>38</x:v>
      </x:c>
      <x:c r="H617" s="73" t="str">
        <x:v>Состав и сумма сверены с раскрытием компании</x:v>
      </x:c>
      <x:c r="I617" s="69"/>
      <x:c r="J617" s="69"/>
      <x:c r="K617" s="69"/>
    </x:row>
    <x:row r="618" ht="15" hidden="0" customHeight="1">
      <x:c r="A618" t="str">
        <x:v>UGLD</x:v>
      </x:c>
      <x:c r="B618" t="str">
        <x:v>2025</x:v>
      </x:c>
      <x:c r="C618" s="73" t="str">
        <x:v>Скорр. EBITDA</x:v>
      </x:c>
      <x:c r="D618" s="73" t="str">
        <x:v>Прочие расходы</x:v>
      </x:c>
      <x:c r="E618" s="74" t="n">
        <x:v>359</x:v>
      </x:c>
      <x:c r="F618" s="73" t="str">
        <x:v>UGLD_FY.pdf</x:v>
      </x:c>
      <x:c r="G618" s="73" t="n">
        <x:v>38</x:v>
      </x:c>
      <x:c r="H618" s="73" t="str">
        <x:v>Состав и сумма сверены с раскрытием компании</x:v>
      </x:c>
      <x:c r="I618" s="69"/>
      <x:c r="J618" s="69"/>
      <x:c r="K618" s="69"/>
    </x:row>
    <x:row r="619" ht="15" hidden="0" customHeight="1">
      <x:c r="A619" s="60" t="str">
        <x:v>UGLD</x:v>
      </x:c>
      <x:c r="B619" s="60" t="str">
        <x:v>2025</x:v>
      </x:c>
      <x:c r="C619" s="76" t="str">
        <x:v>Скорр. EBITDA</x:v>
      </x:c>
      <x:c r="D619" s="76" t="str">
        <x:v>ИТОГО — расчет</x:v>
      </x:c>
      <x:c r="E619" s="77" t="n">
        <x:f>SUM(E612:E618)</x:f>
        <x:v>42614</x:v>
      </x:c>
      <x:c r="F619" s="76" t="str">
        <x:v>UGLD_FY.pdf</x:v>
      </x:c>
      <x:c r="G619" s="76" t="n">
        <x:v>38</x:v>
      </x:c>
      <x:c r="H619" s="76"/>
      <x:c r="I619" s="71" t="n">
        <x:v>42614</x:v>
      </x:c>
      <x:c r="J619" s="71" t="n">
        <x:f>E619-I619</x:f>
        <x:v>0</x:v>
      </x:c>
      <x:c r="K619" s="71" t="n">
        <x:f>SUM(E612:E614)</x:f>
        <x:v>43491</x:v>
      </x:c>
    </x:row>
    <x:row r="620" ht="15" hidden="0" customHeight="1">
      <x:c r="C620" s="73"/>
      <x:c r="D620" s="73"/>
      <x:c r="E620" s="74"/>
      <x:c r="F620" s="73"/>
      <x:c r="G620" s="73"/>
      <x:c r="H620" s="73"/>
      <x:c r="I620" s="69"/>
      <x:c r="J620" s="69"/>
      <x:c r="K620" s="69"/>
    </x:row>
    <x:row r="621" ht="15" hidden="0" customHeight="1">
      <x:c r="A621" t="str">
        <x:v>UGLD</x:v>
      </x:c>
      <x:c r="B621" t="str">
        <x:v>1П2025</x:v>
      </x:c>
      <x:c r="C621" s="73" t="str">
        <x:v>Скорр. EBITDA</x:v>
      </x:c>
      <x:c r="D621" s="73" t="str">
        <x:v>Прибыль до налогообложения</x:v>
      </x:c>
      <x:c r="E621" s="74" t="n">
        <x:v>9279</x:v>
      </x:c>
      <x:c r="F621" s="73" t="str">
        <x:v>UGLD_2026H1.pdf</x:v>
      </x:c>
      <x:c r="G621" s="73" t="n">
        <x:v>14</x:v>
      </x:c>
      <x:c r="H621" s="73" t="str">
        <x:v>Состав и сумма сверены с раскрытием компании</x:v>
      </x:c>
      <x:c r="I621" s="69"/>
      <x:c r="J621" s="69"/>
      <x:c r="K621" s="69"/>
    </x:row>
    <x:row r="622" ht="15" hidden="0" customHeight="1">
      <x:c r="A622" t="str">
        <x:v>UGLD</x:v>
      </x:c>
      <x:c r="B622" t="str">
        <x:v>1П2025</x:v>
      </x:c>
      <x:c r="C622" s="73" t="str">
        <x:v>Скорр. EBITDA</x:v>
      </x:c>
      <x:c r="D622" s="73" t="str">
        <x:v>Амортизация</x:v>
      </x:c>
      <x:c r="E622" s="74" t="n">
        <x:v>5656</x:v>
      </x:c>
      <x:c r="F622" s="73" t="str">
        <x:v>UGLD_2026H1.pdf</x:v>
      </x:c>
      <x:c r="G622" s="73" t="n">
        <x:v>14</x:v>
      </x:c>
      <x:c r="H622" s="73" t="str">
        <x:v>Состав и сумма сверены с раскрытием компании</x:v>
      </x:c>
      <x:c r="I622" s="69"/>
      <x:c r="J622" s="69"/>
      <x:c r="K622" s="69"/>
    </x:row>
    <x:row r="623" ht="15" hidden="0" customHeight="1">
      <x:c r="A623" t="str">
        <x:v>UGLD</x:v>
      </x:c>
      <x:c r="B623" t="str">
        <x:v>1П2025</x:v>
      </x:c>
      <x:c r="C623" s="73" t="str">
        <x:v>Скорр. EBITDA</x:v>
      </x:c>
      <x:c r="D623" s="73" t="str">
        <x:v>Финансовые расходы, нетто</x:v>
      </x:c>
      <x:c r="E623" s="74" t="n">
        <x:v>4494</x:v>
      </x:c>
      <x:c r="F623" s="73" t="str">
        <x:v>UGLD_2026H1.pdf</x:v>
      </x:c>
      <x:c r="G623" s="73" t="n">
        <x:v>14</x:v>
      </x:c>
      <x:c r="H623" s="73" t="str">
        <x:v>Состав и сумма сверены с раскрытием компании</x:v>
      </x:c>
      <x:c r="I623" s="69"/>
      <x:c r="J623" s="69"/>
      <x:c r="K623" s="69"/>
    </x:row>
    <x:row r="624" ht="15" hidden="0" customHeight="1">
      <x:c r="A624" t="str">
        <x:v>UGLD</x:v>
      </x:c>
      <x:c r="B624" t="str">
        <x:v>1П2025</x:v>
      </x:c>
      <x:c r="C624" s="73" t="str">
        <x:v>Скорр. EBITDA</x:v>
      </x:c>
      <x:c r="D624" s="73" t="str">
        <x:v>Курсовые разницы</x:v>
      </x:c>
      <x:c r="E624" s="74" t="n">
        <x:v>-6646</x:v>
      </x:c>
      <x:c r="F624" s="73" t="str">
        <x:v>UGLD_2026H1.pdf</x:v>
      </x:c>
      <x:c r="G624" s="73" t="n">
        <x:v>14</x:v>
      </x:c>
      <x:c r="H624" s="73" t="str">
        <x:v>Состав и сумма сверены с раскрытием компании</x:v>
      </x:c>
      <x:c r="I624" s="69"/>
      <x:c r="J624" s="69"/>
      <x:c r="K624" s="69"/>
    </x:row>
    <x:row r="625" ht="15" hidden="0" customHeight="1">
      <x:c r="A625" t="str">
        <x:v>UGLD</x:v>
      </x:c>
      <x:c r="B625" t="str">
        <x:v>1П2025</x:v>
      </x:c>
      <x:c r="C625" s="73" t="str">
        <x:v>Скорр. EBITDA</x:v>
      </x:c>
      <x:c r="D625" s="73" t="str">
        <x:v>Вознаграждения</x:v>
      </x:c>
      <x:c r="E625" s="74" t="n">
        <x:v>1035</x:v>
      </x:c>
      <x:c r="F625" s="73" t="str">
        <x:v>UGLD_2026H1.pdf</x:v>
      </x:c>
      <x:c r="G625" s="73" t="n">
        <x:v>14</x:v>
      </x:c>
      <x:c r="H625" s="73" t="str">
        <x:v>Состав и сумма сверены с раскрытием компании</x:v>
      </x:c>
      <x:c r="I625" s="69"/>
      <x:c r="J625" s="69"/>
      <x:c r="K625" s="69"/>
    </x:row>
    <x:row r="626" ht="15" hidden="0" customHeight="1">
      <x:c r="A626" t="str">
        <x:v>UGLD</x:v>
      </x:c>
      <x:c r="B626" t="str">
        <x:v>1П2025</x:v>
      </x:c>
      <x:c r="C626" s="73" t="str">
        <x:v>Скорр. EBITDA</x:v>
      </x:c>
      <x:c r="D626" s="73" t="str">
        <x:v>Изменение резервов</x:v>
      </x:c>
      <x:c r="E626" s="74" t="n">
        <x:v>1025</x:v>
      </x:c>
      <x:c r="F626" s="73" t="str">
        <x:v>UGLD_2026H1.pdf</x:v>
      </x:c>
      <x:c r="G626" s="73" t="n">
        <x:v>14</x:v>
      </x:c>
      <x:c r="H626" s="73" t="str">
        <x:v>Состав и сумма сверены с раскрытием компании</x:v>
      </x:c>
      <x:c r="I626" s="69"/>
      <x:c r="J626" s="69"/>
      <x:c r="K626" s="69"/>
    </x:row>
    <x:row r="627" ht="15" hidden="0" customHeight="1">
      <x:c r="A627" t="str">
        <x:v>UGLD</x:v>
      </x:c>
      <x:c r="B627" t="str">
        <x:v>1П2025</x:v>
      </x:c>
      <x:c r="C627" s="73" t="str">
        <x:v>Скорр. EBITDA</x:v>
      </x:c>
      <x:c r="D627" s="73" t="str">
        <x:v>Прочие расходы</x:v>
      </x:c>
      <x:c r="E627" s="74" t="n">
        <x:v>517</x:v>
      </x:c>
      <x:c r="F627" s="73" t="str">
        <x:v>UGLD_2026H1.pdf</x:v>
      </x:c>
      <x:c r="G627" s="73" t="n">
        <x:v>14</x:v>
      </x:c>
      <x:c r="H627" s="73" t="str">
        <x:v>Состав и сумма сверены с раскрытием компании</x:v>
      </x:c>
      <x:c r="I627" s="69"/>
      <x:c r="J627" s="69"/>
      <x:c r="K627" s="69"/>
    </x:row>
    <x:row r="628" ht="15" hidden="0" customHeight="1">
      <x:c r="A628" s="60" t="str">
        <x:v>UGLD</x:v>
      </x:c>
      <x:c r="B628" s="60" t="str">
        <x:v>1П2025</x:v>
      </x:c>
      <x:c r="C628" s="76" t="str">
        <x:v>Скорр. EBITDA</x:v>
      </x:c>
      <x:c r="D628" s="76" t="str">
        <x:v>ИТОГО — расчет</x:v>
      </x:c>
      <x:c r="E628" s="77" t="n">
        <x:f>SUM(E621:E627)</x:f>
        <x:v>15360</x:v>
      </x:c>
      <x:c r="F628" s="76" t="str">
        <x:v>UGLD_2026H1.pdf</x:v>
      </x:c>
      <x:c r="G628" s="76" t="n">
        <x:v>14</x:v>
      </x:c>
      <x:c r="H628" s="76"/>
      <x:c r="I628" s="71" t="n">
        <x:v>15360</x:v>
      </x:c>
      <x:c r="J628" s="71" t="n">
        <x:f>E628-I628</x:f>
        <x:v>0</x:v>
      </x:c>
      <x:c r="K628" s="71" t="n">
        <x:f>SUM(E621:E623)</x:f>
        <x:v>19429</x:v>
      </x:c>
    </x:row>
    <x:row r="629" ht="15" hidden="0" customHeight="1">
      <x:c r="C629" s="73"/>
      <x:c r="D629" s="73"/>
      <x:c r="E629" s="74"/>
      <x:c r="F629" s="73"/>
      <x:c r="G629" s="73"/>
      <x:c r="H629" s="73"/>
      <x:c r="I629" s="69"/>
      <x:c r="J629" s="69"/>
      <x:c r="K629" s="69"/>
    </x:row>
    <x:row r="630" ht="15" hidden="0" customHeight="1">
      <x:c r="A630" t="str">
        <x:v>UGLD</x:v>
      </x:c>
      <x:c r="B630" t="str">
        <x:v>1П2026</x:v>
      </x:c>
      <x:c r="C630" s="73" t="str">
        <x:v>Скорр. EBITDA</x:v>
      </x:c>
      <x:c r="D630" s="73" t="str">
        <x:v>Прибыль до налогообложения</x:v>
      </x:c>
      <x:c r="E630" s="74" t="n">
        <x:v>24164</x:v>
      </x:c>
      <x:c r="F630" s="73" t="str">
        <x:v>UGLD_2026H1.pdf</x:v>
      </x:c>
      <x:c r="G630" s="73" t="n">
        <x:v>14</x:v>
      </x:c>
      <x:c r="H630" s="73" t="str">
        <x:v>Состав и сумма сверены с раскрытием компании</x:v>
      </x:c>
      <x:c r="I630" s="69"/>
      <x:c r="J630" s="69"/>
      <x:c r="K630" s="69"/>
    </x:row>
    <x:row r="631" ht="15" hidden="0" customHeight="1">
      <x:c r="A631" t="str">
        <x:v>UGLD</x:v>
      </x:c>
      <x:c r="B631" t="str">
        <x:v>1П2026</x:v>
      </x:c>
      <x:c r="C631" s="73" t="str">
        <x:v>Скорр. EBITDA</x:v>
      </x:c>
      <x:c r="D631" s="73" t="str">
        <x:v>Амортизация</x:v>
      </x:c>
      <x:c r="E631" s="74" t="n">
        <x:v>8930</x:v>
      </x:c>
      <x:c r="F631" s="73" t="str">
        <x:v>UGLD_2026H1.pdf</x:v>
      </x:c>
      <x:c r="G631" s="73" t="n">
        <x:v>14</x:v>
      </x:c>
      <x:c r="H631" s="73" t="str">
        <x:v>Состав и сумма сверены с раскрытием компании</x:v>
      </x:c>
      <x:c r="I631" s="69"/>
      <x:c r="J631" s="69"/>
      <x:c r="K631" s="69"/>
    </x:row>
    <x:row r="632" ht="15" hidden="0" customHeight="1">
      <x:c r="A632" t="str">
        <x:v>UGLD</x:v>
      </x:c>
      <x:c r="B632" t="str">
        <x:v>1П2026</x:v>
      </x:c>
      <x:c r="C632" s="73" t="str">
        <x:v>Скорр. EBITDA</x:v>
      </x:c>
      <x:c r="D632" s="73" t="str">
        <x:v>Финансовые расходы, нетто</x:v>
      </x:c>
      <x:c r="E632" s="74" t="n">
        <x:v>4071</x:v>
      </x:c>
      <x:c r="F632" s="73" t="str">
        <x:v>UGLD_2026H1.pdf</x:v>
      </x:c>
      <x:c r="G632" s="73" t="n">
        <x:v>14</x:v>
      </x:c>
      <x:c r="H632" s="73" t="str">
        <x:v>Состав и сумма сверены с раскрытием компании</x:v>
      </x:c>
      <x:c r="I632" s="69"/>
      <x:c r="J632" s="69"/>
      <x:c r="K632" s="69"/>
    </x:row>
    <x:row r="633" ht="15" hidden="0" customHeight="1">
      <x:c r="A633" t="str">
        <x:v>UGLD</x:v>
      </x:c>
      <x:c r="B633" t="str">
        <x:v>1П2026</x:v>
      </x:c>
      <x:c r="C633" s="73" t="str">
        <x:v>Скорр. EBITDA</x:v>
      </x:c>
      <x:c r="D633" s="73" t="str">
        <x:v>Курсовые разницы</x:v>
      </x:c>
      <x:c r="E633" s="74" t="n">
        <x:v>824</x:v>
      </x:c>
      <x:c r="F633" s="73" t="str">
        <x:v>UGLD_2026H1.pdf</x:v>
      </x:c>
      <x:c r="G633" s="73" t="n">
        <x:v>14</x:v>
      </x:c>
      <x:c r="H633" s="73" t="str">
        <x:v>Состав и сумма сверены с раскрытием компании</x:v>
      </x:c>
      <x:c r="I633" s="69"/>
      <x:c r="J633" s="69"/>
      <x:c r="K633" s="69"/>
    </x:row>
    <x:row r="634" ht="15" hidden="0" customHeight="1">
      <x:c r="A634" t="str">
        <x:v>UGLD</x:v>
      </x:c>
      <x:c r="B634" t="str">
        <x:v>1П2026</x:v>
      </x:c>
      <x:c r="C634" s="73" t="str">
        <x:v>Скорр. EBITDA</x:v>
      </x:c>
      <x:c r="D634" s="73" t="str">
        <x:v>Вознаграждения</x:v>
      </x:c>
      <x:c r="E634" s="74" t="n">
        <x:v>0</x:v>
      </x:c>
      <x:c r="F634" s="73" t="str">
        <x:v>UGLD_2026H1.pdf</x:v>
      </x:c>
      <x:c r="G634" s="73" t="n">
        <x:v>14</x:v>
      </x:c>
      <x:c r="H634" s="73" t="str">
        <x:v>Состав и сумма сверены с раскрытием компании</x:v>
      </x:c>
      <x:c r="I634" s="69"/>
      <x:c r="J634" s="69"/>
      <x:c r="K634" s="69"/>
    </x:row>
    <x:row r="635" ht="15" hidden="0" customHeight="1">
      <x:c r="A635" t="str">
        <x:v>UGLD</x:v>
      </x:c>
      <x:c r="B635" t="str">
        <x:v>1П2026</x:v>
      </x:c>
      <x:c r="C635" s="73" t="str">
        <x:v>Скорр. EBITDA</x:v>
      </x:c>
      <x:c r="D635" s="73" t="str">
        <x:v>Изменение резервов</x:v>
      </x:c>
      <x:c r="E635" s="74" t="n">
        <x:v>1</x:v>
      </x:c>
      <x:c r="F635" s="73" t="str">
        <x:v>UGLD_2026H1.pdf</x:v>
      </x:c>
      <x:c r="G635" s="73" t="n">
        <x:v>14</x:v>
      </x:c>
      <x:c r="H635" s="73" t="str">
        <x:v>Состав и сумма сверены с раскрытием компании</x:v>
      </x:c>
      <x:c r="I635" s="69"/>
      <x:c r="J635" s="69"/>
      <x:c r="K635" s="69"/>
    </x:row>
    <x:row r="636" ht="15" hidden="0" customHeight="1">
      <x:c r="A636" t="str">
        <x:v>UGLD</x:v>
      </x:c>
      <x:c r="B636" t="str">
        <x:v>1П2026</x:v>
      </x:c>
      <x:c r="C636" s="73" t="str">
        <x:v>Скорр. EBITDA</x:v>
      </x:c>
      <x:c r="D636" s="73" t="str">
        <x:v>Прочие расходы</x:v>
      </x:c>
      <x:c r="E636" s="74" t="n">
        <x:v>79</x:v>
      </x:c>
      <x:c r="F636" s="73" t="str">
        <x:v>UGLD_2026H1.pdf</x:v>
      </x:c>
      <x:c r="G636" s="73" t="n">
        <x:v>14</x:v>
      </x:c>
      <x:c r="H636" s="73" t="str">
        <x:v>Состав и сумма сверены с раскрытием компании</x:v>
      </x:c>
      <x:c r="I636" s="69"/>
      <x:c r="J636" s="69"/>
      <x:c r="K636" s="69"/>
    </x:row>
    <x:row r="637" ht="15" hidden="0" customHeight="1">
      <x:c r="A637" s="60" t="str">
        <x:v>UGLD</x:v>
      </x:c>
      <x:c r="B637" s="60" t="str">
        <x:v>1П2026</x:v>
      </x:c>
      <x:c r="C637" s="76" t="str">
        <x:v>Скорр. EBITDA</x:v>
      </x:c>
      <x:c r="D637" s="76" t="str">
        <x:v>ИТОГО — расчет</x:v>
      </x:c>
      <x:c r="E637" s="77" t="n">
        <x:f>SUM(E630:E636)</x:f>
        <x:v>38069</x:v>
      </x:c>
      <x:c r="F637" s="76" t="str">
        <x:v>UGLD_2026H1.pdf</x:v>
      </x:c>
      <x:c r="G637" s="76" t="n">
        <x:v>14</x:v>
      </x:c>
      <x:c r="H637" s="76"/>
      <x:c r="I637" s="71" t="n">
        <x:v>38069</x:v>
      </x:c>
      <x:c r="J637" s="71" t="n">
        <x:f>E637-I637</x:f>
        <x:v>0</x:v>
      </x:c>
      <x:c r="K637" s="71" t="n">
        <x:f>SUM(E630:E632)</x:f>
        <x:v>37165</x:v>
      </x:c>
    </x:row>
    <x:row r="638" ht="15" hidden="0" customHeight="1">
      <x:c r="C638" s="73"/>
      <x:c r="D638" s="73"/>
      <x:c r="E638" s="74"/>
      <x:c r="F638" s="73"/>
      <x:c r="G638" s="73"/>
      <x:c r="H638" s="73"/>
      <x:c r="I638" s="69"/>
      <x:c r="J638" s="69"/>
      <x:c r="K638" s="69"/>
    </x:row>
    <x:row r="639" ht="26.399999618530273" hidden="0" customHeight="1">
      <x:c r="A639" t="str">
        <x:v>LENT</x:v>
      </x:c>
      <x:c r="B639" t="str">
        <x:v>2025</x:v>
      </x:c>
      <x:c r="C639" s="73" t="str">
        <x:v>EBITDA компании (скорректированная по составу)</x:v>
      </x:c>
      <x:c r="D639" s="73" t="str">
        <x:v>Чистая прибыль группы</x:v>
      </x:c>
      <x:c r="E639" s="74" t="n">
        <x:v>34851.311</x:v>
      </x:c>
      <x:c r="F639" s="73" t="str">
        <x:v>Лента_МСФО_2025.pdf</x:v>
      </x:c>
      <x:c r="G639" s="73" t="n">
        <x:v>55</x:v>
      </x:c>
      <x:c r="H639" s="73" t="str">
        <x:v>Состав и сумма сверены с раскрытием компании</x:v>
      </x:c>
      <x:c r="I639" s="69"/>
      <x:c r="J639" s="69"/>
      <x:c r="K639" s="69"/>
    </x:row>
    <x:row r="640" ht="26.399999618530273" hidden="0" customHeight="1">
      <x:c r="A640" t="str">
        <x:v>LENT</x:v>
      </x:c>
      <x:c r="B640" t="str">
        <x:v>2025</x:v>
      </x:c>
      <x:c r="C640" s="73" t="str">
        <x:v>EBITDA компании (скорректированная по составу)</x:v>
      </x:c>
      <x:c r="D640" s="73" t="str">
        <x:v>Налог на прибыль</x:v>
      </x:c>
      <x:c r="E640" s="74" t="n">
        <x:v>9551.203</x:v>
      </x:c>
      <x:c r="F640" s="73" t="str">
        <x:v>Лента_МСФО_2025.pdf</x:v>
      </x:c>
      <x:c r="G640" s="73" t="n">
        <x:v>55</x:v>
      </x:c>
      <x:c r="H640" s="73" t="str">
        <x:v>Состав и сумма сверены с раскрытием компании</x:v>
      </x:c>
      <x:c r="I640" s="69"/>
      <x:c r="J640" s="69"/>
      <x:c r="K640" s="69"/>
    </x:row>
    <x:row r="641" ht="26.399999618530273" hidden="0" customHeight="1">
      <x:c r="A641" t="str">
        <x:v>LENT</x:v>
      </x:c>
      <x:c r="B641" t="str">
        <x:v>2025</x:v>
      </x:c>
      <x:c r="C641" s="73" t="str">
        <x:v>EBITDA компании (скорректированная по составу)</x:v>
      </x:c>
      <x:c r="D641" s="73" t="str">
        <x:v>Процентные расходы</x:v>
      </x:c>
      <x:c r="E641" s="74" t="n">
        <x:v>31172.005</x:v>
      </x:c>
      <x:c r="F641" s="73" t="str">
        <x:v>Лента_МСФО_2025.pdf</x:v>
      </x:c>
      <x:c r="G641" s="73" t="n">
        <x:v>55</x:v>
      </x:c>
      <x:c r="H641" s="73" t="str">
        <x:v>Состав и сумма сверены с раскрытием компании</x:v>
      </x:c>
      <x:c r="I641" s="69"/>
      <x:c r="J641" s="69"/>
      <x:c r="K641" s="69"/>
    </x:row>
    <x:row r="642" ht="26.399999618530273" hidden="0" customHeight="1">
      <x:c r="A642" t="str">
        <x:v>LENT</x:v>
      </x:c>
      <x:c r="B642" t="str">
        <x:v>2025</x:v>
      </x:c>
      <x:c r="C642" s="73" t="str">
        <x:v>EBITDA компании (скорректированная по составу)</x:v>
      </x:c>
      <x:c r="D642" s="73" t="str">
        <x:v>Минус процентные доходы</x:v>
      </x:c>
      <x:c r="E642" s="74" t="n">
        <x:v>-5393.43</x:v>
      </x:c>
      <x:c r="F642" s="73" t="str">
        <x:v>Лента_МСФО_2025.pdf</x:v>
      </x:c>
      <x:c r="G642" s="73" t="n">
        <x:v>55</x:v>
      </x:c>
      <x:c r="H642" s="73" t="str">
        <x:v>Состав и сумма сверены с раскрытием компании</x:v>
      </x:c>
      <x:c r="I642" s="69"/>
      <x:c r="J642" s="69"/>
      <x:c r="K642" s="69"/>
    </x:row>
    <x:row r="643" ht="26.399999618530273" hidden="0" customHeight="1">
      <x:c r="A643" t="str">
        <x:v>LENT</x:v>
      </x:c>
      <x:c r="B643" t="str">
        <x:v>2025</x:v>
      </x:c>
      <x:c r="C643" s="73" t="str">
        <x:v>EBITDA компании (скорректированная по составу)</x:v>
      </x:c>
      <x:c r="D643" s="73" t="str">
        <x:v>Амортизация</x:v>
      </x:c>
      <x:c r="E643" s="74" t="n">
        <x:v>42707.01</x:v>
      </x:c>
      <x:c r="F643" s="73" t="str">
        <x:v>Лента_МСФО_2025.pdf</x:v>
      </x:c>
      <x:c r="G643" s="73" t="n">
        <x:v>55</x:v>
      </x:c>
      <x:c r="H643" s="73" t="str">
        <x:v>Состав и сумма сверены с раскрытием компании</x:v>
      </x:c>
      <x:c r="I643" s="69"/>
      <x:c r="J643" s="69"/>
      <x:c r="K643" s="69"/>
    </x:row>
    <x:row r="644" ht="26.399999618530273" hidden="0" customHeight="1">
      <x:c r="A644" t="str">
        <x:v>LENT</x:v>
      </x:c>
      <x:c r="B644" t="str">
        <x:v>2025</x:v>
      </x:c>
      <x:c r="C644" s="73" t="str">
        <x:v>EBITDA компании (скорректированная по составу)</x:v>
      </x:c>
      <x:c r="D644" s="73" t="str">
        <x:v>Обесценение внеоборотных активов</x:v>
      </x:c>
      <x:c r="E644" s="74" t="n">
        <x:v>508.353</x:v>
      </x:c>
      <x:c r="F644" s="73" t="str">
        <x:v>Лента_МСФО_2025.pdf</x:v>
      </x:c>
      <x:c r="G644" s="73" t="n">
        <x:v>55</x:v>
      </x:c>
      <x:c r="H644" s="73" t="str">
        <x:v>Состав и сумма сверены с раскрытием компании</x:v>
      </x:c>
      <x:c r="I644" s="69"/>
      <x:c r="J644" s="69"/>
      <x:c r="K644" s="69"/>
    </x:row>
    <x:row r="645" ht="26.399999618530273" hidden="0" customHeight="1">
      <x:c r="A645" t="str">
        <x:v>LENT</x:v>
      </x:c>
      <x:c r="B645" t="str">
        <x:v>2025</x:v>
      </x:c>
      <x:c r="C645" s="73" t="str">
        <x:v>EBITDA компании (скорректированная по составу)</x:v>
      </x:c>
      <x:c r="D645" s="73" t="str">
        <x:v>Кредитные убытки</x:v>
      </x:c>
      <x:c r="E645" s="74" t="n">
        <x:v>38.918</x:v>
      </x:c>
      <x:c r="F645" s="73" t="str">
        <x:v>Лента_МСФО_2025.pdf</x:v>
      </x:c>
      <x:c r="G645" s="73" t="n">
        <x:v>55</x:v>
      </x:c>
      <x:c r="H645" s="73" t="str">
        <x:v>Состав и сумма сверены с раскрытием компании</x:v>
      </x:c>
      <x:c r="I645" s="69"/>
      <x:c r="J645" s="69"/>
      <x:c r="K645" s="69"/>
    </x:row>
    <x:row r="646" ht="26.399999618530273" hidden="0" customHeight="1">
      <x:c r="A646" t="str">
        <x:v>LENT</x:v>
      </x:c>
      <x:c r="B646" t="str">
        <x:v>2025</x:v>
      </x:c>
      <x:c r="C646" s="73" t="str">
        <x:v>EBITDA компании (скорректированная по составу)</x:v>
      </x:c>
      <x:c r="D646" s="73" t="str">
        <x:v>Минус курсовые доходы</x:v>
      </x:c>
      <x:c r="E646" s="74" t="n">
        <x:v>-419.927</x:v>
      </x:c>
      <x:c r="F646" s="73" t="str">
        <x:v>Лента_МСФО_2025.pdf</x:v>
      </x:c>
      <x:c r="G646" s="73" t="n">
        <x:v>55</x:v>
      </x:c>
      <x:c r="H646" s="73" t="str">
        <x:v>Состав и сумма сверены с раскрытием компании</x:v>
      </x:c>
      <x:c r="I646" s="69"/>
      <x:c r="J646" s="69"/>
      <x:c r="K646" s="69"/>
    </x:row>
    <x:row r="647" ht="26.399999618530273" hidden="0" customHeight="1">
      <x:c r="A647" s="60" t="str">
        <x:v>LENT</x:v>
      </x:c>
      <x:c r="B647" s="60" t="str">
        <x:v>2025</x:v>
      </x:c>
      <x:c r="C647" s="76" t="str">
        <x:v>EBITDA компании (скорректированная по составу)</x:v>
      </x:c>
      <x:c r="D647" s="76" t="str">
        <x:v>ИТОГО — расчет</x:v>
      </x:c>
      <x:c r="E647" s="77" t="n">
        <x:f>SUM(E639:E646)</x:f>
        <x:v>113015.44300000003</x:v>
      </x:c>
      <x:c r="F647" s="76" t="str">
        <x:v>Лента_МСФО_2025.pdf</x:v>
      </x:c>
      <x:c r="G647" s="76" t="n">
        <x:v>55</x:v>
      </x:c>
      <x:c r="H647" s="76"/>
      <x:c r="I647" s="71" t="n">
        <x:v>113015.443</x:v>
      </x:c>
      <x:c r="J647" s="71" t="n">
        <x:f>E647-I647</x:f>
        <x:v>2.9103830456733704e-11</x:v>
      </x:c>
      <x:c r="K647" s="71" t="n">
        <x:f>SUM(E639:E643)</x:f>
        <x:v>112888.09900000002</x:v>
      </x:c>
    </x:row>
    <x:row r="648" ht="15" hidden="0" customHeight="1">
      <x:c r="C648" s="73"/>
      <x:c r="D648" s="73"/>
      <x:c r="E648" s="74"/>
      <x:c r="F648" s="73"/>
      <x:c r="G648" s="73"/>
      <x:c r="H648" s="73"/>
      <x:c r="I648" s="69"/>
      <x:c r="J648" s="69"/>
      <x:c r="K648" s="69"/>
    </x:row>
    <x:row r="649" ht="26.399999618530273" hidden="0" customHeight="1">
      <x:c r="A649" t="str">
        <x:v>LENT</x:v>
      </x:c>
      <x:c r="B649" t="str">
        <x:v>1П2025</x:v>
      </x:c>
      <x:c r="C649" s="73" t="str">
        <x:v>EBITDA компании (скорректированная по составу)</x:v>
      </x:c>
      <x:c r="D649" s="73" t="str">
        <x:v>Чистая прибыль группы</x:v>
      </x:c>
      <x:c r="E649" s="74" t="n">
        <x:v>14314.184</x:v>
      </x:c>
      <x:c r="F649" s="73" t="str">
        <x:v>LENT_2026H1.pdf</x:v>
      </x:c>
      <x:c r="G649" s="73" t="n">
        <x:v>24</x:v>
      </x:c>
      <x:c r="H649" s="73" t="str">
        <x:v>Состав и сумма сверены с раскрытием компании</x:v>
      </x:c>
      <x:c r="I649" s="69"/>
      <x:c r="J649" s="69"/>
      <x:c r="K649" s="69"/>
    </x:row>
    <x:row r="650" ht="26.399999618530273" hidden="0" customHeight="1">
      <x:c r="A650" t="str">
        <x:v>LENT</x:v>
      </x:c>
      <x:c r="B650" t="str">
        <x:v>1П2025</x:v>
      </x:c>
      <x:c r="C650" s="73" t="str">
        <x:v>EBITDA компании (скорректированная по составу)</x:v>
      </x:c>
      <x:c r="D650" s="73" t="str">
        <x:v>Налог на прибыль</x:v>
      </x:c>
      <x:c r="E650" s="74" t="n">
        <x:v>5256.779</x:v>
      </x:c>
      <x:c r="F650" s="73" t="str">
        <x:v>LENT_2026H1.pdf</x:v>
      </x:c>
      <x:c r="G650" s="73" t="n">
        <x:v>24</x:v>
      </x:c>
      <x:c r="H650" s="73" t="str">
        <x:v>Состав и сумма сверены с раскрытием компании</x:v>
      </x:c>
      <x:c r="I650" s="69"/>
      <x:c r="J650" s="69"/>
      <x:c r="K650" s="69"/>
    </x:row>
    <x:row r="651" ht="26.399999618530273" hidden="0" customHeight="1">
      <x:c r="A651" t="str">
        <x:v>LENT</x:v>
      </x:c>
      <x:c r="B651" t="str">
        <x:v>1П2025</x:v>
      </x:c>
      <x:c r="C651" s="73" t="str">
        <x:v>EBITDA компании (скорректированная по составу)</x:v>
      </x:c>
      <x:c r="D651" s="73" t="str">
        <x:v>Процентные расходы</x:v>
      </x:c>
      <x:c r="E651" s="74" t="n">
        <x:v>14821.13</x:v>
      </x:c>
      <x:c r="F651" s="73" t="str">
        <x:v>LENT_2026H1.pdf</x:v>
      </x:c>
      <x:c r="G651" s="73" t="n">
        <x:v>24</x:v>
      </x:c>
      <x:c r="H651" s="73" t="str">
        <x:v>Состав и сумма сверены с раскрытием компании</x:v>
      </x:c>
      <x:c r="I651" s="69"/>
      <x:c r="J651" s="69"/>
      <x:c r="K651" s="69"/>
    </x:row>
    <x:row r="652" ht="26.399999618530273" hidden="0" customHeight="1">
      <x:c r="A652" t="str">
        <x:v>LENT</x:v>
      </x:c>
      <x:c r="B652" t="str">
        <x:v>1П2025</x:v>
      </x:c>
      <x:c r="C652" s="73" t="str">
        <x:v>EBITDA компании (скорректированная по составу)</x:v>
      </x:c>
      <x:c r="D652" s="73" t="str">
        <x:v>Минус процентные доходы</x:v>
      </x:c>
      <x:c r="E652" s="74" t="n">
        <x:v>-2651.134</x:v>
      </x:c>
      <x:c r="F652" s="73" t="str">
        <x:v>LENT_2026H1.pdf</x:v>
      </x:c>
      <x:c r="G652" s="73" t="n">
        <x:v>24</x:v>
      </x:c>
      <x:c r="H652" s="73" t="str">
        <x:v>Состав и сумма сверены с раскрытием компании</x:v>
      </x:c>
      <x:c r="I652" s="69"/>
      <x:c r="J652" s="69"/>
      <x:c r="K652" s="69"/>
    </x:row>
    <x:row r="653" ht="26.399999618530273" hidden="0" customHeight="1">
      <x:c r="A653" t="str">
        <x:v>LENT</x:v>
      </x:c>
      <x:c r="B653" t="str">
        <x:v>1П2025</x:v>
      </x:c>
      <x:c r="C653" s="73" t="str">
        <x:v>EBITDA компании (скорректированная по составу)</x:v>
      </x:c>
      <x:c r="D653" s="73" t="str">
        <x:v>Амортизация</x:v>
      </x:c>
      <x:c r="E653" s="74" t="n">
        <x:v>20333.651</x:v>
      </x:c>
      <x:c r="F653" s="73" t="str">
        <x:v>LENT_2026H1.pdf</x:v>
      </x:c>
      <x:c r="G653" s="73" t="n">
        <x:v>24</x:v>
      </x:c>
      <x:c r="H653" s="73" t="str">
        <x:v>Состав и сумма сверены с раскрытием компании</x:v>
      </x:c>
      <x:c r="I653" s="69"/>
      <x:c r="J653" s="69"/>
      <x:c r="K653" s="69"/>
    </x:row>
    <x:row r="654" ht="26.399999618530273" hidden="0" customHeight="1">
      <x:c r="A654" t="str">
        <x:v>LENT</x:v>
      </x:c>
      <x:c r="B654" t="str">
        <x:v>1П2025</x:v>
      </x:c>
      <x:c r="C654" s="73" t="str">
        <x:v>EBITDA компании (скорректированная по составу)</x:v>
      </x:c>
      <x:c r="D654" s="73" t="str">
        <x:v>Обесценение внеоборотных активов</x:v>
      </x:c>
      <x:c r="E654" s="74" t="n">
        <x:v>473.129</x:v>
      </x:c>
      <x:c r="F654" s="73" t="str">
        <x:v>LENT_2026H1.pdf</x:v>
      </x:c>
      <x:c r="G654" s="73" t="n">
        <x:v>24</x:v>
      </x:c>
      <x:c r="H654" s="73" t="str">
        <x:v>Состав и сумма сверены с раскрытием компании</x:v>
      </x:c>
      <x:c r="I654" s="69"/>
      <x:c r="J654" s="69"/>
      <x:c r="K654" s="69"/>
    </x:row>
    <x:row r="655" ht="26.399999618530273" hidden="0" customHeight="1">
      <x:c r="A655" t="str">
        <x:v>LENT</x:v>
      </x:c>
      <x:c r="B655" t="str">
        <x:v>1П2025</x:v>
      </x:c>
      <x:c r="C655" s="73" t="str">
        <x:v>EBITDA компании (скорректированная по составу)</x:v>
      </x:c>
      <x:c r="D655" s="73" t="str">
        <x:v>Кредитные убытки</x:v>
      </x:c>
      <x:c r="E655" s="74" t="n">
        <x:v>0</x:v>
      </x:c>
      <x:c r="F655" s="73" t="str">
        <x:v>LENT_2026H1.pdf</x:v>
      </x:c>
      <x:c r="G655" s="73" t="n">
        <x:v>24</x:v>
      </x:c>
      <x:c r="H655" s="73" t="str">
        <x:v>Состав и сумма сверены с раскрытием компании</x:v>
      </x:c>
      <x:c r="I655" s="69"/>
      <x:c r="J655" s="69"/>
      <x:c r="K655" s="69"/>
    </x:row>
    <x:row r="656" ht="26.399999618530273" hidden="0" customHeight="1">
      <x:c r="A656" t="str">
        <x:v>LENT</x:v>
      </x:c>
      <x:c r="B656" t="str">
        <x:v>1П2025</x:v>
      </x:c>
      <x:c r="C656" s="73" t="str">
        <x:v>EBITDA компании (скорректированная по составу)</x:v>
      </x:c>
      <x:c r="D656" s="73" t="str">
        <x:v>Минус курсовые доходы</x:v>
      </x:c>
      <x:c r="E656" s="74" t="n">
        <x:v>-452.294</x:v>
      </x:c>
      <x:c r="F656" s="73" t="str">
        <x:v>LENT_2026H1.pdf</x:v>
      </x:c>
      <x:c r="G656" s="73" t="n">
        <x:v>24</x:v>
      </x:c>
      <x:c r="H656" s="73" t="str">
        <x:v>Состав и сумма сверены с раскрытием компании</x:v>
      </x:c>
      <x:c r="I656" s="69"/>
      <x:c r="J656" s="69"/>
      <x:c r="K656" s="69"/>
    </x:row>
    <x:row r="657" ht="26.399999618530273" hidden="0" customHeight="1">
      <x:c r="A657" s="60" t="str">
        <x:v>LENT</x:v>
      </x:c>
      <x:c r="B657" s="60" t="str">
        <x:v>1П2025</x:v>
      </x:c>
      <x:c r="C657" s="76" t="str">
        <x:v>EBITDA компании (скорректированная по составу)</x:v>
      </x:c>
      <x:c r="D657" s="76" t="str">
        <x:v>ИТОГО — расчет</x:v>
      </x:c>
      <x:c r="E657" s="77" t="n">
        <x:f>SUM(E649:E656)</x:f>
        <x:v>52095.445</x:v>
      </x:c>
      <x:c r="F657" s="76" t="str">
        <x:v>LENT_2026H1.pdf</x:v>
      </x:c>
      <x:c r="G657" s="76" t="n">
        <x:v>24</x:v>
      </x:c>
      <x:c r="H657" s="76"/>
      <x:c r="I657" s="71" t="n">
        <x:v>52095.445</x:v>
      </x:c>
      <x:c r="J657" s="71" t="n">
        <x:f>E657-I657</x:f>
        <x:v>0</x:v>
      </x:c>
      <x:c r="K657" s="71" t="n">
        <x:f>SUM(E649:E653)</x:f>
        <x:v>52074.61</x:v>
      </x:c>
    </x:row>
    <x:row r="658" ht="15" hidden="0" customHeight="1">
      <x:c r="C658" s="73"/>
      <x:c r="D658" s="73"/>
      <x:c r="E658" s="74"/>
      <x:c r="F658" s="73"/>
      <x:c r="G658" s="73"/>
      <x:c r="H658" s="73"/>
      <x:c r="I658" s="69"/>
      <x:c r="J658" s="69"/>
      <x:c r="K658" s="69"/>
    </x:row>
    <x:row r="659" ht="26.399999618530273" hidden="0" customHeight="1">
      <x:c r="A659" t="str">
        <x:v>LENT</x:v>
      </x:c>
      <x:c r="B659" t="str">
        <x:v>1П2026</x:v>
      </x:c>
      <x:c r="C659" s="73" t="str">
        <x:v>EBITDA компании (скорректированная по составу)</x:v>
      </x:c>
      <x:c r="D659" s="73" t="str">
        <x:v>Чистая прибыль группы</x:v>
      </x:c>
      <x:c r="E659" s="74" t="n">
        <x:v>10668.93</x:v>
      </x:c>
      <x:c r="F659" s="73" t="str">
        <x:v>LENT_2026H1.pdf</x:v>
      </x:c>
      <x:c r="G659" s="73" t="n">
        <x:v>24</x:v>
      </x:c>
      <x:c r="H659" s="73" t="str">
        <x:v>Состав и сумма сверены с раскрытием компании</x:v>
      </x:c>
      <x:c r="I659" s="69"/>
      <x:c r="J659" s="69"/>
      <x:c r="K659" s="69"/>
    </x:row>
    <x:row r="660" ht="26.399999618530273" hidden="0" customHeight="1">
      <x:c r="A660" t="str">
        <x:v>LENT</x:v>
      </x:c>
      <x:c r="B660" t="str">
        <x:v>1П2026</x:v>
      </x:c>
      <x:c r="C660" s="73" t="str">
        <x:v>EBITDA компании (скорректированная по составу)</x:v>
      </x:c>
      <x:c r="D660" s="73" t="str">
        <x:v>Налог на прибыль</x:v>
      </x:c>
      <x:c r="E660" s="74" t="n">
        <x:v>4408.739</x:v>
      </x:c>
      <x:c r="F660" s="73" t="str">
        <x:v>LENT_2026H1.pdf</x:v>
      </x:c>
      <x:c r="G660" s="73" t="n">
        <x:v>24</x:v>
      </x:c>
      <x:c r="H660" s="73" t="str">
        <x:v>Состав и сумма сверены с раскрытием компании</x:v>
      </x:c>
      <x:c r="I660" s="69"/>
      <x:c r="J660" s="69"/>
      <x:c r="K660" s="69"/>
    </x:row>
    <x:row r="661" ht="26.399999618530273" hidden="0" customHeight="1">
      <x:c r="A661" t="str">
        <x:v>LENT</x:v>
      </x:c>
      <x:c r="B661" t="str">
        <x:v>1П2026</x:v>
      </x:c>
      <x:c r="C661" s="73" t="str">
        <x:v>EBITDA компании (скорректированная по составу)</x:v>
      </x:c>
      <x:c r="D661" s="73" t="str">
        <x:v>Процентные расходы</x:v>
      </x:c>
      <x:c r="E661" s="74" t="n">
        <x:v>19247.004</x:v>
      </x:c>
      <x:c r="F661" s="73" t="str">
        <x:v>LENT_2026H1.pdf</x:v>
      </x:c>
      <x:c r="G661" s="73" t="n">
        <x:v>24</x:v>
      </x:c>
      <x:c r="H661" s="73" t="str">
        <x:v>Состав и сумма сверены с раскрытием компании</x:v>
      </x:c>
      <x:c r="I661" s="69"/>
      <x:c r="J661" s="69"/>
      <x:c r="K661" s="69"/>
    </x:row>
    <x:row r="662" ht="26.399999618530273" hidden="0" customHeight="1">
      <x:c r="A662" t="str">
        <x:v>LENT</x:v>
      </x:c>
      <x:c r="B662" t="str">
        <x:v>1П2026</x:v>
      </x:c>
      <x:c r="C662" s="73" t="str">
        <x:v>EBITDA компании (скорректированная по составу)</x:v>
      </x:c>
      <x:c r="D662" s="73" t="str">
        <x:v>Минус процентные доходы</x:v>
      </x:c>
      <x:c r="E662" s="74" t="n">
        <x:v>-2668.035</x:v>
      </x:c>
      <x:c r="F662" s="73" t="str">
        <x:v>LENT_2026H1.pdf</x:v>
      </x:c>
      <x:c r="G662" s="73" t="n">
        <x:v>24</x:v>
      </x:c>
      <x:c r="H662" s="73" t="str">
        <x:v>Состав и сумма сверены с раскрытием компании</x:v>
      </x:c>
      <x:c r="I662" s="69"/>
      <x:c r="J662" s="69"/>
      <x:c r="K662" s="69"/>
    </x:row>
    <x:row r="663" ht="26.399999618530273" hidden="0" customHeight="1">
      <x:c r="A663" t="str">
        <x:v>LENT</x:v>
      </x:c>
      <x:c r="B663" t="str">
        <x:v>1П2026</x:v>
      </x:c>
      <x:c r="C663" s="73" t="str">
        <x:v>EBITDA компании (скорректированная по составу)</x:v>
      </x:c>
      <x:c r="D663" s="73" t="str">
        <x:v>Амортизация</x:v>
      </x:c>
      <x:c r="E663" s="74" t="n">
        <x:v>26584.058</x:v>
      </x:c>
      <x:c r="F663" s="73" t="str">
        <x:v>LENT_2026H1.pdf</x:v>
      </x:c>
      <x:c r="G663" s="73" t="n">
        <x:v>24</x:v>
      </x:c>
      <x:c r="H663" s="73" t="str">
        <x:v>Состав и сумма сверены с раскрытием компании</x:v>
      </x:c>
      <x:c r="I663" s="69"/>
      <x:c r="J663" s="69"/>
      <x:c r="K663" s="69"/>
    </x:row>
    <x:row r="664" ht="26.399999618530273" hidden="0" customHeight="1">
      <x:c r="A664" t="str">
        <x:v>LENT</x:v>
      </x:c>
      <x:c r="B664" t="str">
        <x:v>1П2026</x:v>
      </x:c>
      <x:c r="C664" s="73" t="str">
        <x:v>EBITDA компании (скорректированная по составу)</x:v>
      </x:c>
      <x:c r="D664" s="73" t="str">
        <x:v>Обесценение внеоборотных активов</x:v>
      </x:c>
      <x:c r="E664" s="74" t="n">
        <x:v>49.098</x:v>
      </x:c>
      <x:c r="F664" s="73" t="str">
        <x:v>LENT_2026H1.pdf</x:v>
      </x:c>
      <x:c r="G664" s="73" t="n">
        <x:v>24</x:v>
      </x:c>
      <x:c r="H664" s="73" t="str">
        <x:v>Состав и сумма сверены с раскрытием компании</x:v>
      </x:c>
      <x:c r="I664" s="69"/>
      <x:c r="J664" s="69"/>
      <x:c r="K664" s="69"/>
    </x:row>
    <x:row r="665" ht="26.399999618530273" hidden="0" customHeight="1">
      <x:c r="A665" t="str">
        <x:v>LENT</x:v>
      </x:c>
      <x:c r="B665" t="str">
        <x:v>1П2026</x:v>
      </x:c>
      <x:c r="C665" s="73" t="str">
        <x:v>EBITDA компании (скорректированная по составу)</x:v>
      </x:c>
      <x:c r="D665" s="73" t="str">
        <x:v>Кредитные убытки</x:v>
      </x:c>
      <x:c r="E665" s="74" t="n">
        <x:v>0</x:v>
      </x:c>
      <x:c r="F665" s="73" t="str">
        <x:v>LENT_2026H1.pdf</x:v>
      </x:c>
      <x:c r="G665" s="73" t="n">
        <x:v>24</x:v>
      </x:c>
      <x:c r="H665" s="73" t="str">
        <x:v>Состав и сумма сверены с раскрытием компании</x:v>
      </x:c>
      <x:c r="I665" s="69"/>
      <x:c r="J665" s="69"/>
      <x:c r="K665" s="69"/>
    </x:row>
    <x:row r="666" ht="26.399999618530273" hidden="0" customHeight="1">
      <x:c r="A666" t="str">
        <x:v>LENT</x:v>
      </x:c>
      <x:c r="B666" t="str">
        <x:v>1П2026</x:v>
      </x:c>
      <x:c r="C666" s="73" t="str">
        <x:v>EBITDA компании (скорректированная по составу)</x:v>
      </x:c>
      <x:c r="D666" s="73" t="str">
        <x:v>Минус курсовые доходы</x:v>
      </x:c>
      <x:c r="E666" s="74" t="n">
        <x:v>-0.279</x:v>
      </x:c>
      <x:c r="F666" s="73" t="str">
        <x:v>LENT_2026H1.pdf</x:v>
      </x:c>
      <x:c r="G666" s="73" t="n">
        <x:v>24</x:v>
      </x:c>
      <x:c r="H666" s="73" t="str">
        <x:v>Состав и сумма сверены с раскрытием компании</x:v>
      </x:c>
      <x:c r="I666" s="69"/>
      <x:c r="J666" s="69"/>
      <x:c r="K666" s="69"/>
    </x:row>
    <x:row r="667" ht="26.399999618530273" hidden="0" customHeight="1">
      <x:c r="A667" s="60" t="str">
        <x:v>LENT</x:v>
      </x:c>
      <x:c r="B667" s="60" t="str">
        <x:v>1П2026</x:v>
      </x:c>
      <x:c r="C667" s="76" t="str">
        <x:v>EBITDA компании (скорректированная по составу)</x:v>
      </x:c>
      <x:c r="D667" s="76" t="str">
        <x:v>ИТОГО — расчет</x:v>
      </x:c>
      <x:c r="E667" s="77" t="n">
        <x:f>SUM(E659:E666)</x:f>
        <x:v>58289.515</x:v>
      </x:c>
      <x:c r="F667" s="76" t="str">
        <x:v>LENT_2026H1.pdf</x:v>
      </x:c>
      <x:c r="G667" s="76" t="n">
        <x:v>24</x:v>
      </x:c>
      <x:c r="H667" s="76"/>
      <x:c r="I667" s="71" t="n">
        <x:v>58289.515</x:v>
      </x:c>
      <x:c r="J667" s="71" t="n">
        <x:f>E667-I667</x:f>
        <x:v>0</x:v>
      </x:c>
      <x:c r="K667" s="71" t="n">
        <x:f>SUM(E659:E663)</x:f>
        <x:v>58240.696</x:v>
      </x:c>
    </x:row>
    <x:row r="668" ht="15" hidden="0" customHeight="1">
      <x:c r="C668" s="73"/>
      <x:c r="D668" s="73"/>
      <x:c r="E668" s="74"/>
      <x:c r="F668" s="73"/>
      <x:c r="G668" s="73"/>
      <x:c r="H668" s="73"/>
      <x:c r="I668" s="69"/>
      <x:c r="J668" s="69"/>
      <x:c r="K668" s="69"/>
    </x:row>
    <x:row r="669" ht="15" hidden="0" customHeight="1">
      <x:c r="A669" t="str">
        <x:v>RAGR</x:v>
      </x:c>
      <x:c r="B669" t="str">
        <x:v>2025</x:v>
      </x:c>
      <x:c r="C669" s="73" t="str">
        <x:v>Скорр. EBITDA</x:v>
      </x:c>
      <x:c r="D669" s="73" t="str">
        <x:v>Операционная прибыль</x:v>
      </x:c>
      <x:c r="E669" s="74" t="n">
        <x:v>37284.923</x:v>
      </x:c>
      <x:c r="F669" s="73" t="str">
        <x:v>RAGR_FY_IFRS.pdf</x:v>
      </x:c>
      <x:c r="G669" s="73" t="n">
        <x:v>68</x:v>
      </x:c>
      <x:c r="H669" s="73" t="str">
        <x:v>Состав и сумма сверены с раскрытием компании</x:v>
      </x:c>
      <x:c r="I669" s="69"/>
      <x:c r="J669" s="69"/>
      <x:c r="K669" s="69"/>
    </x:row>
    <x:row r="670" ht="15" hidden="0" customHeight="1">
      <x:c r="A670" t="str">
        <x:v>RAGR</x:v>
      </x:c>
      <x:c r="B670" t="str">
        <x:v>2025</x:v>
      </x:c>
      <x:c r="C670" s="73" t="str">
        <x:v>Скорр. EBITDA</x:v>
      </x:c>
      <x:c r="D670" s="73" t="str">
        <x:v>Амортизация</x:v>
      </x:c>
      <x:c r="E670" s="74" t="n">
        <x:v>19315.968</x:v>
      </x:c>
      <x:c r="F670" s="73" t="str">
        <x:v>RAGR_FY_IFRS.pdf</x:v>
      </x:c>
      <x:c r="G670" s="73" t="n">
        <x:v>68</x:v>
      </x:c>
      <x:c r="H670" s="73" t="str">
        <x:v>Состав и сумма сверены с раскрытием компании</x:v>
      </x:c>
      <x:c r="I670" s="69"/>
      <x:c r="J670" s="69"/>
      <x:c r="K670" s="69"/>
    </x:row>
    <x:row r="671" ht="15" hidden="0" customHeight="1">
      <x:c r="A671" t="str">
        <x:v>RAGR</x:v>
      </x:c>
      <x:c r="B671" t="str">
        <x:v>2025</x:v>
      </x:c>
      <x:c r="C671" s="73" t="str">
        <x:v>Скорр. EBITDA</x:v>
      </x:c>
      <x:c r="D671" s="73" t="str">
        <x:v>Разовые операционные корректировки</x:v>
      </x:c>
      <x:c r="E671" s="74" t="n">
        <x:v>-833.937</x:v>
      </x:c>
      <x:c r="F671" s="73" t="str">
        <x:v>RAGR_FY_IFRS.pdf</x:v>
      </x:c>
      <x:c r="G671" s="73" t="n">
        <x:v>68</x:v>
      </x:c>
      <x:c r="H671" s="73" t="str">
        <x:v>Состав и сумма сверены с раскрытием компании</x:v>
      </x:c>
      <x:c r="I671" s="69"/>
      <x:c r="J671" s="69"/>
      <x:c r="K671" s="69"/>
    </x:row>
    <x:row r="672" ht="15" hidden="0" customHeight="1">
      <x:c r="A672" t="str">
        <x:v>RAGR</x:v>
      </x:c>
      <x:c r="B672" t="str">
        <x:v>2025</x:v>
      </x:c>
      <x:c r="C672" s="73" t="str">
        <x:v>Скорр. EBITDA</x:v>
      </x:c>
      <x:c r="D672" s="73" t="str">
        <x:v>Переоценка биологических активов</x:v>
      </x:c>
      <x:c r="E672" s="74" t="n">
        <x:v>203.799</x:v>
      </x:c>
      <x:c r="F672" s="73" t="str">
        <x:v>RAGR_FY_IFRS.pdf</x:v>
      </x:c>
      <x:c r="G672" s="73" t="n">
        <x:v>68</x:v>
      </x:c>
      <x:c r="H672" s="73" t="str">
        <x:v>Состав и сумма сверены с раскрытием компании</x:v>
      </x:c>
      <x:c r="I672" s="69"/>
      <x:c r="J672" s="69"/>
      <x:c r="K672" s="69"/>
    </x:row>
    <x:row r="673" ht="15" hidden="0" customHeight="1">
      <x:c r="A673" s="60" t="str">
        <x:v>RAGR</x:v>
      </x:c>
      <x:c r="B673" s="60" t="str">
        <x:v>2025</x:v>
      </x:c>
      <x:c r="C673" s="76" t="str">
        <x:v>Скорр. EBITDA</x:v>
      </x:c>
      <x:c r="D673" s="76" t="str">
        <x:v>ИТОГО — расчет</x:v>
      </x:c>
      <x:c r="E673" s="77" t="n">
        <x:f>SUM(E669:E672)</x:f>
        <x:v>55970.753000000004</x:v>
      </x:c>
      <x:c r="F673" s="76" t="str">
        <x:v>RAGR_FY_IFRS.pdf</x:v>
      </x:c>
      <x:c r="G673" s="76" t="n">
        <x:v>68</x:v>
      </x:c>
      <x:c r="H673" s="76"/>
      <x:c r="I673" s="71" t="n">
        <x:v>55970.753</x:v>
      </x:c>
      <x:c r="J673" s="71" t="n">
        <x:f>E673-I673</x:f>
        <x:v>7.275957614183426e-12</x:v>
      </x:c>
      <x:c r="K673" s="71" t="n">
        <x:f>SUM(E669:E670)</x:f>
        <x:v>56600.891</x:v>
      </x:c>
    </x:row>
    <x:row r="674" ht="15" hidden="0" customHeight="1">
      <x:c r="C674" s="73"/>
      <x:c r="D674" s="73"/>
      <x:c r="E674" s="74"/>
      <x:c r="F674" s="73"/>
      <x:c r="G674" s="73"/>
      <x:c r="H674" s="73"/>
      <x:c r="I674" s="69"/>
      <x:c r="J674" s="69"/>
      <x:c r="K674" s="69"/>
    </x:row>
    <x:row r="675" ht="15" hidden="0" customHeight="1">
      <x:c r="A675" t="str">
        <x:v>RAGR</x:v>
      </x:c>
      <x:c r="B675" t="str">
        <x:v>1П2025</x:v>
      </x:c>
      <x:c r="C675" s="73" t="str">
        <x:v>Скорр. EBITDA</x:v>
      </x:c>
      <x:c r="D675" s="73" t="str">
        <x:v>Операционная прибыль</x:v>
      </x:c>
      <x:c r="E675" s="74" t="n">
        <x:v>11142.863</x:v>
      </x:c>
      <x:c r="F675" s="73" t="str">
        <x:v>RAGR_2026H1.pdf</x:v>
      </x:c>
      <x:c r="G675" s="73" t="n">
        <x:v>33</x:v>
      </x:c>
      <x:c r="H675" s="73" t="str">
        <x:v>Состав и сумма сверены с раскрытием компании</x:v>
      </x:c>
      <x:c r="I675" s="69"/>
      <x:c r="J675" s="69"/>
      <x:c r="K675" s="69"/>
    </x:row>
    <x:row r="676" ht="15" hidden="0" customHeight="1">
      <x:c r="A676" t="str">
        <x:v>RAGR</x:v>
      </x:c>
      <x:c r="B676" t="str">
        <x:v>1П2025</x:v>
      </x:c>
      <x:c r="C676" s="73" t="str">
        <x:v>Скорр. EBITDA</x:v>
      </x:c>
      <x:c r="D676" s="73" t="str">
        <x:v>Амортизация</x:v>
      </x:c>
      <x:c r="E676" s="74" t="n">
        <x:v>8172.026</x:v>
      </x:c>
      <x:c r="F676" s="73" t="str">
        <x:v>RAGR_2026H1.pdf</x:v>
      </x:c>
      <x:c r="G676" s="73" t="n">
        <x:v>33</x:v>
      </x:c>
      <x:c r="H676" s="73" t="str">
        <x:v>Состав и сумма сверены с раскрытием компании</x:v>
      </x:c>
      <x:c r="I676" s="69"/>
      <x:c r="J676" s="69"/>
      <x:c r="K676" s="69"/>
    </x:row>
    <x:row r="677" ht="15" hidden="0" customHeight="1">
      <x:c r="A677" t="str">
        <x:v>RAGR</x:v>
      </x:c>
      <x:c r="B677" t="str">
        <x:v>1П2025</x:v>
      </x:c>
      <x:c r="C677" s="73" t="str">
        <x:v>Скорр. EBITDA</x:v>
      </x:c>
      <x:c r="D677" s="73" t="str">
        <x:v>Разовые операционные корректировки</x:v>
      </x:c>
      <x:c r="E677" s="74" t="n">
        <x:v>6926.359</x:v>
      </x:c>
      <x:c r="F677" s="73" t="str">
        <x:v>RAGR_2026H1.pdf</x:v>
      </x:c>
      <x:c r="G677" s="73" t="n">
        <x:v>33</x:v>
      </x:c>
      <x:c r="H677" s="73" t="str">
        <x:v>Состав и сумма сверены с раскрытием компании</x:v>
      </x:c>
      <x:c r="I677" s="69"/>
      <x:c r="J677" s="69"/>
      <x:c r="K677" s="69"/>
    </x:row>
    <x:row r="678" ht="15" hidden="0" customHeight="1">
      <x:c r="A678" t="str">
        <x:v>RAGR</x:v>
      </x:c>
      <x:c r="B678" t="str">
        <x:v>1П2025</x:v>
      </x:c>
      <x:c r="C678" s="73" t="str">
        <x:v>Скорр. EBITDA</x:v>
      </x:c>
      <x:c r="D678" s="73" t="str">
        <x:v>Переоценка биологических активов</x:v>
      </x:c>
      <x:c r="E678" s="74" t="n">
        <x:v>-8936.223</x:v>
      </x:c>
      <x:c r="F678" s="73" t="str">
        <x:v>RAGR_2026H1.pdf</x:v>
      </x:c>
      <x:c r="G678" s="73" t="n">
        <x:v>33</x:v>
      </x:c>
      <x:c r="H678" s="73" t="str">
        <x:v>Состав и сумма сверены с раскрытием компании</x:v>
      </x:c>
      <x:c r="I678" s="69"/>
      <x:c r="J678" s="69"/>
      <x:c r="K678" s="69"/>
    </x:row>
    <x:row r="679" ht="15" hidden="0" customHeight="1">
      <x:c r="A679" s="60" t="str">
        <x:v>RAGR</x:v>
      </x:c>
      <x:c r="B679" s="60" t="str">
        <x:v>1П2025</x:v>
      </x:c>
      <x:c r="C679" s="76" t="str">
        <x:v>Скорр. EBITDA</x:v>
      </x:c>
      <x:c r="D679" s="76" t="str">
        <x:v>ИТОГО — расчет</x:v>
      </x:c>
      <x:c r="E679" s="77" t="n">
        <x:f>SUM(E675:E678)</x:f>
        <x:v>17305.025</x:v>
      </x:c>
      <x:c r="F679" s="76" t="str">
        <x:v>RAGR_2026H1.pdf</x:v>
      </x:c>
      <x:c r="G679" s="76" t="n">
        <x:v>33</x:v>
      </x:c>
      <x:c r="H679" s="76"/>
      <x:c r="I679" s="71" t="n">
        <x:v>17305.025</x:v>
      </x:c>
      <x:c r="J679" s="71" t="n">
        <x:f>E679-I679</x:f>
        <x:v>0</x:v>
      </x:c>
      <x:c r="K679" s="71" t="n">
        <x:f>SUM(E675:E676)</x:f>
        <x:v>19314.889</x:v>
      </x:c>
    </x:row>
    <x:row r="680" ht="15" hidden="0" customHeight="1">
      <x:c r="C680" s="73"/>
      <x:c r="D680" s="73"/>
      <x:c r="E680" s="74"/>
      <x:c r="F680" s="73"/>
      <x:c r="G680" s="73"/>
      <x:c r="H680" s="73"/>
      <x:c r="I680" s="69"/>
      <x:c r="J680" s="69"/>
      <x:c r="K680" s="69"/>
    </x:row>
    <x:row r="681" ht="15" hidden="0" customHeight="1">
      <x:c r="A681" t="str">
        <x:v>RAGR</x:v>
      </x:c>
      <x:c r="B681" t="str">
        <x:v>1П2026</x:v>
      </x:c>
      <x:c r="C681" s="73" t="str">
        <x:v>Скорр. EBITDA</x:v>
      </x:c>
      <x:c r="D681" s="73" t="str">
        <x:v>Операционная прибыль</x:v>
      </x:c>
      <x:c r="E681" s="74" t="n">
        <x:v>6890.766</x:v>
      </x:c>
      <x:c r="F681" s="73" t="str">
        <x:v>RAGR_2026H1.pdf</x:v>
      </x:c>
      <x:c r="G681" s="73" t="n">
        <x:v>32</x:v>
      </x:c>
      <x:c r="H681" s="73" t="str">
        <x:v>Состав и сумма сверены с раскрытием компании</x:v>
      </x:c>
      <x:c r="I681" s="69"/>
      <x:c r="J681" s="69"/>
      <x:c r="K681" s="69"/>
    </x:row>
    <x:row r="682" ht="15" hidden="0" customHeight="1">
      <x:c r="A682" t="str">
        <x:v>RAGR</x:v>
      </x:c>
      <x:c r="B682" t="str">
        <x:v>1П2026</x:v>
      </x:c>
      <x:c r="C682" s="73" t="str">
        <x:v>Скорр. EBITDA</x:v>
      </x:c>
      <x:c r="D682" s="73" t="str">
        <x:v>Амортизация</x:v>
      </x:c>
      <x:c r="E682" s="74" t="n">
        <x:v>6890.9</x:v>
      </x:c>
      <x:c r="F682" s="73" t="str">
        <x:v>RAGR_2026H1.pdf</x:v>
      </x:c>
      <x:c r="G682" s="73" t="n">
        <x:v>32</x:v>
      </x:c>
      <x:c r="H682" s="73" t="str">
        <x:v>Состав и сумма сверены с раскрытием компании</x:v>
      </x:c>
      <x:c r="I682" s="69"/>
      <x:c r="J682" s="69"/>
      <x:c r="K682" s="69"/>
    </x:row>
    <x:row r="683" ht="15" hidden="0" customHeight="1">
      <x:c r="A683" t="str">
        <x:v>RAGR</x:v>
      </x:c>
      <x:c r="B683" t="str">
        <x:v>1П2026</x:v>
      </x:c>
      <x:c r="C683" s="73" t="str">
        <x:v>Скорр. EBITDA</x:v>
      </x:c>
      <x:c r="D683" s="73" t="str">
        <x:v>Разовые операционные корректировки</x:v>
      </x:c>
      <x:c r="E683" s="74" t="n">
        <x:v>-1439.035</x:v>
      </x:c>
      <x:c r="F683" s="73" t="str">
        <x:v>RAGR_2026H1.pdf</x:v>
      </x:c>
      <x:c r="G683" s="73" t="n">
        <x:v>32</x:v>
      </x:c>
      <x:c r="H683" s="73" t="str">
        <x:v>Состав и сумма сверены с раскрытием компании</x:v>
      </x:c>
      <x:c r="I683" s="69"/>
      <x:c r="J683" s="69"/>
      <x:c r="K683" s="69"/>
    </x:row>
    <x:row r="684" ht="15" hidden="0" customHeight="1">
      <x:c r="A684" t="str">
        <x:v>RAGR</x:v>
      </x:c>
      <x:c r="B684" t="str">
        <x:v>1П2026</x:v>
      </x:c>
      <x:c r="C684" s="73" t="str">
        <x:v>Скорр. EBITDA</x:v>
      </x:c>
      <x:c r="D684" s="73" t="str">
        <x:v>Переоценка биологических активов</x:v>
      </x:c>
      <x:c r="E684" s="74" t="n">
        <x:v>-2963.541</x:v>
      </x:c>
      <x:c r="F684" s="73" t="str">
        <x:v>RAGR_2026H1.pdf</x:v>
      </x:c>
      <x:c r="G684" s="73" t="n">
        <x:v>32</x:v>
      </x:c>
      <x:c r="H684" s="73" t="str">
        <x:v>Состав и сумма сверены с раскрытием компании</x:v>
      </x:c>
      <x:c r="I684" s="69"/>
      <x:c r="J684" s="69"/>
      <x:c r="K684" s="69"/>
    </x:row>
    <x:row r="685" ht="15" hidden="0" customHeight="1">
      <x:c r="A685" s="60" t="str">
        <x:v>RAGR</x:v>
      </x:c>
      <x:c r="B685" s="60" t="str">
        <x:v>1П2026</x:v>
      </x:c>
      <x:c r="C685" s="76" t="str">
        <x:v>Скорр. EBITDA</x:v>
      </x:c>
      <x:c r="D685" s="76" t="str">
        <x:v>ИТОГО — расчет</x:v>
      </x:c>
      <x:c r="E685" s="77" t="n">
        <x:f>SUM(E681:E684)</x:f>
        <x:v>9379.09</x:v>
      </x:c>
      <x:c r="F685" s="76" t="str">
        <x:v>RAGR_2026H1.pdf</x:v>
      </x:c>
      <x:c r="G685" s="76" t="n">
        <x:v>32</x:v>
      </x:c>
      <x:c r="H685" s="76"/>
      <x:c r="I685" s="71" t="n">
        <x:v>9379.09</x:v>
      </x:c>
      <x:c r="J685" s="71" t="n">
        <x:f>E685-I685</x:f>
        <x:v>0</x:v>
      </x:c>
      <x:c r="K685" s="71" t="n">
        <x:f>SUM(E681:E682)</x:f>
        <x:v>13781.666</x:v>
      </x:c>
    </x:row>
    <x:row r="686" ht="15" hidden="0" customHeight="1">
      <x:c r="C686" s="73"/>
      <x:c r="D686" s="73"/>
      <x:c r="E686" s="74"/>
      <x:c r="F686" s="73"/>
      <x:c r="G686" s="73"/>
      <x:c r="H686" s="73"/>
      <x:c r="I686" s="69"/>
      <x:c r="J686" s="69"/>
      <x:c r="K686" s="69"/>
    </x:row>
    <x:row r="687" ht="15" hidden="0" customHeight="1">
      <x:c r="A687" t="str">
        <x:v>OZON</x:v>
      </x:c>
      <x:c r="B687" t="str">
        <x:v>2025</x:v>
      </x:c>
      <x:c r="C687" s="73" t="str">
        <x:v>Скорр. EBITDA</x:v>
      </x:c>
      <x:c r="D687" s="73" t="str">
        <x:v>Операционная прибыль</x:v>
      </x:c>
      <x:c r="E687" s="74" t="n">
        <x:v>71370</x:v>
      </x:c>
      <x:c r="F687" s="73" t="str">
        <x:v>Озон_МСФО_2025.pdf</x:v>
      </x:c>
      <x:c r="G687" s="73" t="n">
        <x:v>28</x:v>
      </x:c>
      <x:c r="H687" s="73" t="str">
        <x:v>Состав и сумма сверены с раскрытием компании</x:v>
      </x:c>
      <x:c r="I687" s="69"/>
      <x:c r="J687" s="69"/>
      <x:c r="K687" s="69"/>
    </x:row>
    <x:row r="688" ht="15" hidden="0" customHeight="1">
      <x:c r="A688" t="str">
        <x:v>OZON</x:v>
      </x:c>
      <x:c r="B688" t="str">
        <x:v>2025</x:v>
      </x:c>
      <x:c r="C688" s="73" t="str">
        <x:v>Скорр. EBITDA</x:v>
      </x:c>
      <x:c r="D688" s="73" t="str">
        <x:v>Амортизация</x:v>
      </x:c>
      <x:c r="E688" s="74" t="n">
        <x:v>62207</x:v>
      </x:c>
      <x:c r="F688" s="73" t="str">
        <x:v>Озон_МСФО_2025.pdf</x:v>
      </x:c>
      <x:c r="G688" s="73" t="n">
        <x:v>28</x:v>
      </x:c>
      <x:c r="H688" s="73" t="str">
        <x:v>Состав и сумма сверены с раскрытием компании</x:v>
      </x:c>
      <x:c r="I688" s="69"/>
      <x:c r="J688" s="69"/>
      <x:c r="K688" s="69"/>
    </x:row>
    <x:row r="689" ht="15" hidden="0" customHeight="1">
      <x:c r="A689" t="str">
        <x:v>OZON</x:v>
      </x:c>
      <x:c r="B689" t="str">
        <x:v>2025</x:v>
      </x:c>
      <x:c r="C689" s="73" t="str">
        <x:v>Скорр. EBITDA</x:v>
      </x:c>
      <x:c r="D689" s="73" t="str">
        <x:v>Вознаграждения акциями</x:v>
      </x:c>
      <x:c r="E689" s="74" t="n">
        <x:v>22269</x:v>
      </x:c>
      <x:c r="F689" s="73" t="str">
        <x:v>Озон_МСФО_2025.pdf</x:v>
      </x:c>
      <x:c r="G689" s="73" t="n">
        <x:v>28</x:v>
      </x:c>
      <x:c r="H689" s="73" t="str">
        <x:v>Состав и сумма сверены с раскрытием компании</x:v>
      </x:c>
      <x:c r="I689" s="69"/>
      <x:c r="J689" s="69"/>
      <x:c r="K689" s="69"/>
    </x:row>
    <x:row r="690" ht="15" hidden="0" customHeight="1">
      <x:c r="A690" t="str">
        <x:v>OZON</x:v>
      </x:c>
      <x:c r="B690" t="str">
        <x:v>2025</x:v>
      </x:c>
      <x:c r="C690" s="73" t="str">
        <x:v>Скорр. EBITDA</x:v>
      </x:c>
      <x:c r="D690" s="73" t="str">
        <x:v>Убытки от пожара</x:v>
      </x:c>
      <x:c r="E690" s="74" t="n">
        <x:v>535</x:v>
      </x:c>
      <x:c r="F690" s="73" t="str">
        <x:v>Озон_МСФО_2025.pdf</x:v>
      </x:c>
      <x:c r="G690" s="73" t="n">
        <x:v>28</x:v>
      </x:c>
      <x:c r="H690" s="73" t="str">
        <x:v>Состав и сумма сверены с раскрытием компании</x:v>
      </x:c>
      <x:c r="I690" s="69"/>
      <x:c r="J690" s="69"/>
      <x:c r="K690" s="69"/>
    </x:row>
    <x:row r="691" ht="15" hidden="0" customHeight="1">
      <x:c r="A691" s="60" t="str">
        <x:v>OZON</x:v>
      </x:c>
      <x:c r="B691" s="60" t="str">
        <x:v>2025</x:v>
      </x:c>
      <x:c r="C691" s="76" t="str">
        <x:v>Скорр. EBITDA</x:v>
      </x:c>
      <x:c r="D691" s="76" t="str">
        <x:v>ИТОГО — расчет</x:v>
      </x:c>
      <x:c r="E691" s="77" t="n">
        <x:f>SUM(E687:E690)</x:f>
        <x:v>156381</x:v>
      </x:c>
      <x:c r="F691" s="76" t="str">
        <x:v>Озон_МСФО_2025.pdf</x:v>
      </x:c>
      <x:c r="G691" s="76" t="n">
        <x:v>28</x:v>
      </x:c>
      <x:c r="H691" s="76"/>
      <x:c r="I691" s="71" t="n">
        <x:v>156381</x:v>
      </x:c>
      <x:c r="J691" s="71" t="n">
        <x:f>E691-I691</x:f>
        <x:v>0</x:v>
      </x:c>
      <x:c r="K691" s="71" t="n">
        <x:f>SUM(E687:E688)</x:f>
        <x:v>133577</x:v>
      </x:c>
    </x:row>
    <x:row r="692" ht="15" hidden="0" customHeight="1">
      <x:c r="C692" s="73"/>
      <x:c r="D692" s="73"/>
      <x:c r="E692" s="74"/>
      <x:c r="F692" s="73"/>
      <x:c r="G692" s="73"/>
      <x:c r="H692" s="73"/>
      <x:c r="I692" s="69"/>
      <x:c r="J692" s="69"/>
      <x:c r="K692" s="69"/>
    </x:row>
    <x:row r="693" ht="15" hidden="0" customHeight="1">
      <x:c r="A693" t="str">
        <x:v>OZON</x:v>
      </x:c>
      <x:c r="B693" t="str">
        <x:v>1П2025</x:v>
      </x:c>
      <x:c r="C693" s="73" t="str">
        <x:v>Скорр. EBITDA</x:v>
      </x:c>
      <x:c r="D693" s="73" t="str">
        <x:v>Операционная прибыль</x:v>
      </x:c>
      <x:c r="E693" s="74" t="n">
        <x:v>31688</x:v>
      </x:c>
      <x:c r="F693" s="73" t="str">
        <x:v>OZON_2026H1.pdf</x:v>
      </x:c>
      <x:c r="G693" s="73" t="n">
        <x:v>11</x:v>
      </x:c>
      <x:c r="H693" s="73" t="str">
        <x:v>Состав и сумма сверены с раскрытием компании</x:v>
      </x:c>
      <x:c r="I693" s="69"/>
      <x:c r="J693" s="69"/>
      <x:c r="K693" s="69"/>
    </x:row>
    <x:row r="694" ht="15" hidden="0" customHeight="1">
      <x:c r="A694" t="str">
        <x:v>OZON</x:v>
      </x:c>
      <x:c r="B694" t="str">
        <x:v>1П2025</x:v>
      </x:c>
      <x:c r="C694" s="73" t="str">
        <x:v>Скорр. EBITDA</x:v>
      </x:c>
      <x:c r="D694" s="73" t="str">
        <x:v>Амортизация</x:v>
      </x:c>
      <x:c r="E694" s="74" t="n">
        <x:v>29240</x:v>
      </x:c>
      <x:c r="F694" s="73" t="str">
        <x:v>OZON_2026H1.pdf</x:v>
      </x:c>
      <x:c r="G694" s="73" t="n">
        <x:v>11</x:v>
      </x:c>
      <x:c r="H694" s="73" t="str">
        <x:v>Состав и сумма сверены с раскрытием компании</x:v>
      </x:c>
      <x:c r="I694" s="69"/>
      <x:c r="J694" s="69"/>
      <x:c r="K694" s="69"/>
    </x:row>
    <x:row r="695" ht="15" hidden="0" customHeight="1">
      <x:c r="A695" t="str">
        <x:v>OZON</x:v>
      </x:c>
      <x:c r="B695" t="str">
        <x:v>1П2025</x:v>
      </x:c>
      <x:c r="C695" s="73" t="str">
        <x:v>Скорр. EBITDA</x:v>
      </x:c>
      <x:c r="D695" s="73" t="str">
        <x:v>Вознаграждения акциями</x:v>
      </x:c>
      <x:c r="E695" s="74" t="n">
        <x:v>10397</x:v>
      </x:c>
      <x:c r="F695" s="73" t="str">
        <x:v>OZON_2026H1.pdf</x:v>
      </x:c>
      <x:c r="G695" s="73" t="n">
        <x:v>11</x:v>
      </x:c>
      <x:c r="H695" s="73" t="str">
        <x:v>Состав и сумма сверены с раскрытием компании</x:v>
      </x:c>
      <x:c r="I695" s="69"/>
      <x:c r="J695" s="69"/>
      <x:c r="K695" s="69"/>
    </x:row>
    <x:row r="696" ht="15" hidden="0" customHeight="1">
      <x:c r="A696" t="str">
        <x:v>OZON</x:v>
      </x:c>
      <x:c r="B696" t="str">
        <x:v>1П2025</x:v>
      </x:c>
      <x:c r="C696" s="73" t="str">
        <x:v>Скорр. EBITDA</x:v>
      </x:c>
      <x:c r="D696" s="73" t="str">
        <x:v>Убытки от пожара</x:v>
      </x:c>
      <x:c r="E696" s="74" t="n">
        <x:v>337</x:v>
      </x:c>
      <x:c r="F696" s="73" t="str">
        <x:v>OZON_2026H1.pdf</x:v>
      </x:c>
      <x:c r="G696" s="73" t="n">
        <x:v>11</x:v>
      </x:c>
      <x:c r="H696" s="73" t="str">
        <x:v>Состав и сумма сверены с раскрытием компании</x:v>
      </x:c>
      <x:c r="I696" s="69"/>
      <x:c r="J696" s="69"/>
      <x:c r="K696" s="69"/>
    </x:row>
    <x:row r="697" ht="15" hidden="0" customHeight="1">
      <x:c r="A697" s="60" t="str">
        <x:v>OZON</x:v>
      </x:c>
      <x:c r="B697" s="60" t="str">
        <x:v>1П2025</x:v>
      </x:c>
      <x:c r="C697" s="76" t="str">
        <x:v>Скорр. EBITDA</x:v>
      </x:c>
      <x:c r="D697" s="76" t="str">
        <x:v>ИТОГО — расчет</x:v>
      </x:c>
      <x:c r="E697" s="77" t="n">
        <x:f>SUM(E693:E696)</x:f>
        <x:v>71662</x:v>
      </x:c>
      <x:c r="F697" s="76" t="str">
        <x:v>OZON_2026H1.pdf</x:v>
      </x:c>
      <x:c r="G697" s="76" t="n">
        <x:v>11</x:v>
      </x:c>
      <x:c r="H697" s="76"/>
      <x:c r="I697" s="71" t="n">
        <x:v>71662</x:v>
      </x:c>
      <x:c r="J697" s="71" t="n">
        <x:f>E697-I697</x:f>
        <x:v>0</x:v>
      </x:c>
      <x:c r="K697" s="71" t="n">
        <x:f>SUM(E693:E694)</x:f>
        <x:v>60928</x:v>
      </x:c>
    </x:row>
    <x:row r="698" ht="15" hidden="0" customHeight="1">
      <x:c r="C698" s="73"/>
      <x:c r="D698" s="73"/>
      <x:c r="E698" s="74"/>
      <x:c r="F698" s="73"/>
      <x:c r="G698" s="73"/>
      <x:c r="H698" s="73"/>
      <x:c r="I698" s="69"/>
      <x:c r="J698" s="69"/>
      <x:c r="K698" s="69"/>
    </x:row>
    <x:row r="699" ht="15" hidden="0" customHeight="1">
      <x:c r="A699" t="str">
        <x:v>OZON</x:v>
      </x:c>
      <x:c r="B699" t="str">
        <x:v>1П2026</x:v>
      </x:c>
      <x:c r="C699" s="73" t="str">
        <x:v>Скорр. EBITDA</x:v>
      </x:c>
      <x:c r="D699" s="73" t="str">
        <x:v>Операционная прибыль</x:v>
      </x:c>
      <x:c r="E699" s="74" t="n">
        <x:v>57349</x:v>
      </x:c>
      <x:c r="F699" s="73" t="str">
        <x:v>OZON_2026H1.pdf</x:v>
      </x:c>
      <x:c r="G699" s="73" t="n">
        <x:v>11</x:v>
      </x:c>
      <x:c r="H699" s="73" t="str">
        <x:v>Состав и сумма сверены с раскрытием компании</x:v>
      </x:c>
      <x:c r="I699" s="69"/>
      <x:c r="J699" s="69"/>
      <x:c r="K699" s="69"/>
    </x:row>
    <x:row r="700" ht="15" hidden="0" customHeight="1">
      <x:c r="A700" t="str">
        <x:v>OZON</x:v>
      </x:c>
      <x:c r="B700" t="str">
        <x:v>1П2026</x:v>
      </x:c>
      <x:c r="C700" s="73" t="str">
        <x:v>Скорр. EBITDA</x:v>
      </x:c>
      <x:c r="D700" s="73" t="str">
        <x:v>Амортизация</x:v>
      </x:c>
      <x:c r="E700" s="74" t="n">
        <x:v>43484</x:v>
      </x:c>
      <x:c r="F700" s="73" t="str">
        <x:v>OZON_2026H1.pdf</x:v>
      </x:c>
      <x:c r="G700" s="73" t="n">
        <x:v>11</x:v>
      </x:c>
      <x:c r="H700" s="73" t="str">
        <x:v>Состав и сумма сверены с раскрытием компании</x:v>
      </x:c>
      <x:c r="I700" s="69"/>
      <x:c r="J700" s="69"/>
      <x:c r="K700" s="69"/>
    </x:row>
    <x:row r="701" ht="15" hidden="0" customHeight="1">
      <x:c r="A701" t="str">
        <x:v>OZON</x:v>
      </x:c>
      <x:c r="B701" t="str">
        <x:v>1П2026</x:v>
      </x:c>
      <x:c r="C701" s="73" t="str">
        <x:v>Скорр. EBITDA</x:v>
      </x:c>
      <x:c r="D701" s="73" t="str">
        <x:v>Вознаграждения акциями</x:v>
      </x:c>
      <x:c r="E701" s="74" t="n">
        <x:v>5890</x:v>
      </x:c>
      <x:c r="F701" s="73" t="str">
        <x:v>OZON_2026H1.pdf</x:v>
      </x:c>
      <x:c r="G701" s="73" t="n">
        <x:v>11</x:v>
      </x:c>
      <x:c r="H701" s="73" t="str">
        <x:v>Состав и сумма сверены с раскрытием компании</x:v>
      </x:c>
      <x:c r="I701" s="69"/>
      <x:c r="J701" s="69"/>
      <x:c r="K701" s="69"/>
    </x:row>
    <x:row r="702" ht="15" hidden="0" customHeight="1">
      <x:c r="A702" t="str">
        <x:v>OZON</x:v>
      </x:c>
      <x:c r="B702" t="str">
        <x:v>1П2026</x:v>
      </x:c>
      <x:c r="C702" s="73" t="str">
        <x:v>Скорр. EBITDA</x:v>
      </x:c>
      <x:c r="D702" s="73" t="str">
        <x:v>Убытки от пожара</x:v>
      </x:c>
      <x:c r="E702" s="74" t="n">
        <x:v>0</x:v>
      </x:c>
      <x:c r="F702" s="73" t="str">
        <x:v>OZON_2026H1.pdf</x:v>
      </x:c>
      <x:c r="G702" s="73" t="n">
        <x:v>11</x:v>
      </x:c>
      <x:c r="H702" s="73" t="str">
        <x:v>Состав и сумма сверены с раскрытием компании</x:v>
      </x:c>
      <x:c r="I702" s="69"/>
      <x:c r="J702" s="69"/>
      <x:c r="K702" s="69"/>
    </x:row>
    <x:row r="703" ht="15" hidden="0" customHeight="1">
      <x:c r="A703" s="60" t="str">
        <x:v>OZON</x:v>
      </x:c>
      <x:c r="B703" s="60" t="str">
        <x:v>1П2026</x:v>
      </x:c>
      <x:c r="C703" s="76" t="str">
        <x:v>Скорр. EBITDA</x:v>
      </x:c>
      <x:c r="D703" s="76" t="str">
        <x:v>ИТОГО — расчет</x:v>
      </x:c>
      <x:c r="E703" s="77" t="n">
        <x:f>SUM(E699:E702)</x:f>
        <x:v>106723</x:v>
      </x:c>
      <x:c r="F703" s="76" t="str">
        <x:v>OZON_2026H1.pdf</x:v>
      </x:c>
      <x:c r="G703" s="76" t="n">
        <x:v>11</x:v>
      </x:c>
      <x:c r="H703" s="76"/>
      <x:c r="I703" s="71" t="n">
        <x:v>106723</x:v>
      </x:c>
      <x:c r="J703" s="71" t="n">
        <x:f>E703-I703</x:f>
        <x:v>0</x:v>
      </x:c>
      <x:c r="K703" s="71" t="n">
        <x:f>SUM(E699:E700)</x:f>
        <x:v>100833</x:v>
      </x:c>
    </x:row>
    <x:row r="704" ht="15" hidden="0" customHeight="1">
      <x:c r="C704" s="73"/>
      <x:c r="D704" s="73"/>
      <x:c r="E704" s="74"/>
      <x:c r="F704" s="73"/>
      <x:c r="G704" s="73"/>
      <x:c r="H704" s="73"/>
      <x:c r="I704" s="69"/>
      <x:c r="J704" s="69"/>
      <x:c r="K704" s="69"/>
    </x:row>
    <x:row r="705" ht="26.399999618530273" hidden="0" customHeight="1">
      <x:c r="A705" t="str">
        <x:v>CHMF</x:v>
      </x:c>
      <x:c r="B705" t="str">
        <x:v>1П2025</x:v>
      </x:c>
      <x:c r="C705" s="73" t="str">
        <x:v>EBITDA компании (скорректированная по составу)</x:v>
      </x:c>
      <x:c r="D705" s="73" t="str">
        <x:v>Операционная прибыль</x:v>
      </x:c>
      <x:c r="E705" s="74" t="n">
        <x:v>56038</x:v>
      </x:c>
      <x:c r="F705" s="73" t="str">
        <x:v>CHMF_2026H1.pdf</x:v>
      </x:c>
      <x:c r="G705" s="73" t="n">
        <x:v>15</x:v>
      </x:c>
      <x:c r="H705" s="73" t="str">
        <x:v>Состав и сумма сверены с раскрытием компании</x:v>
      </x:c>
      <x:c r="I705" s="69"/>
      <x:c r="J705" s="69"/>
      <x:c r="K705" s="69"/>
    </x:row>
    <x:row r="706" ht="26.399999618530273" hidden="0" customHeight="1">
      <x:c r="A706" t="str">
        <x:v>CHMF</x:v>
      </x:c>
      <x:c r="B706" t="str">
        <x:v>1П2025</x:v>
      </x:c>
      <x:c r="C706" s="73" t="str">
        <x:v>EBITDA компании (скорректированная по составу)</x:v>
      </x:c>
      <x:c r="D706" s="73" t="str">
        <x:v>Амортизация производственных активов</x:v>
      </x:c>
      <x:c r="E706" s="74" t="n">
        <x:v>20164</x:v>
      </x:c>
      <x:c r="F706" s="73" t="str">
        <x:v>CHMF_2026H1.pdf</x:v>
      </x:c>
      <x:c r="G706" s="73" t="n">
        <x:v>15</x:v>
      </x:c>
      <x:c r="H706" s="73" t="str">
        <x:v>Состав и сумма сверены с раскрытием компании</x:v>
      </x:c>
      <x:c r="I706" s="69"/>
      <x:c r="J706" s="69"/>
      <x:c r="K706" s="69"/>
    </x:row>
    <x:row r="707" ht="26.399999618530273" hidden="0" customHeight="1">
      <x:c r="A707" t="str">
        <x:v>CHMF</x:v>
      </x:c>
      <x:c r="B707" t="str">
        <x:v>1П2025</x:v>
      </x:c>
      <x:c r="C707" s="73" t="str">
        <x:v>EBITDA компании (скорректированная по составу)</x:v>
      </x:c>
      <x:c r="D707" s="73" t="str">
        <x:v>Выбытие основных средств и НМА</x:v>
      </x:c>
      <x:c r="E707" s="74" t="n">
        <x:v>1952</x:v>
      </x:c>
      <x:c r="F707" s="73" t="str">
        <x:v>CHMF_2026H1.pdf</x:v>
      </x:c>
      <x:c r="G707" s="73" t="n">
        <x:v>15</x:v>
      </x:c>
      <x:c r="H707" s="73" t="str">
        <x:v>Состав и сумма сверены с раскрытием компании</x:v>
      </x:c>
      <x:c r="I707" s="69"/>
      <x:c r="J707" s="69"/>
      <x:c r="K707" s="69"/>
    </x:row>
    <x:row r="708" ht="26.399999618530273" hidden="0" customHeight="1">
      <x:c r="A708" t="str">
        <x:v>CHMF</x:v>
      </x:c>
      <x:c r="B708" t="str">
        <x:v>1П2025</x:v>
      </x:c>
      <x:c r="C708" s="73" t="str">
        <x:v>EBITDA компании (скорректированная по составу)</x:v>
      </x:c>
      <x:c r="D708" s="73" t="str">
        <x:v>Корректировки ассоциированных предприятий</x:v>
      </x:c>
      <x:c r="E708" s="74" t="n">
        <x:v>500</x:v>
      </x:c>
      <x:c r="F708" s="73" t="str">
        <x:v>CHMF_2026H1.pdf</x:v>
      </x:c>
      <x:c r="G708" s="73" t="n">
        <x:v>15</x:v>
      </x:c>
      <x:c r="H708" s="73" t="str">
        <x:v>Состав и сумма сверены с раскрытием компании</x:v>
      </x:c>
      <x:c r="I708" s="69"/>
      <x:c r="J708" s="69"/>
      <x:c r="K708" s="69"/>
    </x:row>
    <x:row r="709" ht="26.399999618530273" hidden="0" customHeight="1">
      <x:c r="A709" s="60" t="str">
        <x:v>CHMF</x:v>
      </x:c>
      <x:c r="B709" s="60" t="str">
        <x:v>1П2025</x:v>
      </x:c>
      <x:c r="C709" s="76" t="str">
        <x:v>EBITDA компании (скорректированная по составу)</x:v>
      </x:c>
      <x:c r="D709" s="76" t="str">
        <x:v>ИТОГО — расчет</x:v>
      </x:c>
      <x:c r="E709" s="77" t="n">
        <x:f>SUM(E705:E708)</x:f>
        <x:v>78654</x:v>
      </x:c>
      <x:c r="F709" s="76" t="str">
        <x:v>CHMF_2026H1.pdf</x:v>
      </x:c>
      <x:c r="G709" s="76" t="n">
        <x:v>15</x:v>
      </x:c>
      <x:c r="H709" s="76"/>
      <x:c r="I709" s="71" t="n">
        <x:v>78654</x:v>
      </x:c>
      <x:c r="J709" s="71" t="n">
        <x:f>E709-I709</x:f>
        <x:v>0</x:v>
      </x:c>
      <x:c r="K709" s="71" t="n">
        <x:f>SUM(E705:E706)</x:f>
        <x:v>76202</x:v>
      </x:c>
    </x:row>
    <x:row r="710" ht="15" hidden="0" customHeight="1">
      <x:c r="C710" s="73"/>
      <x:c r="D710" s="73"/>
      <x:c r="E710" s="74"/>
      <x:c r="F710" s="73"/>
      <x:c r="G710" s="73"/>
      <x:c r="H710" s="73"/>
      <x:c r="I710" s="69"/>
      <x:c r="J710" s="69"/>
      <x:c r="K710" s="69"/>
    </x:row>
    <x:row r="711" ht="26.399999618530273" hidden="0" customHeight="1">
      <x:c r="A711" t="str">
        <x:v>CHMF</x:v>
      </x:c>
      <x:c r="B711" t="str">
        <x:v>1П2026</x:v>
      </x:c>
      <x:c r="C711" s="73" t="str">
        <x:v>EBITDA компании (скорректированная по составу)</x:v>
      </x:c>
      <x:c r="D711" s="73" t="str">
        <x:v>Операционная прибыль</x:v>
      </x:c>
      <x:c r="E711" s="74" t="n">
        <x:v>15953</x:v>
      </x:c>
      <x:c r="F711" s="73" t="str">
        <x:v>CHMF_2026H1.pdf</x:v>
      </x:c>
      <x:c r="G711" s="73" t="n">
        <x:v>14</x:v>
      </x:c>
      <x:c r="H711" s="73" t="str">
        <x:v>Состав и сумма сверены с раскрытием компании</x:v>
      </x:c>
      <x:c r="I711" s="69"/>
      <x:c r="J711" s="69"/>
      <x:c r="K711" s="69"/>
    </x:row>
    <x:row r="712" ht="26.399999618530273" hidden="0" customHeight="1">
      <x:c r="A712" t="str">
        <x:v>CHMF</x:v>
      </x:c>
      <x:c r="B712" t="str">
        <x:v>1П2026</x:v>
      </x:c>
      <x:c r="C712" s="73" t="str">
        <x:v>EBITDA компании (скорректированная по составу)</x:v>
      </x:c>
      <x:c r="D712" s="73" t="str">
        <x:v>Амортизация производственных активов</x:v>
      </x:c>
      <x:c r="E712" s="74" t="n">
        <x:v>24365</x:v>
      </x:c>
      <x:c r="F712" s="73" t="str">
        <x:v>CHMF_2026H1.pdf</x:v>
      </x:c>
      <x:c r="G712" s="73" t="n">
        <x:v>14</x:v>
      </x:c>
      <x:c r="H712" s="73" t="str">
        <x:v>Состав и сумма сверены с раскрытием компании</x:v>
      </x:c>
      <x:c r="I712" s="69"/>
      <x:c r="J712" s="69"/>
      <x:c r="K712" s="69"/>
    </x:row>
    <x:row r="713" ht="26.399999618530273" hidden="0" customHeight="1">
      <x:c r="A713" t="str">
        <x:v>CHMF</x:v>
      </x:c>
      <x:c r="B713" t="str">
        <x:v>1П2026</x:v>
      </x:c>
      <x:c r="C713" s="73" t="str">
        <x:v>EBITDA компании (скорректированная по составу)</x:v>
      </x:c>
      <x:c r="D713" s="73" t="str">
        <x:v>Выбытие основных средств и НМА</x:v>
      </x:c>
      <x:c r="E713" s="74" t="n">
        <x:v>1486</x:v>
      </x:c>
      <x:c r="F713" s="73" t="str">
        <x:v>CHMF_2026H1.pdf</x:v>
      </x:c>
      <x:c r="G713" s="73" t="n">
        <x:v>14</x:v>
      </x:c>
      <x:c r="H713" s="73" t="str">
        <x:v>Состав и сумма сверены с раскрытием компании</x:v>
      </x:c>
      <x:c r="I713" s="69"/>
      <x:c r="J713" s="69"/>
      <x:c r="K713" s="69"/>
    </x:row>
    <x:row r="714" ht="26.399999618530273" hidden="0" customHeight="1">
      <x:c r="A714" t="str">
        <x:v>CHMF</x:v>
      </x:c>
      <x:c r="B714" t="str">
        <x:v>1П2026</x:v>
      </x:c>
      <x:c r="C714" s="73" t="str">
        <x:v>EBITDA компании (скорректированная по составу)</x:v>
      </x:c>
      <x:c r="D714" s="73" t="str">
        <x:v>Корректировки ассоциированных предприятий</x:v>
      </x:c>
      <x:c r="E714" s="74" t="n">
        <x:v>536</x:v>
      </x:c>
      <x:c r="F714" s="73" t="str">
        <x:v>CHMF_2026H1.pdf</x:v>
      </x:c>
      <x:c r="G714" s="73" t="n">
        <x:v>14</x:v>
      </x:c>
      <x:c r="H714" s="73" t="str">
        <x:v>Состав и сумма сверены с раскрытием компании</x:v>
      </x:c>
      <x:c r="I714" s="69"/>
      <x:c r="J714" s="69"/>
      <x:c r="K714" s="69"/>
    </x:row>
    <x:row r="715" ht="26.399999618530273" hidden="0" customHeight="1">
      <x:c r="A715" s="60" t="str">
        <x:v>CHMF</x:v>
      </x:c>
      <x:c r="B715" s="60" t="str">
        <x:v>1П2026</x:v>
      </x:c>
      <x:c r="C715" s="76" t="str">
        <x:v>EBITDA компании (скорректированная по составу)</x:v>
      </x:c>
      <x:c r="D715" s="76" t="str">
        <x:v>ИТОГО — расчет</x:v>
      </x:c>
      <x:c r="E715" s="77" t="n">
        <x:f>SUM(E711:E714)</x:f>
        <x:v>42340</x:v>
      </x:c>
      <x:c r="F715" s="76" t="str">
        <x:v>CHMF_2026H1.pdf</x:v>
      </x:c>
      <x:c r="G715" s="76" t="n">
        <x:v>14</x:v>
      </x:c>
      <x:c r="H715" s="76"/>
      <x:c r="I715" s="71" t="n">
        <x:v>42340</x:v>
      </x:c>
      <x:c r="J715" s="71" t="n">
        <x:f>E715-I715</x:f>
        <x:v>0</x:v>
      </x:c>
      <x:c r="K715" s="71" t="n">
        <x:f>SUM(E711:E712)</x:f>
        <x:v>40318</x:v>
      </x:c>
    </x:row>
    <x:row r="716" ht="15" hidden="0" customHeight="1">
      <x:c r="C716" s="73"/>
      <x:c r="D716" s="73"/>
      <x:c r="E716" s="74"/>
      <x:c r="F716" s="73"/>
      <x:c r="G716" s="73"/>
      <x:c r="H716" s="73"/>
      <x:c r="I716" s="69"/>
      <x:c r="J716" s="69"/>
      <x:c r="K716" s="69"/>
    </x:row>
    <x:row r="717" ht="15" hidden="0" customHeight="1">
      <x:c r="A717" t="str">
        <x:v>VKCO</x:v>
      </x:c>
      <x:c r="B717" t="str">
        <x:v>2025</x:v>
      </x:c>
      <x:c r="C717" s="73" t="str">
        <x:v>Скорр. EBITDA</x:v>
      </x:c>
      <x:c r="D717" s="73" t="str">
        <x:v>Чистый убыток группы</x:v>
      </x:c>
      <x:c r="E717" s="74" t="n">
        <x:v>-24961</x:v>
      </x:c>
      <x:c r="F717" s="73" t="str">
        <x:v>VKCO_FY.pdf</x:v>
      </x:c>
      <x:c r="G717" s="73" t="n">
        <x:v>41</x:v>
      </x:c>
      <x:c r="H717" s="73" t="str">
        <x:v>Состав и сумма сверены с раскрытием компании</x:v>
      </x:c>
      <x:c r="I717" s="69"/>
      <x:c r="J717" s="69"/>
      <x:c r="K717" s="69"/>
    </x:row>
    <x:row r="718" ht="15" hidden="0" customHeight="1">
      <x:c r="A718" t="str">
        <x:v>VKCO</x:v>
      </x:c>
      <x:c r="B718" t="str">
        <x:v>2025</x:v>
      </x:c>
      <x:c r="C718" s="73" t="str">
        <x:v>Скорр. EBITDA</x:v>
      </x:c>
      <x:c r="D718" s="73" t="str">
        <x:v>Налог на прибыль</x:v>
      </x:c>
      <x:c r="E718" s="74" t="n">
        <x:v>6707</x:v>
      </x:c>
      <x:c r="F718" s="73" t="str">
        <x:v>VKCO_FY.pdf</x:v>
      </x:c>
      <x:c r="G718" s="73" t="n">
        <x:v>41</x:v>
      </x:c>
      <x:c r="H718" s="73" t="str">
        <x:v>Состав и сумма сверены с раскрытием компании</x:v>
      </x:c>
      <x:c r="I718" s="69"/>
      <x:c r="J718" s="69"/>
      <x:c r="K718" s="69"/>
    </x:row>
    <x:row r="719" ht="15" hidden="0" customHeight="1">
      <x:c r="A719" t="str">
        <x:v>VKCO</x:v>
      </x:c>
      <x:c r="B719" t="str">
        <x:v>2025</x:v>
      </x:c>
      <x:c r="C719" s="73" t="str">
        <x:v>Скорр. EBITDA</x:v>
      </x:c>
      <x:c r="D719" s="73" t="str">
        <x:v>Финансовые расходы</x:v>
      </x:c>
      <x:c r="E719" s="74" t="n">
        <x:v>25200</x:v>
      </x:c>
      <x:c r="F719" s="73" t="str">
        <x:v>VKCO_FY.pdf</x:v>
      </x:c>
      <x:c r="G719" s="73" t="n">
        <x:v>41</x:v>
      </x:c>
      <x:c r="H719" s="73" t="str">
        <x:v>Состав и сумма сверены с раскрытием компании</x:v>
      </x:c>
      <x:c r="I719" s="69"/>
      <x:c r="J719" s="69"/>
      <x:c r="K719" s="69"/>
    </x:row>
    <x:row r="720" ht="15" hidden="0" customHeight="1">
      <x:c r="A720" t="str">
        <x:v>VKCO</x:v>
      </x:c>
      <x:c r="B720" t="str">
        <x:v>2025</x:v>
      </x:c>
      <x:c r="C720" s="73" t="str">
        <x:v>Скорр. EBITDA</x:v>
      </x:c>
      <x:c r="D720" s="73" t="str">
        <x:v>Минус финансовые доходы</x:v>
      </x:c>
      <x:c r="E720" s="74" t="n">
        <x:v>-9341</x:v>
      </x:c>
      <x:c r="F720" s="73" t="str">
        <x:v>VKCO_FY.pdf</x:v>
      </x:c>
      <x:c r="G720" s="73" t="n">
        <x:v>41</x:v>
      </x:c>
      <x:c r="H720" s="73" t="str">
        <x:v>Состав и сумма сверены с раскрытием компании</x:v>
      </x:c>
      <x:c r="I720" s="69"/>
      <x:c r="J720" s="69"/>
      <x:c r="K720" s="69"/>
    </x:row>
    <x:row r="721" ht="15" hidden="0" customHeight="1">
      <x:c r="A721" t="str">
        <x:v>VKCO</x:v>
      </x:c>
      <x:c r="B721" t="str">
        <x:v>2025</x:v>
      </x:c>
      <x:c r="C721" s="73" t="str">
        <x:v>Скорр. EBITDA</x:v>
      </x:c>
      <x:c r="D721" s="73" t="str">
        <x:v>Амортизация</x:v>
      </x:c>
      <x:c r="E721" s="74" t="n">
        <x:v>33674</x:v>
      </x:c>
      <x:c r="F721" s="73" t="str">
        <x:v>VKCO_FY.pdf</x:v>
      </x:c>
      <x:c r="G721" s="73" t="n">
        <x:v>41</x:v>
      </x:c>
      <x:c r="H721" s="73" t="str">
        <x:v>Состав и сумма сверены с раскрытием компании</x:v>
      </x:c>
      <x:c r="I721" s="69"/>
      <x:c r="J721" s="69"/>
      <x:c r="K721" s="69"/>
    </x:row>
    <x:row r="722" ht="15" hidden="0" customHeight="1">
      <x:c r="A722" t="str">
        <x:v>VKCO</x:v>
      </x:c>
      <x:c r="B722" t="str">
        <x:v>2025</x:v>
      </x:c>
      <x:c r="C722" s="73" t="str">
        <x:v>Скорр. EBITDA</x:v>
      </x:c>
      <x:c r="D722" s="73" t="str">
        <x:v>Вознаграждения акциями</x:v>
      </x:c>
      <x:c r="E722" s="74" t="n">
        <x:v>1261</x:v>
      </x:c>
      <x:c r="F722" s="73" t="str">
        <x:v>VKCO_FY.pdf</x:v>
      </x:c>
      <x:c r="G722" s="73" t="n">
        <x:v>41</x:v>
      </x:c>
      <x:c r="H722" s="73" t="str">
        <x:v>Состав и сумма сверены с раскрытием компании</x:v>
      </x:c>
      <x:c r="I722" s="69"/>
      <x:c r="J722" s="69"/>
      <x:c r="K722" s="69"/>
    </x:row>
    <x:row r="723" ht="15" hidden="0" customHeight="1">
      <x:c r="A723" t="str">
        <x:v>VKCO</x:v>
      </x:c>
      <x:c r="B723" t="str">
        <x:v>2025</x:v>
      </x:c>
      <x:c r="C723" s="73" t="str">
        <x:v>Скорр. EBITDA</x:v>
      </x:c>
      <x:c r="D723" s="73" t="str">
        <x:v>Результат прочих инвестиций</x:v>
      </x:c>
      <x:c r="E723" s="74" t="n">
        <x:v>-5880</x:v>
      </x:c>
      <x:c r="F723" s="73" t="str">
        <x:v>VKCO_FY.pdf</x:v>
      </x:c>
      <x:c r="G723" s="73" t="n">
        <x:v>41</x:v>
      </x:c>
      <x:c r="H723" s="73" t="str">
        <x:v>Состав и сумма сверены с раскрытием компании</x:v>
      </x:c>
      <x:c r="I723" s="69"/>
      <x:c r="J723" s="69"/>
      <x:c r="K723" s="69"/>
    </x:row>
    <x:row r="724" ht="15" hidden="0" customHeight="1">
      <x:c r="A724" t="str">
        <x:v>VKCO</x:v>
      </x:c>
      <x:c r="B724" t="str">
        <x:v>2025</x:v>
      </x:c>
      <x:c r="C724" s="73" t="str">
        <x:v>Скорр. EBITDA</x:v>
      </x:c>
      <x:c r="D724" s="73" t="str">
        <x:v>Доля в прибыли инвестиций</x:v>
      </x:c>
      <x:c r="E724" s="74" t="n">
        <x:v>-4584</x:v>
      </x:c>
      <x:c r="F724" s="73" t="str">
        <x:v>VKCO_FY.pdf</x:v>
      </x:c>
      <x:c r="G724" s="73" t="n">
        <x:v>41</x:v>
      </x:c>
      <x:c r="H724" s="73" t="str">
        <x:v>Состав и сумма сверены с раскрытием компании</x:v>
      </x:c>
      <x:c r="I724" s="69"/>
      <x:c r="J724" s="69"/>
      <x:c r="K724" s="69"/>
    </x:row>
    <x:row r="725" ht="15" hidden="0" customHeight="1">
      <x:c r="A725" t="str">
        <x:v>VKCO</x:v>
      </x:c>
      <x:c r="B725" t="str">
        <x:v>2025</x:v>
      </x:c>
      <x:c r="C725" s="73" t="str">
        <x:v>Скорр. EBITDA</x:v>
      </x:c>
      <x:c r="D725" s="73" t="str">
        <x:v>Прочие внеоперационные расходы</x:v>
      </x:c>
      <x:c r="E725" s="74" t="n">
        <x:v>-184</x:v>
      </x:c>
      <x:c r="F725" s="73" t="str">
        <x:v>VKCO_FY.pdf</x:v>
      </x:c>
      <x:c r="G725" s="73" t="n">
        <x:v>41</x:v>
      </x:c>
      <x:c r="H725" s="73" t="str">
        <x:v>Состав и сумма сверены с раскрытием компании</x:v>
      </x:c>
      <x:c r="I725" s="69"/>
      <x:c r="J725" s="69"/>
      <x:c r="K725" s="69"/>
    </x:row>
    <x:row r="726" ht="15" hidden="0" customHeight="1">
      <x:c r="A726" t="str">
        <x:v>VKCO</x:v>
      </x:c>
      <x:c r="B726" t="str">
        <x:v>2025</x:v>
      </x:c>
      <x:c r="C726" s="73" t="str">
        <x:v>Скорр. EBITDA</x:v>
      </x:c>
      <x:c r="D726" s="73" t="str">
        <x:v>Переоценка финансовых активов</x:v>
      </x:c>
      <x:c r="E726" s="74" t="n">
        <x:v>422</x:v>
      </x:c>
      <x:c r="F726" s="73" t="str">
        <x:v>VKCO_FY.pdf</x:v>
      </x:c>
      <x:c r="G726" s="73" t="n">
        <x:v>41</x:v>
      </x:c>
      <x:c r="H726" s="73" t="str">
        <x:v>Состав и сумма сверены с раскрытием компании</x:v>
      </x:c>
      <x:c r="I726" s="69"/>
      <x:c r="J726" s="69"/>
      <x:c r="K726" s="69"/>
    </x:row>
    <x:row r="727" ht="15" hidden="0" customHeight="1">
      <x:c r="A727" t="str">
        <x:v>VKCO</x:v>
      </x:c>
      <x:c r="B727" t="str">
        <x:v>2025</x:v>
      </x:c>
      <x:c r="C727" s="73" t="str">
        <x:v>Скорр. EBITDA</x:v>
      </x:c>
      <x:c r="D727" s="73" t="str">
        <x:v>Прибыль от продажи инвестиций</x:v>
      </x:c>
      <x:c r="E727" s="74" t="n">
        <x:v>0</x:v>
      </x:c>
      <x:c r="F727" s="73" t="str">
        <x:v>VKCO_FY.pdf</x:v>
      </x:c>
      <x:c r="G727" s="73" t="n">
        <x:v>41</x:v>
      </x:c>
      <x:c r="H727" s="73" t="str">
        <x:v>Состав и сумма сверены с раскрытием компании</x:v>
      </x:c>
      <x:c r="I727" s="69"/>
      <x:c r="J727" s="69"/>
      <x:c r="K727" s="69"/>
    </x:row>
    <x:row r="728" ht="15" hidden="0" customHeight="1">
      <x:c r="A728" t="str">
        <x:v>VKCO</x:v>
      </x:c>
      <x:c r="B728" t="str">
        <x:v>2025</x:v>
      </x:c>
      <x:c r="C728" s="73" t="str">
        <x:v>Скорр. EBITDA</x:v>
      </x:c>
      <x:c r="D728" s="73" t="str">
        <x:v>Обесценение инвестиций</x:v>
      </x:c>
      <x:c r="E728" s="74" t="n">
        <x:v>713</x:v>
      </x:c>
      <x:c r="F728" s="73" t="str">
        <x:v>VKCO_FY.pdf</x:v>
      </x:c>
      <x:c r="G728" s="73" t="n">
        <x:v>41</x:v>
      </x:c>
      <x:c r="H728" s="73" t="str">
        <x:v>Состав и сумма сверены с раскрытием компании</x:v>
      </x:c>
      <x:c r="I728" s="69"/>
      <x:c r="J728" s="69"/>
      <x:c r="K728" s="69"/>
    </x:row>
    <x:row r="729" ht="15" hidden="0" customHeight="1">
      <x:c r="A729" t="str">
        <x:v>VKCO</x:v>
      </x:c>
      <x:c r="B729" t="str">
        <x:v>2025</x:v>
      </x:c>
      <x:c r="C729" s="73" t="str">
        <x:v>Скорр. EBITDA</x:v>
      </x:c>
      <x:c r="D729" s="73" t="str">
        <x:v>Переоценка инструментов</x:v>
      </x:c>
      <x:c r="E729" s="74" t="n">
        <x:v>-237</x:v>
      </x:c>
      <x:c r="F729" s="73" t="str">
        <x:v>VKCO_FY.pdf</x:v>
      </x:c>
      <x:c r="G729" s="73" t="n">
        <x:v>41</x:v>
      </x:c>
      <x:c r="H729" s="73" t="str">
        <x:v>Состав и сумма сверены с раскрытием компании</x:v>
      </x:c>
      <x:c r="I729" s="69"/>
      <x:c r="J729" s="69"/>
      <x:c r="K729" s="69"/>
    </x:row>
    <x:row r="730" ht="15" hidden="0" customHeight="1">
      <x:c r="A730" t="str">
        <x:v>VKCO</x:v>
      </x:c>
      <x:c r="B730" t="str">
        <x:v>2025</x:v>
      </x:c>
      <x:c r="C730" s="73" t="str">
        <x:v>Скорр. EBITDA</x:v>
      </x:c>
      <x:c r="D730" s="73" t="str">
        <x:v>Восстановление кредитных резервов</x:v>
      </x:c>
      <x:c r="E730" s="74" t="n">
        <x:v>-3</x:v>
      </x:c>
      <x:c r="F730" s="73" t="str">
        <x:v>VKCO_FY.pdf</x:v>
      </x:c>
      <x:c r="G730" s="73" t="n">
        <x:v>41</x:v>
      </x:c>
      <x:c r="H730" s="73" t="str">
        <x:v>Состав и сумма сверены с раскрытием компании</x:v>
      </x:c>
      <x:c r="I730" s="69"/>
      <x:c r="J730" s="69"/>
      <x:c r="K730" s="69"/>
    </x:row>
    <x:row r="731" ht="15" hidden="0" customHeight="1">
      <x:c r="A731" t="str">
        <x:v>VKCO</x:v>
      </x:c>
      <x:c r="B731" t="str">
        <x:v>2025</x:v>
      </x:c>
      <x:c r="C731" s="73" t="str">
        <x:v>Скорр. EBITDA</x:v>
      </x:c>
      <x:c r="D731" s="73" t="str">
        <x:v>Курсовые разницы</x:v>
      </x:c>
      <x:c r="E731" s="74" t="n">
        <x:v>-3161</x:v>
      </x:c>
      <x:c r="F731" s="73" t="str">
        <x:v>VKCO_FY.pdf</x:v>
      </x:c>
      <x:c r="G731" s="73" t="n">
        <x:v>41</x:v>
      </x:c>
      <x:c r="H731" s="73" t="str">
        <x:v>Состав и сумма сверены с раскрытием компании</x:v>
      </x:c>
      <x:c r="I731" s="69"/>
      <x:c r="J731" s="69"/>
      <x:c r="K731" s="69"/>
    </x:row>
    <x:row r="732" ht="15" hidden="0" customHeight="1">
      <x:c r="A732" t="str">
        <x:v>VKCO</x:v>
      </x:c>
      <x:c r="B732" t="str">
        <x:v>2025</x:v>
      </x:c>
      <x:c r="C732" s="73" t="str">
        <x:v>Скорр. EBITDA</x:v>
      </x:c>
      <x:c r="D732" s="73" t="str">
        <x:v>Результат прекращенной деятельности</x:v>
      </x:c>
      <x:c r="E732" s="74" t="n">
        <x:v>2958</x:v>
      </x:c>
      <x:c r="F732" s="73" t="str">
        <x:v>VKCO_FY.pdf</x:v>
      </x:c>
      <x:c r="G732" s="73" t="n">
        <x:v>41</x:v>
      </x:c>
      <x:c r="H732" s="73" t="str">
        <x:v>Состав и сумма сверены с раскрытием компании</x:v>
      </x:c>
      <x:c r="I732" s="69"/>
      <x:c r="J732" s="69"/>
      <x:c r="K732" s="69"/>
    </x:row>
    <x:row r="733" ht="15" hidden="0" customHeight="1">
      <x:c r="A733" s="60" t="str">
        <x:v>VKCO</x:v>
      </x:c>
      <x:c r="B733" s="60" t="str">
        <x:v>2025</x:v>
      </x:c>
      <x:c r="C733" s="76" t="str">
        <x:v>Скорр. EBITDA</x:v>
      </x:c>
      <x:c r="D733" s="76" t="str">
        <x:v>ИТОГО — расчет</x:v>
      </x:c>
      <x:c r="E733" s="77" t="n">
        <x:f>SUM(E717:E732)</x:f>
        <x:v>22584</x:v>
      </x:c>
      <x:c r="F733" s="76" t="str">
        <x:v>VKCO_FY.pdf</x:v>
      </x:c>
      <x:c r="G733" s="76" t="n">
        <x:v>41</x:v>
      </x:c>
      <x:c r="H733" s="76"/>
      <x:c r="I733" s="71" t="n">
        <x:v>22584</x:v>
      </x:c>
      <x:c r="J733" s="71" t="n">
        <x:f>E733-I733</x:f>
        <x:v>0</x:v>
      </x:c>
      <x:c r="K733" s="71" t="n">
        <x:f>SUM(E717:E721)</x:f>
        <x:v>31279</x:v>
      </x:c>
    </x:row>
    <x:row r="734" ht="15" hidden="0" customHeight="1">
      <x:c r="C734" s="73"/>
      <x:c r="D734" s="73"/>
      <x:c r="E734" s="74"/>
      <x:c r="F734" s="73"/>
      <x:c r="G734" s="73"/>
      <x:c r="H734" s="73"/>
      <x:c r="I734" s="69"/>
      <x:c r="J734" s="69"/>
      <x:c r="K734" s="69"/>
    </x:row>
    <x:row r="735" ht="15" hidden="0" customHeight="1">
      <x:c r="A735" t="str">
        <x:v>VKCO</x:v>
      </x:c>
      <x:c r="B735" t="str">
        <x:v>1П2025</x:v>
      </x:c>
      <x:c r="C735" s="73" t="str">
        <x:v>Скорр. EBITDA</x:v>
      </x:c>
      <x:c r="D735" s="73" t="str">
        <x:v>Чистый убыток группы</x:v>
      </x:c>
      <x:c r="E735" s="74" t="n">
        <x:v>-12671</x:v>
      </x:c>
      <x:c r="F735" s="73" t="str">
        <x:v>VKCO_2026H1.pdf</x:v>
      </x:c>
      <x:c r="G735" s="73" t="n">
        <x:v>16</x:v>
      </x:c>
      <x:c r="H735" s="73" t="str">
        <x:v>Состав и сумма сверены с раскрытием компании</x:v>
      </x:c>
      <x:c r="I735" s="69"/>
      <x:c r="J735" s="69"/>
      <x:c r="K735" s="69"/>
    </x:row>
    <x:row r="736" ht="15" hidden="0" customHeight="1">
      <x:c r="A736" t="str">
        <x:v>VKCO</x:v>
      </x:c>
      <x:c r="B736" t="str">
        <x:v>1П2025</x:v>
      </x:c>
      <x:c r="C736" s="73" t="str">
        <x:v>Скорр. EBITDA</x:v>
      </x:c>
      <x:c r="D736" s="73" t="str">
        <x:v>Налог на прибыль</x:v>
      </x:c>
      <x:c r="E736" s="74" t="n">
        <x:v>4776</x:v>
      </x:c>
      <x:c r="F736" s="73" t="str">
        <x:v>VKCO_2026H1.pdf</x:v>
      </x:c>
      <x:c r="G736" s="73" t="n">
        <x:v>16</x:v>
      </x:c>
      <x:c r="H736" s="73" t="str">
        <x:v>Состав и сумма сверены с раскрытием компании</x:v>
      </x:c>
      <x:c r="I736" s="69"/>
      <x:c r="J736" s="69"/>
      <x:c r="K736" s="69"/>
    </x:row>
    <x:row r="737" ht="15" hidden="0" customHeight="1">
      <x:c r="A737" t="str">
        <x:v>VKCO</x:v>
      </x:c>
      <x:c r="B737" t="str">
        <x:v>1П2025</x:v>
      </x:c>
      <x:c r="C737" s="73" t="str">
        <x:v>Скорр. EBITDA</x:v>
      </x:c>
      <x:c r="D737" s="73" t="str">
        <x:v>Финансовые расходы</x:v>
      </x:c>
      <x:c r="E737" s="74" t="n">
        <x:v>18023</x:v>
      </x:c>
      <x:c r="F737" s="73" t="str">
        <x:v>VKCO_2026H1.pdf</x:v>
      </x:c>
      <x:c r="G737" s="73" t="n">
        <x:v>16</x:v>
      </x:c>
      <x:c r="H737" s="73" t="str">
        <x:v>Состав и сумма сверены с раскрытием компании</x:v>
      </x:c>
      <x:c r="I737" s="69"/>
      <x:c r="J737" s="69"/>
      <x:c r="K737" s="69"/>
    </x:row>
    <x:row r="738" ht="15" hidden="0" customHeight="1">
      <x:c r="A738" t="str">
        <x:v>VKCO</x:v>
      </x:c>
      <x:c r="B738" t="str">
        <x:v>1П2025</x:v>
      </x:c>
      <x:c r="C738" s="73" t="str">
        <x:v>Скорр. EBITDA</x:v>
      </x:c>
      <x:c r="D738" s="73" t="str">
        <x:v>Минус финансовые доходы</x:v>
      </x:c>
      <x:c r="E738" s="74" t="n">
        <x:v>-4733</x:v>
      </x:c>
      <x:c r="F738" s="73" t="str">
        <x:v>VKCO_2026H1.pdf</x:v>
      </x:c>
      <x:c r="G738" s="73" t="n">
        <x:v>16</x:v>
      </x:c>
      <x:c r="H738" s="73" t="str">
        <x:v>Состав и сумма сверены с раскрытием компании</x:v>
      </x:c>
      <x:c r="I738" s="69"/>
      <x:c r="J738" s="69"/>
      <x:c r="K738" s="69"/>
    </x:row>
    <x:row r="739" ht="15" hidden="0" customHeight="1">
      <x:c r="A739" t="str">
        <x:v>VKCO</x:v>
      </x:c>
      <x:c r="B739" t="str">
        <x:v>1П2025</x:v>
      </x:c>
      <x:c r="C739" s="73" t="str">
        <x:v>Скорр. EBITDA</x:v>
      </x:c>
      <x:c r="D739" s="73" t="str">
        <x:v>Амортизация</x:v>
      </x:c>
      <x:c r="E739" s="74" t="n">
        <x:v>16065</x:v>
      </x:c>
      <x:c r="F739" s="73" t="str">
        <x:v>VKCO_2026H1.pdf</x:v>
      </x:c>
      <x:c r="G739" s="73" t="n">
        <x:v>16</x:v>
      </x:c>
      <x:c r="H739" s="73" t="str">
        <x:v>Состав и сумма сверены с раскрытием компании</x:v>
      </x:c>
      <x:c r="I739" s="69"/>
      <x:c r="J739" s="69"/>
      <x:c r="K739" s="69"/>
    </x:row>
    <x:row r="740" ht="15" hidden="0" customHeight="1">
      <x:c r="A740" t="str">
        <x:v>VKCO</x:v>
      </x:c>
      <x:c r="B740" t="str">
        <x:v>1П2025</x:v>
      </x:c>
      <x:c r="C740" s="73" t="str">
        <x:v>Скорр. EBITDA</x:v>
      </x:c>
      <x:c r="D740" s="73" t="str">
        <x:v>Вознаграждения акциями</x:v>
      </x:c>
      <x:c r="E740" s="74" t="n">
        <x:v>13</x:v>
      </x:c>
      <x:c r="F740" s="73" t="str">
        <x:v>VKCO_2026H1.pdf</x:v>
      </x:c>
      <x:c r="G740" s="73" t="n">
        <x:v>16</x:v>
      </x:c>
      <x:c r="H740" s="73" t="str">
        <x:v>Состав и сумма сверены с раскрытием компании</x:v>
      </x:c>
      <x:c r="I740" s="69"/>
      <x:c r="J740" s="69"/>
      <x:c r="K740" s="69"/>
    </x:row>
    <x:row r="741" ht="15" hidden="0" customHeight="1">
      <x:c r="A741" t="str">
        <x:v>VKCO</x:v>
      </x:c>
      <x:c r="B741" t="str">
        <x:v>1П2025</x:v>
      </x:c>
      <x:c r="C741" s="73" t="str">
        <x:v>Скорр. EBITDA</x:v>
      </x:c>
      <x:c r="D741" s="73" t="str">
        <x:v>Результат прочих инвестиций</x:v>
      </x:c>
      <x:c r="E741" s="74" t="n">
        <x:v>-5882</x:v>
      </x:c>
      <x:c r="F741" s="73" t="str">
        <x:v>VKCO_2026H1.pdf</x:v>
      </x:c>
      <x:c r="G741" s="73" t="n">
        <x:v>16</x:v>
      </x:c>
      <x:c r="H741" s="73" t="str">
        <x:v>Состав и сумма сверены с раскрытием компании</x:v>
      </x:c>
      <x:c r="I741" s="69"/>
      <x:c r="J741" s="69"/>
      <x:c r="K741" s="69"/>
    </x:row>
    <x:row r="742" ht="15" hidden="0" customHeight="1">
      <x:c r="A742" t="str">
        <x:v>VKCO</x:v>
      </x:c>
      <x:c r="B742" t="str">
        <x:v>1П2025</x:v>
      </x:c>
      <x:c r="C742" s="73" t="str">
        <x:v>Скорр. EBITDA</x:v>
      </x:c>
      <x:c r="D742" s="73" t="str">
        <x:v>Доля в прибыли инвестиций</x:v>
      </x:c>
      <x:c r="E742" s="74" t="n">
        <x:v>-2963</x:v>
      </x:c>
      <x:c r="F742" s="73" t="str">
        <x:v>VKCO_2026H1.pdf</x:v>
      </x:c>
      <x:c r="G742" s="73" t="n">
        <x:v>16</x:v>
      </x:c>
      <x:c r="H742" s="73" t="str">
        <x:v>Состав и сумма сверены с раскрытием компании</x:v>
      </x:c>
      <x:c r="I742" s="69"/>
      <x:c r="J742" s="69"/>
      <x:c r="K742" s="69"/>
    </x:row>
    <x:row r="743" ht="15" hidden="0" customHeight="1">
      <x:c r="A743" t="str">
        <x:v>VKCO</x:v>
      </x:c>
      <x:c r="B743" t="str">
        <x:v>1П2025</x:v>
      </x:c>
      <x:c r="C743" s="73" t="str">
        <x:v>Скорр. EBITDA</x:v>
      </x:c>
      <x:c r="D743" s="73" t="str">
        <x:v>Прочие внеоперационные расходы</x:v>
      </x:c>
      <x:c r="E743" s="74" t="n">
        <x:v>-17</x:v>
      </x:c>
      <x:c r="F743" s="73" t="str">
        <x:v>VKCO_2026H1.pdf</x:v>
      </x:c>
      <x:c r="G743" s="73" t="n">
        <x:v>16</x:v>
      </x:c>
      <x:c r="H743" s="73" t="str">
        <x:v>Состав и сумма сверены с раскрытием компании</x:v>
      </x:c>
      <x:c r="I743" s="69"/>
      <x:c r="J743" s="69"/>
      <x:c r="K743" s="69"/>
    </x:row>
    <x:row r="744" ht="15" hidden="0" customHeight="1">
      <x:c r="A744" t="str">
        <x:v>VKCO</x:v>
      </x:c>
      <x:c r="B744" t="str">
        <x:v>1П2025</x:v>
      </x:c>
      <x:c r="C744" s="73" t="str">
        <x:v>Скорр. EBITDA</x:v>
      </x:c>
      <x:c r="D744" s="73" t="str">
        <x:v>Переоценка финансовых активов</x:v>
      </x:c>
      <x:c r="E744" s="74" t="n">
        <x:v>403</x:v>
      </x:c>
      <x:c r="F744" s="73" t="str">
        <x:v>VKCO_2026H1.pdf</x:v>
      </x:c>
      <x:c r="G744" s="73" t="n">
        <x:v>16</x:v>
      </x:c>
      <x:c r="H744" s="73" t="str">
        <x:v>Состав и сумма сверены с раскрытием компании</x:v>
      </x:c>
      <x:c r="I744" s="69"/>
      <x:c r="J744" s="69"/>
      <x:c r="K744" s="69"/>
    </x:row>
    <x:row r="745" ht="15" hidden="0" customHeight="1">
      <x:c r="A745" t="str">
        <x:v>VKCO</x:v>
      </x:c>
      <x:c r="B745" t="str">
        <x:v>1П2025</x:v>
      </x:c>
      <x:c r="C745" s="73" t="str">
        <x:v>Скорр. EBITDA</x:v>
      </x:c>
      <x:c r="D745" s="73" t="str">
        <x:v>Прибыль от продажи инвестиций</x:v>
      </x:c>
      <x:c r="E745" s="74" t="n">
        <x:v>0</x:v>
      </x:c>
      <x:c r="F745" s="73" t="str">
        <x:v>VKCO_2026H1.pdf</x:v>
      </x:c>
      <x:c r="G745" s="73" t="n">
        <x:v>16</x:v>
      </x:c>
      <x:c r="H745" s="73" t="str">
        <x:v>Состав и сумма сверены с раскрытием компании</x:v>
      </x:c>
      <x:c r="I745" s="69"/>
      <x:c r="J745" s="69"/>
      <x:c r="K745" s="69"/>
    </x:row>
    <x:row r="746" ht="15" hidden="0" customHeight="1">
      <x:c r="A746" t="str">
        <x:v>VKCO</x:v>
      </x:c>
      <x:c r="B746" t="str">
        <x:v>1П2025</x:v>
      </x:c>
      <x:c r="C746" s="73" t="str">
        <x:v>Скорр. EBITDA</x:v>
      </x:c>
      <x:c r="D746" s="73" t="str">
        <x:v>Обесценение инвестиций</x:v>
      </x:c>
      <x:c r="E746" s="74" t="n">
        <x:v>720</x:v>
      </x:c>
      <x:c r="F746" s="73" t="str">
        <x:v>VKCO_2026H1.pdf</x:v>
      </x:c>
      <x:c r="G746" s="73" t="n">
        <x:v>16</x:v>
      </x:c>
      <x:c r="H746" s="73" t="str">
        <x:v>Состав и сумма сверены с раскрытием компании</x:v>
      </x:c>
      <x:c r="I746" s="69"/>
      <x:c r="J746" s="69"/>
      <x:c r="K746" s="69"/>
    </x:row>
    <x:row r="747" ht="15" hidden="0" customHeight="1">
      <x:c r="A747" t="str">
        <x:v>VKCO</x:v>
      </x:c>
      <x:c r="B747" t="str">
        <x:v>1П2025</x:v>
      </x:c>
      <x:c r="C747" s="73" t="str">
        <x:v>Скорр. EBITDA</x:v>
      </x:c>
      <x:c r="D747" s="73" t="str">
        <x:v>Переоценка инструментов</x:v>
      </x:c>
      <x:c r="E747" s="74" t="n">
        <x:v>622</x:v>
      </x:c>
      <x:c r="F747" s="73" t="str">
        <x:v>VKCO_2026H1.pdf</x:v>
      </x:c>
      <x:c r="G747" s="73" t="n">
        <x:v>16</x:v>
      </x:c>
      <x:c r="H747" s="73" t="str">
        <x:v>Состав и сумма сверены с раскрытием компании</x:v>
      </x:c>
      <x:c r="I747" s="69"/>
      <x:c r="J747" s="69"/>
      <x:c r="K747" s="69"/>
    </x:row>
    <x:row r="748" ht="15" hidden="0" customHeight="1">
      <x:c r="A748" t="str">
        <x:v>VKCO</x:v>
      </x:c>
      <x:c r="B748" t="str">
        <x:v>1П2025</x:v>
      </x:c>
      <x:c r="C748" s="73" t="str">
        <x:v>Скорр. EBITDA</x:v>
      </x:c>
      <x:c r="D748" s="73" t="str">
        <x:v>Восстановление кредитных резервов</x:v>
      </x:c>
      <x:c r="E748" s="74" t="n">
        <x:v>0</x:v>
      </x:c>
      <x:c r="F748" s="73" t="str">
        <x:v>VKCO_2026H1.pdf</x:v>
      </x:c>
      <x:c r="G748" s="73" t="n">
        <x:v>16</x:v>
      </x:c>
      <x:c r="H748" s="73" t="str">
        <x:v>Состав и сумма сверены с раскрытием компании</x:v>
      </x:c>
      <x:c r="I748" s="69"/>
      <x:c r="J748" s="69"/>
      <x:c r="K748" s="69"/>
    </x:row>
    <x:row r="749" ht="15" hidden="0" customHeight="1">
      <x:c r="A749" t="str">
        <x:v>VKCO</x:v>
      </x:c>
      <x:c r="B749" t="str">
        <x:v>1П2025</x:v>
      </x:c>
      <x:c r="C749" s="73" t="str">
        <x:v>Скорр. EBITDA</x:v>
      </x:c>
      <x:c r="D749" s="73" t="str">
        <x:v>Курсовые разницы</x:v>
      </x:c>
      <x:c r="E749" s="74" t="n">
        <x:v>-3389</x:v>
      </x:c>
      <x:c r="F749" s="73" t="str">
        <x:v>VKCO_2026H1.pdf</x:v>
      </x:c>
      <x:c r="G749" s="73" t="n">
        <x:v>16</x:v>
      </x:c>
      <x:c r="H749" s="73" t="str">
        <x:v>Состав и сумма сверены с раскрытием компании</x:v>
      </x:c>
      <x:c r="I749" s="69"/>
      <x:c r="J749" s="69"/>
      <x:c r="K749" s="69"/>
    </x:row>
    <x:row r="750" ht="15" hidden="0" customHeight="1">
      <x:c r="A750" t="str">
        <x:v>VKCO</x:v>
      </x:c>
      <x:c r="B750" t="str">
        <x:v>1П2025</x:v>
      </x:c>
      <x:c r="C750" s="73" t="str">
        <x:v>Скорр. EBITDA</x:v>
      </x:c>
      <x:c r="D750" s="73" t="str">
        <x:v>Результат прекращенной деятельности</x:v>
      </x:c>
      <x:c r="E750" s="74" t="n">
        <x:v>-526</x:v>
      </x:c>
      <x:c r="F750" s="73" t="str">
        <x:v>VKCO_2026H1.pdf</x:v>
      </x:c>
      <x:c r="G750" s="73" t="n">
        <x:v>16</x:v>
      </x:c>
      <x:c r="H750" s="73" t="str">
        <x:v>Состав и сумма сверены с раскрытием компании</x:v>
      </x:c>
      <x:c r="I750" s="69"/>
      <x:c r="J750" s="69"/>
      <x:c r="K750" s="69"/>
    </x:row>
    <x:row r="751" ht="15" hidden="0" customHeight="1">
      <x:c r="A751" s="60" t="str">
        <x:v>VKCO</x:v>
      </x:c>
      <x:c r="B751" s="60" t="str">
        <x:v>1П2025</x:v>
      </x:c>
      <x:c r="C751" s="76" t="str">
        <x:v>Скорр. EBITDA</x:v>
      </x:c>
      <x:c r="D751" s="76" t="str">
        <x:v>ИТОГО — расчет</x:v>
      </x:c>
      <x:c r="E751" s="77" t="n">
        <x:f>SUM(E735:E750)</x:f>
        <x:v>10441</x:v>
      </x:c>
      <x:c r="F751" s="76" t="str">
        <x:v>VKCO_2026H1.pdf</x:v>
      </x:c>
      <x:c r="G751" s="76" t="n">
        <x:v>16</x:v>
      </x:c>
      <x:c r="H751" s="76"/>
      <x:c r="I751" s="71" t="n">
        <x:v>10441</x:v>
      </x:c>
      <x:c r="J751" s="71" t="n">
        <x:f>E751-I751</x:f>
        <x:v>0</x:v>
      </x:c>
      <x:c r="K751" s="71" t="n">
        <x:f>SUM(E735:E739)</x:f>
        <x:v>21460</x:v>
      </x:c>
    </x:row>
    <x:row r="752" ht="15" hidden="0" customHeight="1">
      <x:c r="C752" s="73"/>
      <x:c r="D752" s="73"/>
      <x:c r="E752" s="74"/>
      <x:c r="F752" s="73"/>
      <x:c r="G752" s="73"/>
      <x:c r="H752" s="73"/>
      <x:c r="I752" s="69"/>
      <x:c r="J752" s="69"/>
      <x:c r="K752" s="69"/>
    </x:row>
    <x:row r="753" ht="15" hidden="0" customHeight="1">
      <x:c r="A753" t="str">
        <x:v>VKCO</x:v>
      </x:c>
      <x:c r="B753" t="str">
        <x:v>1П2026</x:v>
      </x:c>
      <x:c r="C753" s="73" t="str">
        <x:v>Скорр. EBITDA</x:v>
      </x:c>
      <x:c r="D753" s="73" t="str">
        <x:v>Чистый убыток группы</x:v>
      </x:c>
      <x:c r="E753" s="74" t="n">
        <x:v>-3846</x:v>
      </x:c>
      <x:c r="F753" s="73" t="str">
        <x:v>VKCO_2026H1.pdf</x:v>
      </x:c>
      <x:c r="G753" s="73" t="n">
        <x:v>16</x:v>
      </x:c>
      <x:c r="H753" s="73" t="str">
        <x:v>Состав и сумма сверены с раскрытием компании</x:v>
      </x:c>
      <x:c r="I753" s="69"/>
      <x:c r="J753" s="69"/>
      <x:c r="K753" s="69"/>
    </x:row>
    <x:row r="754" ht="15" hidden="0" customHeight="1">
      <x:c r="A754" t="str">
        <x:v>VKCO</x:v>
      </x:c>
      <x:c r="B754" t="str">
        <x:v>1П2026</x:v>
      </x:c>
      <x:c r="C754" s="73" t="str">
        <x:v>Скорр. EBITDA</x:v>
      </x:c>
      <x:c r="D754" s="73" t="str">
        <x:v>Налог на прибыль</x:v>
      </x:c>
      <x:c r="E754" s="74" t="n">
        <x:v>356</x:v>
      </x:c>
      <x:c r="F754" s="73" t="str">
        <x:v>VKCO_2026H1.pdf</x:v>
      </x:c>
      <x:c r="G754" s="73" t="n">
        <x:v>16</x:v>
      </x:c>
      <x:c r="H754" s="73" t="str">
        <x:v>Состав и сумма сверены с раскрытием компании</x:v>
      </x:c>
      <x:c r="I754" s="69"/>
      <x:c r="J754" s="69"/>
      <x:c r="K754" s="69"/>
    </x:row>
    <x:row r="755" ht="15" hidden="0" customHeight="1">
      <x:c r="A755" t="str">
        <x:v>VKCO</x:v>
      </x:c>
      <x:c r="B755" t="str">
        <x:v>1П2026</x:v>
      </x:c>
      <x:c r="C755" s="73" t="str">
        <x:v>Скорр. EBITDA</x:v>
      </x:c>
      <x:c r="D755" s="73" t="str">
        <x:v>Финансовые расходы</x:v>
      </x:c>
      <x:c r="E755" s="74" t="n">
        <x:v>6709</x:v>
      </x:c>
      <x:c r="F755" s="73" t="str">
        <x:v>VKCO_2026H1.pdf</x:v>
      </x:c>
      <x:c r="G755" s="73" t="n">
        <x:v>16</x:v>
      </x:c>
      <x:c r="H755" s="73" t="str">
        <x:v>Состав и сумма сверены с раскрытием компании</x:v>
      </x:c>
      <x:c r="I755" s="69"/>
      <x:c r="J755" s="69"/>
      <x:c r="K755" s="69"/>
    </x:row>
    <x:row r="756" ht="15" hidden="0" customHeight="1">
      <x:c r="A756" t="str">
        <x:v>VKCO</x:v>
      </x:c>
      <x:c r="B756" t="str">
        <x:v>1П2026</x:v>
      </x:c>
      <x:c r="C756" s="73" t="str">
        <x:v>Скорр. EBITDA</x:v>
      </x:c>
      <x:c r="D756" s="73" t="str">
        <x:v>Минус финансовые доходы</x:v>
      </x:c>
      <x:c r="E756" s="74" t="n">
        <x:v>-4495</x:v>
      </x:c>
      <x:c r="F756" s="73" t="str">
        <x:v>VKCO_2026H1.pdf</x:v>
      </x:c>
      <x:c r="G756" s="73" t="n">
        <x:v>16</x:v>
      </x:c>
      <x:c r="H756" s="73" t="str">
        <x:v>Состав и сумма сверены с раскрытием компании</x:v>
      </x:c>
      <x:c r="I756" s="69"/>
      <x:c r="J756" s="69"/>
      <x:c r="K756" s="69"/>
    </x:row>
    <x:row r="757" ht="15" hidden="0" customHeight="1">
      <x:c r="A757" t="str">
        <x:v>VKCO</x:v>
      </x:c>
      <x:c r="B757" t="str">
        <x:v>1П2026</x:v>
      </x:c>
      <x:c r="C757" s="73" t="str">
        <x:v>Скорр. EBITDA</x:v>
      </x:c>
      <x:c r="D757" s="73" t="str">
        <x:v>Амортизация</x:v>
      </x:c>
      <x:c r="E757" s="74" t="n">
        <x:v>18715</x:v>
      </x:c>
      <x:c r="F757" s="73" t="str">
        <x:v>VKCO_2026H1.pdf</x:v>
      </x:c>
      <x:c r="G757" s="73" t="n">
        <x:v>16</x:v>
      </x:c>
      <x:c r="H757" s="73" t="str">
        <x:v>Состав и сумма сверены с раскрытием компании</x:v>
      </x:c>
      <x:c r="I757" s="69"/>
      <x:c r="J757" s="69"/>
      <x:c r="K757" s="69"/>
    </x:row>
    <x:row r="758" ht="15" hidden="0" customHeight="1">
      <x:c r="A758" t="str">
        <x:v>VKCO</x:v>
      </x:c>
      <x:c r="B758" t="str">
        <x:v>1П2026</x:v>
      </x:c>
      <x:c r="C758" s="73" t="str">
        <x:v>Скорр. EBITDA</x:v>
      </x:c>
      <x:c r="D758" s="73" t="str">
        <x:v>Вознаграждения акциями</x:v>
      </x:c>
      <x:c r="E758" s="74" t="n">
        <x:v>972</x:v>
      </x:c>
      <x:c r="F758" s="73" t="str">
        <x:v>VKCO_2026H1.pdf</x:v>
      </x:c>
      <x:c r="G758" s="73" t="n">
        <x:v>16</x:v>
      </x:c>
      <x:c r="H758" s="73" t="str">
        <x:v>Состав и сумма сверены с раскрытием компании</x:v>
      </x:c>
      <x:c r="I758" s="69"/>
      <x:c r="J758" s="69"/>
      <x:c r="K758" s="69"/>
    </x:row>
    <x:row r="759" ht="15" hidden="0" customHeight="1">
      <x:c r="A759" t="str">
        <x:v>VKCO</x:v>
      </x:c>
      <x:c r="B759" t="str">
        <x:v>1П2026</x:v>
      </x:c>
      <x:c r="C759" s="73" t="str">
        <x:v>Скорр. EBITDA</x:v>
      </x:c>
      <x:c r="D759" s="73" t="str">
        <x:v>Результат прочих инвестиций</x:v>
      </x:c>
      <x:c r="E759" s="74" t="n">
        <x:v>0</x:v>
      </x:c>
      <x:c r="F759" s="73" t="str">
        <x:v>VKCO_2026H1.pdf</x:v>
      </x:c>
      <x:c r="G759" s="73" t="n">
        <x:v>16</x:v>
      </x:c>
      <x:c r="H759" s="73" t="str">
        <x:v>Состав и сумма сверены с раскрытием компании</x:v>
      </x:c>
      <x:c r="I759" s="69"/>
      <x:c r="J759" s="69"/>
      <x:c r="K759" s="69"/>
    </x:row>
    <x:row r="760" ht="15" hidden="0" customHeight="1">
      <x:c r="A760" t="str">
        <x:v>VKCO</x:v>
      </x:c>
      <x:c r="B760" t="str">
        <x:v>1П2026</x:v>
      </x:c>
      <x:c r="C760" s="73" t="str">
        <x:v>Скорр. EBITDA</x:v>
      </x:c>
      <x:c r="D760" s="73" t="str">
        <x:v>Доля в прибыли инвестиций</x:v>
      </x:c>
      <x:c r="E760" s="74" t="n">
        <x:v>-726</x:v>
      </x:c>
      <x:c r="F760" s="73" t="str">
        <x:v>VKCO_2026H1.pdf</x:v>
      </x:c>
      <x:c r="G760" s="73" t="n">
        <x:v>16</x:v>
      </x:c>
      <x:c r="H760" s="73" t="str">
        <x:v>Состав и сумма сверены с раскрытием компании</x:v>
      </x:c>
      <x:c r="I760" s="69"/>
      <x:c r="J760" s="69"/>
      <x:c r="K760" s="69"/>
    </x:row>
    <x:row r="761" ht="15" hidden="0" customHeight="1">
      <x:c r="A761" t="str">
        <x:v>VKCO</x:v>
      </x:c>
      <x:c r="B761" t="str">
        <x:v>1П2026</x:v>
      </x:c>
      <x:c r="C761" s="73" t="str">
        <x:v>Скорр. EBITDA</x:v>
      </x:c>
      <x:c r="D761" s="73" t="str">
        <x:v>Прочие внеоперационные расходы</x:v>
      </x:c>
      <x:c r="E761" s="74" t="n">
        <x:v>176</x:v>
      </x:c>
      <x:c r="F761" s="73" t="str">
        <x:v>VKCO_2026H1.pdf</x:v>
      </x:c>
      <x:c r="G761" s="73" t="n">
        <x:v>16</x:v>
      </x:c>
      <x:c r="H761" s="73" t="str">
        <x:v>Состав и сумма сверены с раскрытием компании</x:v>
      </x:c>
      <x:c r="I761" s="69"/>
      <x:c r="J761" s="69"/>
      <x:c r="K761" s="69"/>
    </x:row>
    <x:row r="762" ht="15" hidden="0" customHeight="1">
      <x:c r="A762" t="str">
        <x:v>VKCO</x:v>
      </x:c>
      <x:c r="B762" t="str">
        <x:v>1П2026</x:v>
      </x:c>
      <x:c r="C762" s="73" t="str">
        <x:v>Скорр. EBITDA</x:v>
      </x:c>
      <x:c r="D762" s="73" t="str">
        <x:v>Переоценка финансовых активов</x:v>
      </x:c>
      <x:c r="E762" s="74" t="n">
        <x:v>-15</x:v>
      </x:c>
      <x:c r="F762" s="73" t="str">
        <x:v>VKCO_2026H1.pdf</x:v>
      </x:c>
      <x:c r="G762" s="73" t="n">
        <x:v>16</x:v>
      </x:c>
      <x:c r="H762" s="73" t="str">
        <x:v>Состав и сумма сверены с раскрытием компании</x:v>
      </x:c>
      <x:c r="I762" s="69"/>
      <x:c r="J762" s="69"/>
      <x:c r="K762" s="69"/>
    </x:row>
    <x:row r="763" ht="15" hidden="0" customHeight="1">
      <x:c r="A763" t="str">
        <x:v>VKCO</x:v>
      </x:c>
      <x:c r="B763" t="str">
        <x:v>1П2026</x:v>
      </x:c>
      <x:c r="C763" s="73" t="str">
        <x:v>Скорр. EBITDA</x:v>
      </x:c>
      <x:c r="D763" s="73" t="str">
        <x:v>Прибыль от продажи инвестиций</x:v>
      </x:c>
      <x:c r="E763" s="74" t="n">
        <x:v>-3528</x:v>
      </x:c>
      <x:c r="F763" s="73" t="str">
        <x:v>VKCO_2026H1.pdf</x:v>
      </x:c>
      <x:c r="G763" s="73" t="n">
        <x:v>16</x:v>
      </x:c>
      <x:c r="H763" s="73" t="str">
        <x:v>Состав и сумма сверены с раскрытием компании</x:v>
      </x:c>
      <x:c r="I763" s="69"/>
      <x:c r="J763" s="69"/>
      <x:c r="K763" s="69"/>
    </x:row>
    <x:row r="764" ht="15" hidden="0" customHeight="1">
      <x:c r="A764" t="str">
        <x:v>VKCO</x:v>
      </x:c>
      <x:c r="B764" t="str">
        <x:v>1П2026</x:v>
      </x:c>
      <x:c r="C764" s="73" t="str">
        <x:v>Скорр. EBITDA</x:v>
      </x:c>
      <x:c r="D764" s="73" t="str">
        <x:v>Обесценение инвестиций</x:v>
      </x:c>
      <x:c r="E764" s="74" t="n">
        <x:v>0</x:v>
      </x:c>
      <x:c r="F764" s="73" t="str">
        <x:v>VKCO_2026H1.pdf</x:v>
      </x:c>
      <x:c r="G764" s="73" t="n">
        <x:v>16</x:v>
      </x:c>
      <x:c r="H764" s="73" t="str">
        <x:v>Состав и сумма сверены с раскрытием компании</x:v>
      </x:c>
      <x:c r="I764" s="69"/>
      <x:c r="J764" s="69"/>
      <x:c r="K764" s="69"/>
    </x:row>
    <x:row r="765" ht="15" hidden="0" customHeight="1">
      <x:c r="A765" t="str">
        <x:v>VKCO</x:v>
      </x:c>
      <x:c r="B765" t="str">
        <x:v>1П2026</x:v>
      </x:c>
      <x:c r="C765" s="73" t="str">
        <x:v>Скорр. EBITDA</x:v>
      </x:c>
      <x:c r="D765" s="73" t="str">
        <x:v>Переоценка инструментов</x:v>
      </x:c>
      <x:c r="E765" s="74" t="n">
        <x:v>-138</x:v>
      </x:c>
      <x:c r="F765" s="73" t="str">
        <x:v>VKCO_2026H1.pdf</x:v>
      </x:c>
      <x:c r="G765" s="73" t="n">
        <x:v>16</x:v>
      </x:c>
      <x:c r="H765" s="73" t="str">
        <x:v>Состав и сумма сверены с раскрытием компании</x:v>
      </x:c>
      <x:c r="I765" s="69"/>
      <x:c r="J765" s="69"/>
      <x:c r="K765" s="69"/>
    </x:row>
    <x:row r="766" ht="15" hidden="0" customHeight="1">
      <x:c r="A766" t="str">
        <x:v>VKCO</x:v>
      </x:c>
      <x:c r="B766" t="str">
        <x:v>1П2026</x:v>
      </x:c>
      <x:c r="C766" s="73" t="str">
        <x:v>Скорр. EBITDA</x:v>
      </x:c>
      <x:c r="D766" s="73" t="str">
        <x:v>Восстановление кредитных резервов</x:v>
      </x:c>
      <x:c r="E766" s="74" t="n">
        <x:v>0</x:v>
      </x:c>
      <x:c r="F766" s="73" t="str">
        <x:v>VKCO_2026H1.pdf</x:v>
      </x:c>
      <x:c r="G766" s="73" t="n">
        <x:v>16</x:v>
      </x:c>
      <x:c r="H766" s="73" t="str">
        <x:v>Состав и сумма сверены с раскрытием компании</x:v>
      </x:c>
      <x:c r="I766" s="69"/>
      <x:c r="J766" s="69"/>
      <x:c r="K766" s="69"/>
    </x:row>
    <x:row r="767" ht="15" hidden="0" customHeight="1">
      <x:c r="A767" t="str">
        <x:v>VKCO</x:v>
      </x:c>
      <x:c r="B767" t="str">
        <x:v>1П2026</x:v>
      </x:c>
      <x:c r="C767" s="73" t="str">
        <x:v>Скорр. EBITDA</x:v>
      </x:c>
      <x:c r="D767" s="73" t="str">
        <x:v>Курсовые разницы</x:v>
      </x:c>
      <x:c r="E767" s="74" t="n">
        <x:v>-135</x:v>
      </x:c>
      <x:c r="F767" s="73" t="str">
        <x:v>VKCO_2026H1.pdf</x:v>
      </x:c>
      <x:c r="G767" s="73" t="n">
        <x:v>16</x:v>
      </x:c>
      <x:c r="H767" s="73" t="str">
        <x:v>Состав и сумма сверены с раскрытием компании</x:v>
      </x:c>
      <x:c r="I767" s="69"/>
      <x:c r="J767" s="69"/>
      <x:c r="K767" s="69"/>
    </x:row>
    <x:row r="768" ht="15" hidden="0" customHeight="1">
      <x:c r="A768" t="str">
        <x:v>VKCO</x:v>
      </x:c>
      <x:c r="B768" t="str">
        <x:v>1П2026</x:v>
      </x:c>
      <x:c r="C768" s="73" t="str">
        <x:v>Скорр. EBITDA</x:v>
      </x:c>
      <x:c r="D768" s="73" t="str">
        <x:v>Результат прекращенной деятельности</x:v>
      </x:c>
      <x:c r="E768" s="74" t="n">
        <x:v>-27</x:v>
      </x:c>
      <x:c r="F768" s="73" t="str">
        <x:v>VKCO_2026H1.pdf</x:v>
      </x:c>
      <x:c r="G768" s="73" t="n">
        <x:v>16</x:v>
      </x:c>
      <x:c r="H768" s="73" t="str">
        <x:v>Состав и сумма сверены с раскрытием компании</x:v>
      </x:c>
      <x:c r="I768" s="69"/>
      <x:c r="J768" s="69"/>
      <x:c r="K768" s="69"/>
    </x:row>
    <x:row r="769" ht="15" hidden="0" customHeight="1">
      <x:c r="A769" s="60" t="str">
        <x:v>VKCO</x:v>
      </x:c>
      <x:c r="B769" s="60" t="str">
        <x:v>1П2026</x:v>
      </x:c>
      <x:c r="C769" s="76" t="str">
        <x:v>Скорр. EBITDA</x:v>
      </x:c>
      <x:c r="D769" s="76" t="str">
        <x:v>ИТОГО — расчет</x:v>
      </x:c>
      <x:c r="E769" s="77" t="n">
        <x:f>SUM(E753:E768)</x:f>
        <x:v>14018</x:v>
      </x:c>
      <x:c r="F769" s="76" t="str">
        <x:v>VKCO_2026H1.pdf</x:v>
      </x:c>
      <x:c r="G769" s="76" t="n">
        <x:v>16</x:v>
      </x:c>
      <x:c r="H769" s="76"/>
      <x:c r="I769" s="71" t="n">
        <x:v>14018</x:v>
      </x:c>
      <x:c r="J769" s="71" t="n">
        <x:f>E769-I769</x:f>
        <x:v>0</x:v>
      </x:c>
      <x:c r="K769" s="71" t="n">
        <x:f>SUM(E753:E757)</x:f>
        <x:v>17439</x:v>
      </x:c>
    </x:row>
    <x:row r="770" ht="15" hidden="0" customHeight="1">
      <x:c r="C770" s="73"/>
      <x:c r="D770" s="73"/>
      <x:c r="E770" s="74"/>
      <x:c r="F770" s="73"/>
      <x:c r="G770" s="73"/>
      <x:c r="H770" s="73"/>
      <x:c r="I770" s="69"/>
      <x:c r="J770" s="69"/>
      <x:c r="K770" s="69"/>
    </x:row>
    <x:row r="771" ht="26.399999618530273" hidden="0" customHeight="1">
      <x:c r="A771" t="str">
        <x:v>IRAO</x:v>
      </x:c>
      <x:c r="B771" t="str">
        <x:v>2025</x:v>
      </x:c>
      <x:c r="C771" s="73" t="str">
        <x:v>EBITDA компании (скорректированная по составу)</x:v>
      </x:c>
      <x:c r="D771" s="73" t="str">
        <x:v>Чистая прибыль группы</x:v>
      </x:c>
      <x:c r="E771" s="74" t="n">
        <x:v>133834</x:v>
      </x:c>
      <x:c r="F771" s="73" t="str">
        <x:v>Интер-Рао_МСФО_2025.pdf</x:v>
      </x:c>
      <x:c r="G771" s="73" t="n">
        <x:v>40</x:v>
      </x:c>
      <x:c r="H771" s="73" t="str">
        <x:v>Состав и сумма сверены с раскрытием компании</x:v>
      </x:c>
      <x:c r="I771" s="69"/>
      <x:c r="J771" s="69"/>
      <x:c r="K771" s="69"/>
    </x:row>
    <x:row r="772" ht="26.399999618530273" hidden="0" customHeight="1">
      <x:c r="A772" t="str">
        <x:v>IRAO</x:v>
      </x:c>
      <x:c r="B772" t="str">
        <x:v>2025</x:v>
      </x:c>
      <x:c r="C772" s="73" t="str">
        <x:v>EBITDA компании (скорректированная по составу)</x:v>
      </x:c>
      <x:c r="D772" s="73" t="str">
        <x:v>Налог на прибыль</x:v>
      </x:c>
      <x:c r="E772" s="74" t="n">
        <x:v>50951</x:v>
      </x:c>
      <x:c r="F772" s="73" t="str">
        <x:v>Интер-Рао_МСФО_2025.pdf</x:v>
      </x:c>
      <x:c r="G772" s="73" t="n">
        <x:v>40</x:v>
      </x:c>
      <x:c r="H772" s="73" t="str">
        <x:v>Состав и сумма сверены с раскрытием компании</x:v>
      </x:c>
      <x:c r="I772" s="69"/>
      <x:c r="J772" s="69"/>
      <x:c r="K772" s="69"/>
    </x:row>
    <x:row r="773" ht="26.399999618530273" hidden="0" customHeight="1">
      <x:c r="A773" t="str">
        <x:v>IRAO</x:v>
      </x:c>
      <x:c r="B773" t="str">
        <x:v>2025</x:v>
      </x:c>
      <x:c r="C773" s="73" t="str">
        <x:v>EBITDA компании (скорректированная по составу)</x:v>
      </x:c>
      <x:c r="D773" s="73" t="str">
        <x:v>Амортизация</x:v>
      </x:c>
      <x:c r="E773" s="74" t="n">
        <x:v>39969</x:v>
      </x:c>
      <x:c r="F773" s="73" t="str">
        <x:v>Интер-Рао_МСФО_2025.pdf</x:v>
      </x:c>
      <x:c r="G773" s="73" t="n">
        <x:v>40</x:v>
      </x:c>
      <x:c r="H773" s="73" t="str">
        <x:v>Состав и сумма сверены с раскрытием компании</x:v>
      </x:c>
      <x:c r="I773" s="69"/>
      <x:c r="J773" s="69"/>
      <x:c r="K773" s="69"/>
    </x:row>
    <x:row r="774" ht="26.399999618530273" hidden="0" customHeight="1">
      <x:c r="A774" t="str">
        <x:v>IRAO</x:v>
      </x:c>
      <x:c r="B774" t="str">
        <x:v>2025</x:v>
      </x:c>
      <x:c r="C774" s="73" t="str">
        <x:v>EBITDA компании (скорректированная по составу)</x:v>
      </x:c>
      <x:c r="D774" s="73" t="str">
        <x:v>Процентные расходы</x:v>
      </x:c>
      <x:c r="E774" s="74" t="n">
        <x:v>3205</x:v>
      </x:c>
      <x:c r="F774" s="73" t="str">
        <x:v>Интер-Рао_МСФО_2025.pdf</x:v>
      </x:c>
      <x:c r="G774" s="73" t="n">
        <x:v>40</x:v>
      </x:c>
      <x:c r="H774" s="73" t="str">
        <x:v>Состав и сумма сверены с раскрытием компании</x:v>
      </x:c>
      <x:c r="I774" s="69"/>
      <x:c r="J774" s="69"/>
      <x:c r="K774" s="69"/>
    </x:row>
    <x:row r="775" ht="26.399999618530273" hidden="0" customHeight="1">
      <x:c r="A775" t="str">
        <x:v>IRAO</x:v>
      </x:c>
      <x:c r="B775" t="str">
        <x:v>2025</x:v>
      </x:c>
      <x:c r="C775" s="73" t="str">
        <x:v>EBITDA компании (скорректированная по составу)</x:v>
      </x:c>
      <x:c r="D775" s="73" t="str">
        <x:v>Проценты по аренде</x:v>
      </x:c>
      <x:c r="E775" s="74" t="n">
        <x:v>9030</x:v>
      </x:c>
      <x:c r="F775" s="73" t="str">
        <x:v>Интер-Рао_МСФО_2025.pdf</x:v>
      </x:c>
      <x:c r="G775" s="73" t="n">
        <x:v>40</x:v>
      </x:c>
      <x:c r="H775" s="73" t="str">
        <x:v>Состав и сумма сверены с раскрытием компании</x:v>
      </x:c>
      <x:c r="I775" s="69"/>
      <x:c r="J775" s="69"/>
      <x:c r="K775" s="69"/>
    </x:row>
    <x:row r="776" ht="26.399999618530273" hidden="0" customHeight="1">
      <x:c r="A776" t="str">
        <x:v>IRAO</x:v>
      </x:c>
      <x:c r="B776" t="str">
        <x:v>2025</x:v>
      </x:c>
      <x:c r="C776" s="73" t="str">
        <x:v>EBITDA компании (скорректированная по составу)</x:v>
      </x:c>
      <x:c r="D776" s="73" t="str">
        <x:v>Минус процентные доходы</x:v>
      </x:c>
      <x:c r="E776" s="74" t="n">
        <x:v>-85943</x:v>
      </x:c>
      <x:c r="F776" s="73" t="str">
        <x:v>Интер-Рао_МСФО_2025.pdf</x:v>
      </x:c>
      <x:c r="G776" s="73" t="n">
        <x:v>40</x:v>
      </x:c>
      <x:c r="H776" s="73" t="str">
        <x:v>Состав и сумма сверены с раскрытием компании</x:v>
      </x:c>
      <x:c r="I776" s="69"/>
      <x:c r="J776" s="69"/>
      <x:c r="K776" s="69"/>
    </x:row>
    <x:row r="777" ht="26.399999618530273" hidden="0" customHeight="1">
      <x:c r="A777" t="str">
        <x:v>IRAO</x:v>
      </x:c>
      <x:c r="B777" t="str">
        <x:v>2025</x:v>
      </x:c>
      <x:c r="C777" s="73" t="str">
        <x:v>EBITDA компании (скорректированная по составу)</x:v>
      </x:c>
      <x:c r="D777" s="73" t="str">
        <x:v>Курсовые убытки</x:v>
      </x:c>
      <x:c r="E777" s="74" t="n">
        <x:v>1474</x:v>
      </x:c>
      <x:c r="F777" s="73" t="str">
        <x:v>Интер-Рао_МСФО_2025.pdf</x:v>
      </x:c>
      <x:c r="G777" s="73" t="n">
        <x:v>40</x:v>
      </x:c>
      <x:c r="H777" s="73" t="str">
        <x:v>Состав и сумма сверены с раскрытием компании</x:v>
      </x:c>
      <x:c r="I777" s="69"/>
      <x:c r="J777" s="69"/>
      <x:c r="K777" s="69"/>
    </x:row>
    <x:row r="778" ht="26.399999618530273" hidden="0" customHeight="1">
      <x:c r="A778" t="str">
        <x:v>IRAO</x:v>
      </x:c>
      <x:c r="B778" t="str">
        <x:v>2025</x:v>
      </x:c>
      <x:c r="C778" s="73" t="str">
        <x:v>EBITDA компании (скорректированная по составу)</x:v>
      </x:c>
      <x:c r="D778" s="73" t="str">
        <x:v>Прочие финансовые расходы / доходы</x:v>
      </x:c>
      <x:c r="E778" s="74" t="n">
        <x:v>195</x:v>
      </x:c>
      <x:c r="F778" s="73" t="str">
        <x:v>Интер-Рао_МСФО_2025.pdf</x:v>
      </x:c>
      <x:c r="G778" s="73" t="n">
        <x:v>40</x:v>
      </x:c>
      <x:c r="H778" s="73" t="str">
        <x:v>Состав и сумма сверены с раскрытием компании</x:v>
      </x:c>
      <x:c r="I778" s="69"/>
      <x:c r="J778" s="69"/>
      <x:c r="K778" s="69"/>
    </x:row>
    <x:row r="779" ht="26.399999618530273" hidden="0" customHeight="1">
      <x:c r="A779" t="str">
        <x:v>IRAO</x:v>
      </x:c>
      <x:c r="B779" t="str">
        <x:v>2025</x:v>
      </x:c>
      <x:c r="C779" s="73" t="str">
        <x:v>EBITDA компании (скорректированная по составу)</x:v>
      </x:c>
      <x:c r="D779" s="73" t="str">
        <x:v>Резервы</x:v>
      </x:c>
      <x:c r="E779" s="74" t="n">
        <x:v>24985</x:v>
      </x:c>
      <x:c r="F779" s="73" t="str">
        <x:v>Интер-Рао_МСФО_2025.pdf</x:v>
      </x:c>
      <x:c r="G779" s="73" t="n">
        <x:v>40</x:v>
      </x:c>
      <x:c r="H779" s="73" t="str">
        <x:v>Состав и сумма сверены с раскрытием компании</x:v>
      </x:c>
      <x:c r="I779" s="69"/>
      <x:c r="J779" s="69"/>
      <x:c r="K779" s="69"/>
    </x:row>
    <x:row r="780" ht="26.399999618530273" hidden="0" customHeight="1">
      <x:c r="A780" t="str">
        <x:v>IRAO</x:v>
      </x:c>
      <x:c r="B780" t="str">
        <x:v>2025</x:v>
      </x:c>
      <x:c r="C780" s="73" t="str">
        <x:v>EBITDA компании (скорректированная по составу)</x:v>
      </x:c>
      <x:c r="D780" s="73" t="str">
        <x:v>Убыток от продажи дочерних компаний</x:v>
      </x:c>
      <x:c r="E780" s="74" t="n">
        <x:v>370</x:v>
      </x:c>
      <x:c r="F780" s="73" t="str">
        <x:v>Интер-Рао_МСФО_2025.pdf</x:v>
      </x:c>
      <x:c r="G780" s="73" t="n">
        <x:v>40</x:v>
      </x:c>
      <x:c r="H780" s="73" t="str">
        <x:v>Состав и сумма сверены с раскрытием компании</x:v>
      </x:c>
      <x:c r="I780" s="69"/>
      <x:c r="J780" s="69"/>
      <x:c r="K780" s="69"/>
    </x:row>
    <x:row r="781" ht="26.399999618530273" hidden="0" customHeight="1">
      <x:c r="A781" t="str">
        <x:v>IRAO</x:v>
      </x:c>
      <x:c r="B781" t="str">
        <x:v>2025</x:v>
      </x:c>
      <x:c r="C781" s="73" t="str">
        <x:v>EBITDA компании (скорректированная по составу)</x:v>
      </x:c>
      <x:c r="D781" s="73" t="str">
        <x:v>Прочие расходы</x:v>
      </x:c>
      <x:c r="E781" s="74" t="n">
        <x:v>3838</x:v>
      </x:c>
      <x:c r="F781" s="73" t="str">
        <x:v>Интер-Рао_МСФО_2025.pdf</x:v>
      </x:c>
      <x:c r="G781" s="73" t="n">
        <x:v>40</x:v>
      </x:c>
      <x:c r="H781" s="73" t="str">
        <x:v>Состав и сумма сверены с раскрытием компании</x:v>
      </x:c>
      <x:c r="I781" s="69"/>
      <x:c r="J781" s="69"/>
      <x:c r="K781" s="69"/>
    </x:row>
    <x:row r="782" ht="26.399999618530273" hidden="0" customHeight="1">
      <x:c r="A782" t="str">
        <x:v>IRAO</x:v>
      </x:c>
      <x:c r="B782" t="str">
        <x:v>2025</x:v>
      </x:c>
      <x:c r="C782" s="73" t="str">
        <x:v>EBITDA компании (скорректированная по составу)</x:v>
      </x:c>
      <x:c r="D782" s="73" t="str">
        <x:v>Минус прибыль ассоциированных компаний</x:v>
      </x:c>
      <x:c r="E782" s="74" t="n">
        <x:v>-364</x:v>
      </x:c>
      <x:c r="F782" s="73" t="str">
        <x:v>Интер-Рао_МСФО_2025.pdf</x:v>
      </x:c>
      <x:c r="G782" s="73" t="n">
        <x:v>40</x:v>
      </x:c>
      <x:c r="H782" s="73" t="str">
        <x:v>Состав и сумма сверены с раскрытием компании</x:v>
      </x:c>
      <x:c r="I782" s="69"/>
      <x:c r="J782" s="69"/>
      <x:c r="K782" s="69"/>
    </x:row>
    <x:row r="783" ht="26.399999618530273" hidden="0" customHeight="1">
      <x:c r="A783" t="str">
        <x:v>IRAO</x:v>
      </x:c>
      <x:c r="B783" t="str">
        <x:v>2025</x:v>
      </x:c>
      <x:c r="C783" s="73" t="str">
        <x:v>EBITDA компании (скорректированная по составу)</x:v>
      </x:c>
      <x:c r="D783" s="73" t="str">
        <x:v>Доход от выгодной покупки</x:v>
      </x:c>
      <x:c r="E783" s="74" t="n">
        <x:v>0</x:v>
      </x:c>
      <x:c r="F783" s="73" t="str">
        <x:v>Интер-Рао_МСФО_2025.pdf</x:v>
      </x:c>
      <x:c r="G783" s="73" t="n">
        <x:v>40</x:v>
      </x:c>
      <x:c r="H783" s="73" t="str">
        <x:v>Состав и сумма сверены с раскрытием компании</x:v>
      </x:c>
      <x:c r="I783" s="69"/>
      <x:c r="J783" s="69"/>
      <x:c r="K783" s="69"/>
    </x:row>
    <x:row r="784" ht="26.399999618530273" hidden="0" customHeight="1">
      <x:c r="A784" s="60" t="str">
        <x:v>IRAO</x:v>
      </x:c>
      <x:c r="B784" s="60" t="str">
        <x:v>2025</x:v>
      </x:c>
      <x:c r="C784" s="76" t="str">
        <x:v>EBITDA компании (скорректированная по составу)</x:v>
      </x:c>
      <x:c r="D784" s="76" t="str">
        <x:v>ИТОГО — расчет</x:v>
      </x:c>
      <x:c r="E784" s="77" t="n">
        <x:f>SUM(E771:E783)</x:f>
        <x:v>181544</x:v>
      </x:c>
      <x:c r="F784" s="76" t="str">
        <x:v>Интер-Рао_МСФО_2025.pdf</x:v>
      </x:c>
      <x:c r="G784" s="76" t="n">
        <x:v>40</x:v>
      </x:c>
      <x:c r="H784" s="76"/>
      <x:c r="I784" s="71" t="n">
        <x:v>181544</x:v>
      </x:c>
      <x:c r="J784" s="71" t="n">
        <x:f>E784-I784</x:f>
        <x:v>0</x:v>
      </x:c>
      <x:c r="K784" s="71" t="n">
        <x:f>SUM(E771:E776)</x:f>
        <x:v>151046</x:v>
      </x:c>
    </x:row>
    <x:row r="785" ht="15" hidden="0" customHeight="1">
      <x:c r="C785" s="73"/>
      <x:c r="D785" s="73"/>
      <x:c r="E785" s="74"/>
      <x:c r="F785" s="73"/>
      <x:c r="G785" s="73"/>
      <x:c r="H785" s="73"/>
      <x:c r="I785" s="69"/>
      <x:c r="J785" s="69"/>
      <x:c r="K785" s="69"/>
    </x:row>
    <x:row r="786" ht="26.399999618530273" hidden="0" customHeight="1">
      <x:c r="A786" t="str">
        <x:v>IRAO</x:v>
      </x:c>
      <x:c r="B786" t="str">
        <x:v>1П2025</x:v>
      </x:c>
      <x:c r="C786" s="73" t="str">
        <x:v>EBITDA компании (скорректированная по составу)</x:v>
      </x:c>
      <x:c r="D786" s="73" t="str">
        <x:v>Чистая прибыль группы</x:v>
      </x:c>
      <x:c r="E786" s="74" t="n">
        <x:v>82940</x:v>
      </x:c>
      <x:c r="F786" s="73" t="str">
        <x:v>IRAO_2026H1.pdf</x:v>
      </x:c>
      <x:c r="G786" s="73" t="n">
        <x:v>20</x:v>
      </x:c>
      <x:c r="H786" s="73" t="str">
        <x:v>Состав и сумма сверены с раскрытием компании</x:v>
      </x:c>
      <x:c r="I786" s="69"/>
      <x:c r="J786" s="69"/>
      <x:c r="K786" s="69"/>
    </x:row>
    <x:row r="787" ht="26.399999618530273" hidden="0" customHeight="1">
      <x:c r="A787" t="str">
        <x:v>IRAO</x:v>
      </x:c>
      <x:c r="B787" t="str">
        <x:v>1П2025</x:v>
      </x:c>
      <x:c r="C787" s="73" t="str">
        <x:v>EBITDA компании (скорректированная по составу)</x:v>
      </x:c>
      <x:c r="D787" s="73" t="str">
        <x:v>Налог на прибыль</x:v>
      </x:c>
      <x:c r="E787" s="74" t="n">
        <x:v>28876</x:v>
      </x:c>
      <x:c r="F787" s="73" t="str">
        <x:v>IRAO_2026H1.pdf</x:v>
      </x:c>
      <x:c r="G787" s="73" t="n">
        <x:v>20</x:v>
      </x:c>
      <x:c r="H787" s="73" t="str">
        <x:v>Состав и сумма сверены с раскрытием компании</x:v>
      </x:c>
      <x:c r="I787" s="69"/>
      <x:c r="J787" s="69"/>
      <x:c r="K787" s="69"/>
    </x:row>
    <x:row r="788" ht="26.399999618530273" hidden="0" customHeight="1">
      <x:c r="A788" t="str">
        <x:v>IRAO</x:v>
      </x:c>
      <x:c r="B788" t="str">
        <x:v>1П2025</x:v>
      </x:c>
      <x:c r="C788" s="73" t="str">
        <x:v>EBITDA компании (скорректированная по составу)</x:v>
      </x:c>
      <x:c r="D788" s="73" t="str">
        <x:v>Амортизация</x:v>
      </x:c>
      <x:c r="E788" s="74" t="n">
        <x:v>19025</x:v>
      </x:c>
      <x:c r="F788" s="73" t="str">
        <x:v>IRAO_2026H1.pdf</x:v>
      </x:c>
      <x:c r="G788" s="73" t="n">
        <x:v>20</x:v>
      </x:c>
      <x:c r="H788" s="73" t="str">
        <x:v>Состав и сумма сверены с раскрытием компании</x:v>
      </x:c>
      <x:c r="I788" s="69"/>
      <x:c r="J788" s="69"/>
      <x:c r="K788" s="69"/>
    </x:row>
    <x:row r="789" ht="26.399999618530273" hidden="0" customHeight="1">
      <x:c r="A789" t="str">
        <x:v>IRAO</x:v>
      </x:c>
      <x:c r="B789" t="str">
        <x:v>1П2025</x:v>
      </x:c>
      <x:c r="C789" s="73" t="str">
        <x:v>EBITDA компании (скорректированная по составу)</x:v>
      </x:c>
      <x:c r="D789" s="73" t="str">
        <x:v>Процентные расходы</x:v>
      </x:c>
      <x:c r="E789" s="74" t="n">
        <x:v>1255</x:v>
      </x:c>
      <x:c r="F789" s="73" t="str">
        <x:v>IRAO_2026H1.pdf</x:v>
      </x:c>
      <x:c r="G789" s="73" t="n">
        <x:v>20</x:v>
      </x:c>
      <x:c r="H789" s="73" t="str">
        <x:v>Состав и сумма сверены с раскрытием компании</x:v>
      </x:c>
      <x:c r="I789" s="69"/>
      <x:c r="J789" s="69"/>
      <x:c r="K789" s="69"/>
    </x:row>
    <x:row r="790" ht="26.399999618530273" hidden="0" customHeight="1">
      <x:c r="A790" t="str">
        <x:v>IRAO</x:v>
      </x:c>
      <x:c r="B790" t="str">
        <x:v>1П2025</x:v>
      </x:c>
      <x:c r="C790" s="73" t="str">
        <x:v>EBITDA компании (скорректированная по составу)</x:v>
      </x:c>
      <x:c r="D790" s="73" t="str">
        <x:v>Проценты по аренде</x:v>
      </x:c>
      <x:c r="E790" s="74" t="n">
        <x:v>4597</x:v>
      </x:c>
      <x:c r="F790" s="73" t="str">
        <x:v>IRAO_2026H1.pdf</x:v>
      </x:c>
      <x:c r="G790" s="73" t="n">
        <x:v>20</x:v>
      </x:c>
      <x:c r="H790" s="73" t="str">
        <x:v>Состав и сумма сверены с раскрытием компании</x:v>
      </x:c>
      <x:c r="I790" s="69"/>
      <x:c r="J790" s="69"/>
      <x:c r="K790" s="69"/>
    </x:row>
    <x:row r="791" ht="26.399999618530273" hidden="0" customHeight="1">
      <x:c r="A791" t="str">
        <x:v>IRAO</x:v>
      </x:c>
      <x:c r="B791" t="str">
        <x:v>1П2025</x:v>
      </x:c>
      <x:c r="C791" s="73" t="str">
        <x:v>EBITDA компании (скорректированная по составу)</x:v>
      </x:c>
      <x:c r="D791" s="73" t="str">
        <x:v>Минус процентные доходы</x:v>
      </x:c>
      <x:c r="E791" s="74" t="n">
        <x:v>-47637</x:v>
      </x:c>
      <x:c r="F791" s="73" t="str">
        <x:v>IRAO_2026H1.pdf</x:v>
      </x:c>
      <x:c r="G791" s="73" t="n">
        <x:v>20</x:v>
      </x:c>
      <x:c r="H791" s="73" t="str">
        <x:v>Состав и сумма сверены с раскрытием компании</x:v>
      </x:c>
      <x:c r="I791" s="69"/>
      <x:c r="J791" s="69"/>
      <x:c r="K791" s="69"/>
    </x:row>
    <x:row r="792" ht="26.399999618530273" hidden="0" customHeight="1">
      <x:c r="A792" t="str">
        <x:v>IRAO</x:v>
      </x:c>
      <x:c r="B792" t="str">
        <x:v>1П2025</x:v>
      </x:c>
      <x:c r="C792" s="73" t="str">
        <x:v>EBITDA компании (скорректированная по составу)</x:v>
      </x:c>
      <x:c r="D792" s="73" t="str">
        <x:v>Курсовые убытки</x:v>
      </x:c>
      <x:c r="E792" s="74" t="n">
        <x:v>1379</x:v>
      </x:c>
      <x:c r="F792" s="73" t="str">
        <x:v>IRAO_2026H1.pdf</x:v>
      </x:c>
      <x:c r="G792" s="73" t="n">
        <x:v>20</x:v>
      </x:c>
      <x:c r="H792" s="73" t="str">
        <x:v>Состав и сумма сверены с раскрытием компании</x:v>
      </x:c>
      <x:c r="I792" s="69"/>
      <x:c r="J792" s="69"/>
      <x:c r="K792" s="69"/>
    </x:row>
    <x:row r="793" ht="26.399999618530273" hidden="0" customHeight="1">
      <x:c r="A793" t="str">
        <x:v>IRAO</x:v>
      </x:c>
      <x:c r="B793" t="str">
        <x:v>1П2025</x:v>
      </x:c>
      <x:c r="C793" s="73" t="str">
        <x:v>EBITDA компании (скорректированная по составу)</x:v>
      </x:c>
      <x:c r="D793" s="73" t="str">
        <x:v>Прочие финансовые расходы / доходы</x:v>
      </x:c>
      <x:c r="E793" s="74" t="n">
        <x:v>-88</x:v>
      </x:c>
      <x:c r="F793" s="73" t="str">
        <x:v>IRAO_2026H1.pdf</x:v>
      </x:c>
      <x:c r="G793" s="73" t="n">
        <x:v>20</x:v>
      </x:c>
      <x:c r="H793" s="73" t="str">
        <x:v>Состав и сумма сверены с раскрытием компании</x:v>
      </x:c>
      <x:c r="I793" s="69"/>
      <x:c r="J793" s="69"/>
      <x:c r="K793" s="69"/>
    </x:row>
    <x:row r="794" ht="26.399999618530273" hidden="0" customHeight="1">
      <x:c r="A794" t="str">
        <x:v>IRAO</x:v>
      </x:c>
      <x:c r="B794" t="str">
        <x:v>1П2025</x:v>
      </x:c>
      <x:c r="C794" s="73" t="str">
        <x:v>EBITDA компании (скорректированная по составу)</x:v>
      </x:c>
      <x:c r="D794" s="73" t="str">
        <x:v>Резервы</x:v>
      </x:c>
      <x:c r="E794" s="74" t="n">
        <x:v>1394</x:v>
      </x:c>
      <x:c r="F794" s="73" t="str">
        <x:v>IRAO_2026H1.pdf</x:v>
      </x:c>
      <x:c r="G794" s="73" t="n">
        <x:v>20</x:v>
      </x:c>
      <x:c r="H794" s="73" t="str">
        <x:v>Состав и сумма сверены с раскрытием компании</x:v>
      </x:c>
      <x:c r="I794" s="69"/>
      <x:c r="J794" s="69"/>
      <x:c r="K794" s="69"/>
    </x:row>
    <x:row r="795" ht="26.399999618530273" hidden="0" customHeight="1">
      <x:c r="A795" t="str">
        <x:v>IRAO</x:v>
      </x:c>
      <x:c r="B795" t="str">
        <x:v>1П2025</x:v>
      </x:c>
      <x:c r="C795" s="73" t="str">
        <x:v>EBITDA компании (скорректированная по составу)</x:v>
      </x:c>
      <x:c r="D795" s="73" t="str">
        <x:v>Убыток от продажи дочерних компаний</x:v>
      </x:c>
      <x:c r="E795" s="74" t="n">
        <x:v>0</x:v>
      </x:c>
      <x:c r="F795" s="73" t="str">
        <x:v>IRAO_2026H1.pdf</x:v>
      </x:c>
      <x:c r="G795" s="73" t="n">
        <x:v>20</x:v>
      </x:c>
      <x:c r="H795" s="73" t="str">
        <x:v>Состав и сумма сверены с раскрытием компании</x:v>
      </x:c>
      <x:c r="I795" s="69"/>
      <x:c r="J795" s="69"/>
      <x:c r="K795" s="69"/>
    </x:row>
    <x:row r="796" ht="26.399999618530273" hidden="0" customHeight="1">
      <x:c r="A796" t="str">
        <x:v>IRAO</x:v>
      </x:c>
      <x:c r="B796" t="str">
        <x:v>1П2025</x:v>
      </x:c>
      <x:c r="C796" s="73" t="str">
        <x:v>EBITDA компании (скорректированная по составу)</x:v>
      </x:c>
      <x:c r="D796" s="73" t="str">
        <x:v>Прочие расходы</x:v>
      </x:c>
      <x:c r="E796" s="74" t="n">
        <x:v>1616</x:v>
      </x:c>
      <x:c r="F796" s="73" t="str">
        <x:v>IRAO_2026H1.pdf</x:v>
      </x:c>
      <x:c r="G796" s="73" t="n">
        <x:v>20</x:v>
      </x:c>
      <x:c r="H796" s="73" t="str">
        <x:v>Состав и сумма сверены с раскрытием компании</x:v>
      </x:c>
      <x:c r="I796" s="69"/>
      <x:c r="J796" s="69"/>
      <x:c r="K796" s="69"/>
    </x:row>
    <x:row r="797" ht="26.399999618530273" hidden="0" customHeight="1">
      <x:c r="A797" t="str">
        <x:v>IRAO</x:v>
      </x:c>
      <x:c r="B797" t="str">
        <x:v>1П2025</x:v>
      </x:c>
      <x:c r="C797" s="73" t="str">
        <x:v>EBITDA компании (скорректированная по составу)</x:v>
      </x:c>
      <x:c r="D797" s="73" t="str">
        <x:v>Минус прибыль ассоциированных компаний</x:v>
      </x:c>
      <x:c r="E797" s="74" t="n">
        <x:v>-107</x:v>
      </x:c>
      <x:c r="F797" s="73" t="str">
        <x:v>IRAO_2026H1.pdf</x:v>
      </x:c>
      <x:c r="G797" s="73" t="n">
        <x:v>20</x:v>
      </x:c>
      <x:c r="H797" s="73" t="str">
        <x:v>Состав и сумма сверены с раскрытием компании</x:v>
      </x:c>
      <x:c r="I797" s="69"/>
      <x:c r="J797" s="69"/>
      <x:c r="K797" s="69"/>
    </x:row>
    <x:row r="798" ht="26.399999618530273" hidden="0" customHeight="1">
      <x:c r="A798" t="str">
        <x:v>IRAO</x:v>
      </x:c>
      <x:c r="B798" t="str">
        <x:v>1П2025</x:v>
      </x:c>
      <x:c r="C798" s="73" t="str">
        <x:v>EBITDA компании (скорректированная по составу)</x:v>
      </x:c>
      <x:c r="D798" s="73" t="str">
        <x:v>Доход от выгодной покупки</x:v>
      </x:c>
      <x:c r="E798" s="74" t="n">
        <x:v>0</x:v>
      </x:c>
      <x:c r="F798" s="73" t="str">
        <x:v>IRAO_2026H1.pdf</x:v>
      </x:c>
      <x:c r="G798" s="73" t="n">
        <x:v>20</x:v>
      </x:c>
      <x:c r="H798" s="73" t="str">
        <x:v>Состав и сумма сверены с раскрытием компании</x:v>
      </x:c>
      <x:c r="I798" s="69"/>
      <x:c r="J798" s="69"/>
      <x:c r="K798" s="69"/>
    </x:row>
    <x:row r="799" ht="26.399999618530273" hidden="0" customHeight="1">
      <x:c r="A799" s="60" t="str">
        <x:v>IRAO</x:v>
      </x:c>
      <x:c r="B799" s="60" t="str">
        <x:v>1П2025</x:v>
      </x:c>
      <x:c r="C799" s="76" t="str">
        <x:v>EBITDA компании (скорректированная по составу)</x:v>
      </x:c>
      <x:c r="D799" s="76" t="str">
        <x:v>ИТОГО — расчет</x:v>
      </x:c>
      <x:c r="E799" s="77" t="n">
        <x:f>SUM(E786:E798)</x:f>
        <x:v>93250</x:v>
      </x:c>
      <x:c r="F799" s="76" t="str">
        <x:v>IRAO_2026H1.pdf</x:v>
      </x:c>
      <x:c r="G799" s="76" t="n">
        <x:v>20</x:v>
      </x:c>
      <x:c r="H799" s="76"/>
      <x:c r="I799" s="71" t="n">
        <x:v>93250</x:v>
      </x:c>
      <x:c r="J799" s="71" t="n">
        <x:f>E799-I799</x:f>
        <x:v>0</x:v>
      </x:c>
      <x:c r="K799" s="71" t="n">
        <x:f>SUM(E786:E791)</x:f>
        <x:v>89056</x:v>
      </x:c>
    </x:row>
    <x:row r="800" ht="15" hidden="0" customHeight="1">
      <x:c r="C800" s="73"/>
      <x:c r="D800" s="73"/>
      <x:c r="E800" s="74"/>
      <x:c r="F800" s="73"/>
      <x:c r="G800" s="73"/>
      <x:c r="H800" s="73"/>
      <x:c r="I800" s="69"/>
      <x:c r="J800" s="69"/>
      <x:c r="K800" s="69"/>
    </x:row>
    <x:row r="801" ht="26.399999618530273" hidden="0" customHeight="1">
      <x:c r="A801" t="str">
        <x:v>IRAO</x:v>
      </x:c>
      <x:c r="B801" t="str">
        <x:v>1П2026</x:v>
      </x:c>
      <x:c r="C801" s="73" t="str">
        <x:v>EBITDA компании (скорректированная по составу)</x:v>
      </x:c>
      <x:c r="D801" s="73" t="str">
        <x:v>Чистая прибыль группы</x:v>
      </x:c>
      <x:c r="E801" s="74" t="n">
        <x:v>68685</x:v>
      </x:c>
      <x:c r="F801" s="73" t="str">
        <x:v>IRAO_2026H1.pdf</x:v>
      </x:c>
      <x:c r="G801" s="73" t="n">
        <x:v>20</x:v>
      </x:c>
      <x:c r="H801" s="73" t="str">
        <x:v>Состав и сумма сверены с раскрытием компании</x:v>
      </x:c>
      <x:c r="I801" s="69"/>
      <x:c r="J801" s="69"/>
      <x:c r="K801" s="69"/>
    </x:row>
    <x:row r="802" ht="26.399999618530273" hidden="0" customHeight="1">
      <x:c r="A802" t="str">
        <x:v>IRAO</x:v>
      </x:c>
      <x:c r="B802" t="str">
        <x:v>1П2026</x:v>
      </x:c>
      <x:c r="C802" s="73" t="str">
        <x:v>EBITDA компании (скорректированная по составу)</x:v>
      </x:c>
      <x:c r="D802" s="73" t="str">
        <x:v>Налог на прибыль</x:v>
      </x:c>
      <x:c r="E802" s="74" t="n">
        <x:v>20490</x:v>
      </x:c>
      <x:c r="F802" s="73" t="str">
        <x:v>IRAO_2026H1.pdf</x:v>
      </x:c>
      <x:c r="G802" s="73" t="n">
        <x:v>20</x:v>
      </x:c>
      <x:c r="H802" s="73" t="str">
        <x:v>Состав и сумма сверены с раскрытием компании</x:v>
      </x:c>
      <x:c r="I802" s="69"/>
      <x:c r="J802" s="69"/>
      <x:c r="K802" s="69"/>
    </x:row>
    <x:row r="803" ht="26.399999618530273" hidden="0" customHeight="1">
      <x:c r="A803" t="str">
        <x:v>IRAO</x:v>
      </x:c>
      <x:c r="B803" t="str">
        <x:v>1П2026</x:v>
      </x:c>
      <x:c r="C803" s="73" t="str">
        <x:v>EBITDA компании (скорректированная по составу)</x:v>
      </x:c>
      <x:c r="D803" s="73" t="str">
        <x:v>Амортизация</x:v>
      </x:c>
      <x:c r="E803" s="74" t="n">
        <x:v>21610</x:v>
      </x:c>
      <x:c r="F803" s="73" t="str">
        <x:v>IRAO_2026H1.pdf</x:v>
      </x:c>
      <x:c r="G803" s="73" t="n">
        <x:v>20</x:v>
      </x:c>
      <x:c r="H803" s="73" t="str">
        <x:v>Состав и сумма сверены с раскрытием компании</x:v>
      </x:c>
      <x:c r="I803" s="69"/>
      <x:c r="J803" s="69"/>
      <x:c r="K803" s="69"/>
    </x:row>
    <x:row r="804" ht="26.399999618530273" hidden="0" customHeight="1">
      <x:c r="A804" t="str">
        <x:v>IRAO</x:v>
      </x:c>
      <x:c r="B804" t="str">
        <x:v>1П2026</x:v>
      </x:c>
      <x:c r="C804" s="73" t="str">
        <x:v>EBITDA компании (скорректированная по составу)</x:v>
      </x:c>
      <x:c r="D804" s="73" t="str">
        <x:v>Процентные расходы</x:v>
      </x:c>
      <x:c r="E804" s="74" t="n">
        <x:v>483</x:v>
      </x:c>
      <x:c r="F804" s="73" t="str">
        <x:v>IRAO_2026H1.pdf</x:v>
      </x:c>
      <x:c r="G804" s="73" t="n">
        <x:v>20</x:v>
      </x:c>
      <x:c r="H804" s="73" t="str">
        <x:v>Состав и сумма сверены с раскрытием компании</x:v>
      </x:c>
      <x:c r="I804" s="69"/>
      <x:c r="J804" s="69"/>
      <x:c r="K804" s="69"/>
    </x:row>
    <x:row r="805" ht="26.399999618530273" hidden="0" customHeight="1">
      <x:c r="A805" t="str">
        <x:v>IRAO</x:v>
      </x:c>
      <x:c r="B805" t="str">
        <x:v>1П2026</x:v>
      </x:c>
      <x:c r="C805" s="73" t="str">
        <x:v>EBITDA компании (скорректированная по составу)</x:v>
      </x:c>
      <x:c r="D805" s="73" t="str">
        <x:v>Проценты по аренде</x:v>
      </x:c>
      <x:c r="E805" s="74" t="n">
        <x:v>4169</x:v>
      </x:c>
      <x:c r="F805" s="73" t="str">
        <x:v>IRAO_2026H1.pdf</x:v>
      </x:c>
      <x:c r="G805" s="73" t="n">
        <x:v>20</x:v>
      </x:c>
      <x:c r="H805" s="73" t="str">
        <x:v>Состав и сумма сверены с раскрытием компании</x:v>
      </x:c>
      <x:c r="I805" s="69"/>
      <x:c r="J805" s="69"/>
      <x:c r="K805" s="69"/>
    </x:row>
    <x:row r="806" ht="26.399999618530273" hidden="0" customHeight="1">
      <x:c r="A806" t="str">
        <x:v>IRAO</x:v>
      </x:c>
      <x:c r="B806" t="str">
        <x:v>1П2026</x:v>
      </x:c>
      <x:c r="C806" s="73" t="str">
        <x:v>EBITDA компании (скорректированная по составу)</x:v>
      </x:c>
      <x:c r="D806" s="73" t="str">
        <x:v>Минус процентные доходы</x:v>
      </x:c>
      <x:c r="E806" s="74" t="n">
        <x:v>-29768</x:v>
      </x:c>
      <x:c r="F806" s="73" t="str">
        <x:v>IRAO_2026H1.pdf</x:v>
      </x:c>
      <x:c r="G806" s="73" t="n">
        <x:v>20</x:v>
      </x:c>
      <x:c r="H806" s="73" t="str">
        <x:v>Состав и сумма сверены с раскрытием компании</x:v>
      </x:c>
      <x:c r="I806" s="69"/>
      <x:c r="J806" s="69"/>
      <x:c r="K806" s="69"/>
    </x:row>
    <x:row r="807" ht="26.399999618530273" hidden="0" customHeight="1">
      <x:c r="A807" t="str">
        <x:v>IRAO</x:v>
      </x:c>
      <x:c r="B807" t="str">
        <x:v>1П2026</x:v>
      </x:c>
      <x:c r="C807" s="73" t="str">
        <x:v>EBITDA компании (скорректированная по составу)</x:v>
      </x:c>
      <x:c r="D807" s="73" t="str">
        <x:v>Курсовые убытки</x:v>
      </x:c>
      <x:c r="E807" s="74" t="n">
        <x:v>144</x:v>
      </x:c>
      <x:c r="F807" s="73" t="str">
        <x:v>IRAO_2026H1.pdf</x:v>
      </x:c>
      <x:c r="G807" s="73" t="n">
        <x:v>20</x:v>
      </x:c>
      <x:c r="H807" s="73" t="str">
        <x:v>Состав и сумма сверены с раскрытием компании</x:v>
      </x:c>
      <x:c r="I807" s="69"/>
      <x:c r="J807" s="69"/>
      <x:c r="K807" s="69"/>
    </x:row>
    <x:row r="808" ht="26.399999618530273" hidden="0" customHeight="1">
      <x:c r="A808" t="str">
        <x:v>IRAO</x:v>
      </x:c>
      <x:c r="B808" t="str">
        <x:v>1П2026</x:v>
      </x:c>
      <x:c r="C808" s="73" t="str">
        <x:v>EBITDA компании (скорректированная по составу)</x:v>
      </x:c>
      <x:c r="D808" s="73" t="str">
        <x:v>Прочие финансовые расходы / доходы</x:v>
      </x:c>
      <x:c r="E808" s="74" t="n">
        <x:v>-223</x:v>
      </x:c>
      <x:c r="F808" s="73" t="str">
        <x:v>IRAO_2026H1.pdf</x:v>
      </x:c>
      <x:c r="G808" s="73" t="n">
        <x:v>20</x:v>
      </x:c>
      <x:c r="H808" s="73" t="str">
        <x:v>Состав и сумма сверены с раскрытием компании</x:v>
      </x:c>
      <x:c r="I808" s="69"/>
      <x:c r="J808" s="69"/>
      <x:c r="K808" s="69"/>
    </x:row>
    <x:row r="809" ht="26.399999618530273" hidden="0" customHeight="1">
      <x:c r="A809" t="str">
        <x:v>IRAO</x:v>
      </x:c>
      <x:c r="B809" t="str">
        <x:v>1П2026</x:v>
      </x:c>
      <x:c r="C809" s="73" t="str">
        <x:v>EBITDA компании (скорректированная по составу)</x:v>
      </x:c>
      <x:c r="D809" s="73" t="str">
        <x:v>Резервы</x:v>
      </x:c>
      <x:c r="E809" s="74" t="n">
        <x:v>2240</x:v>
      </x:c>
      <x:c r="F809" s="73" t="str">
        <x:v>IRAO_2026H1.pdf</x:v>
      </x:c>
      <x:c r="G809" s="73" t="n">
        <x:v>20</x:v>
      </x:c>
      <x:c r="H809" s="73" t="str">
        <x:v>Состав и сумма сверены с раскрытием компании</x:v>
      </x:c>
      <x:c r="I809" s="69"/>
      <x:c r="J809" s="69"/>
      <x:c r="K809" s="69"/>
    </x:row>
    <x:row r="810" ht="26.399999618530273" hidden="0" customHeight="1">
      <x:c r="A810" t="str">
        <x:v>IRAO</x:v>
      </x:c>
      <x:c r="B810" t="str">
        <x:v>1П2026</x:v>
      </x:c>
      <x:c r="C810" s="73" t="str">
        <x:v>EBITDA компании (скорректированная по составу)</x:v>
      </x:c>
      <x:c r="D810" s="73" t="str">
        <x:v>Убыток от продажи дочерних компаний</x:v>
      </x:c>
      <x:c r="E810" s="74" t="n">
        <x:v>0</x:v>
      </x:c>
      <x:c r="F810" s="73" t="str">
        <x:v>IRAO_2026H1.pdf</x:v>
      </x:c>
      <x:c r="G810" s="73" t="n">
        <x:v>20</x:v>
      </x:c>
      <x:c r="H810" s="73" t="str">
        <x:v>Состав и сумма сверены с раскрытием компании</x:v>
      </x:c>
      <x:c r="I810" s="69"/>
      <x:c r="J810" s="69"/>
      <x:c r="K810" s="69"/>
    </x:row>
    <x:row r="811" ht="26.399999618530273" hidden="0" customHeight="1">
      <x:c r="A811" t="str">
        <x:v>IRAO</x:v>
      </x:c>
      <x:c r="B811" t="str">
        <x:v>1П2026</x:v>
      </x:c>
      <x:c r="C811" s="73" t="str">
        <x:v>EBITDA компании (скорректированная по составу)</x:v>
      </x:c>
      <x:c r="D811" s="73" t="str">
        <x:v>Прочие расходы</x:v>
      </x:c>
      <x:c r="E811" s="74" t="n">
        <x:v>3190</x:v>
      </x:c>
      <x:c r="F811" s="73" t="str">
        <x:v>IRAO_2026H1.pdf</x:v>
      </x:c>
      <x:c r="G811" s="73" t="n">
        <x:v>20</x:v>
      </x:c>
      <x:c r="H811" s="73" t="str">
        <x:v>Состав и сумма сверены с раскрытием компании</x:v>
      </x:c>
      <x:c r="I811" s="69"/>
      <x:c r="J811" s="69"/>
      <x:c r="K811" s="69"/>
    </x:row>
    <x:row r="812" ht="26.399999618530273" hidden="0" customHeight="1">
      <x:c r="A812" t="str">
        <x:v>IRAO</x:v>
      </x:c>
      <x:c r="B812" t="str">
        <x:v>1П2026</x:v>
      </x:c>
      <x:c r="C812" s="73" t="str">
        <x:v>EBITDA компании (скорректированная по составу)</x:v>
      </x:c>
      <x:c r="D812" s="73" t="str">
        <x:v>Минус прибыль ассоциированных компаний</x:v>
      </x:c>
      <x:c r="E812" s="74" t="n">
        <x:v>-254</x:v>
      </x:c>
      <x:c r="F812" s="73" t="str">
        <x:v>IRAO_2026H1.pdf</x:v>
      </x:c>
      <x:c r="G812" s="73" t="n">
        <x:v>20</x:v>
      </x:c>
      <x:c r="H812" s="73" t="str">
        <x:v>Состав и сумма сверены с раскрытием компании</x:v>
      </x:c>
      <x:c r="I812" s="69"/>
      <x:c r="J812" s="69"/>
      <x:c r="K812" s="69"/>
    </x:row>
    <x:row r="813" ht="26.399999618530273" hidden="0" customHeight="1">
      <x:c r="A813" t="str">
        <x:v>IRAO</x:v>
      </x:c>
      <x:c r="B813" t="str">
        <x:v>1П2026</x:v>
      </x:c>
      <x:c r="C813" s="73" t="str">
        <x:v>EBITDA компании (скорректированная по составу)</x:v>
      </x:c>
      <x:c r="D813" s="73" t="str">
        <x:v>Доход от выгодной покупки</x:v>
      </x:c>
      <x:c r="E813" s="74" t="n">
        <x:v>-1506</x:v>
      </x:c>
      <x:c r="F813" s="73" t="str">
        <x:v>IRAO_2026H1.pdf</x:v>
      </x:c>
      <x:c r="G813" s="73" t="n">
        <x:v>20</x:v>
      </x:c>
      <x:c r="H813" s="73" t="str">
        <x:v>Состав и сумма сверены с раскрытием компании</x:v>
      </x:c>
      <x:c r="I813" s="69"/>
      <x:c r="J813" s="69"/>
      <x:c r="K813" s="69"/>
    </x:row>
    <x:row r="814" ht="26.399999618530273" hidden="0" customHeight="1">
      <x:c r="A814" s="60" t="str">
        <x:v>IRAO</x:v>
      </x:c>
      <x:c r="B814" s="60" t="str">
        <x:v>1П2026</x:v>
      </x:c>
      <x:c r="C814" s="76" t="str">
        <x:v>EBITDA компании (скорректированная по составу)</x:v>
      </x:c>
      <x:c r="D814" s="76" t="str">
        <x:v>ИТОГО — расчет</x:v>
      </x:c>
      <x:c r="E814" s="77" t="n">
        <x:f>SUM(E801:E813)</x:f>
        <x:v>89260</x:v>
      </x:c>
      <x:c r="F814" s="76" t="str">
        <x:v>IRAO_2026H1.pdf</x:v>
      </x:c>
      <x:c r="G814" s="76" t="n">
        <x:v>20</x:v>
      </x:c>
      <x:c r="H814" s="76"/>
      <x:c r="I814" s="71" t="n">
        <x:v>89260</x:v>
      </x:c>
      <x:c r="J814" s="71" t="n">
        <x:f>E814-I814</x:f>
        <x:v>0</x:v>
      </x:c>
      <x:c r="K814" s="71" t="n">
        <x:f>SUM(E801:E806)</x:f>
        <x:v>85669</x:v>
      </x:c>
    </x:row>
    <x:row r="815" ht="15" hidden="0" customHeight="1">
      <x:c r="C815" s="73"/>
      <x:c r="D815" s="73"/>
      <x:c r="E815" s="74"/>
      <x:c r="F815" s="73"/>
      <x:c r="G815" s="73"/>
      <x:c r="H815" s="73"/>
      <x:c r="I815" s="69"/>
      <x:c r="J815" s="69"/>
      <x:c r="K815" s="69"/>
    </x:row>
    <x:row r="816" ht="26.399999618530273" hidden="0" customHeight="1">
      <x:c r="A816" t="str">
        <x:v>MAGN</x:v>
      </x:c>
      <x:c r="B816" t="str">
        <x:v>2025</x:v>
      </x:c>
      <x:c r="C816" s="73" t="str">
        <x:v>EBITDA компании (скорректированная по составу)</x:v>
      </x:c>
      <x:c r="D816" s="73" t="str">
        <x:v>Операционная прибыль</x:v>
      </x:c>
      <x:c r="E816" s="74" t="n">
        <x:v>21444</x:v>
      </x:c>
      <x:c r="F816" s="73" t="str">
        <x:v>ММК_МСФО_2025.pdf</x:v>
      </x:c>
      <x:c r="G816" s="73" t="n">
        <x:v>37</x:v>
      </x:c>
      <x:c r="H816" s="73" t="str">
        <x:v>Состав и сумма сверены с раскрытием компании</x:v>
      </x:c>
      <x:c r="I816" s="69"/>
      <x:c r="J816" s="69"/>
      <x:c r="K816" s="69"/>
    </x:row>
    <x:row r="817" ht="26.399999618530273" hidden="0" customHeight="1">
      <x:c r="A817" t="str">
        <x:v>MAGN</x:v>
      </x:c>
      <x:c r="B817" t="str">
        <x:v>2025</x:v>
      </x:c>
      <x:c r="C817" s="73" t="str">
        <x:v>EBITDA компании (скорректированная по составу)</x:v>
      </x:c>
      <x:c r="D817" s="73" t="str">
        <x:v>Амортизация</x:v>
      </x:c>
      <x:c r="E817" s="74" t="n">
        <x:v>60064</x:v>
      </x:c>
      <x:c r="F817" s="73" t="str">
        <x:v>ММК_МСФО_2025.pdf</x:v>
      </x:c>
      <x:c r="G817" s="73" t="n">
        <x:v>37</x:v>
      </x:c>
      <x:c r="H817" s="73" t="str">
        <x:v>Состав и сумма сверены с раскрытием компании</x:v>
      </x:c>
      <x:c r="I817" s="69"/>
      <x:c r="J817" s="69"/>
      <x:c r="K817" s="69"/>
    </x:row>
    <x:row r="818" ht="26.399999618530273" hidden="0" customHeight="1">
      <x:c r="A818" t="str">
        <x:v>MAGN</x:v>
      </x:c>
      <x:c r="B818" t="str">
        <x:v>2025</x:v>
      </x:c>
      <x:c r="C818" s="73" t="str">
        <x:v>EBITDA компании (скорректированная по составу)</x:v>
      </x:c>
      <x:c r="D818" s="73" t="str">
        <x:v>Убыток / прибыль от выбытия ОС</x:v>
      </x:c>
      <x:c r="E818" s="74" t="n">
        <x:v>-760</x:v>
      </x:c>
      <x:c r="F818" s="73" t="str">
        <x:v>ММК_МСФО_2025.pdf</x:v>
      </x:c>
      <x:c r="G818" s="73" t="n">
        <x:v>37</x:v>
      </x:c>
      <x:c r="H818" s="73" t="str">
        <x:v>Состав и сумма сверены с раскрытием компании</x:v>
      </x:c>
      <x:c r="I818" s="69"/>
      <x:c r="J818" s="69"/>
      <x:c r="K818" s="69"/>
    </x:row>
    <x:row r="819" ht="26.399999618530273" hidden="0" customHeight="1">
      <x:c r="A819" t="str">
        <x:v>MAGN</x:v>
      </x:c>
      <x:c r="B819" t="str">
        <x:v>2025</x:v>
      </x:c>
      <x:c r="C819" s="73" t="str">
        <x:v>EBITDA компании (скорректированная по составу)</x:v>
      </x:c>
      <x:c r="D819" s="73" t="str">
        <x:v>Корректировка дохода от инвестиций</x:v>
      </x:c>
      <x:c r="E819" s="74" t="n">
        <x:v>9</x:v>
      </x:c>
      <x:c r="F819" s="73" t="str">
        <x:v>ММК_МСФО_2025.pdf</x:v>
      </x:c>
      <x:c r="G819" s="73" t="n">
        <x:v>37</x:v>
      </x:c>
      <x:c r="H819" s="73" t="str">
        <x:v>Состав и сумма сверены с раскрытием компании</x:v>
      </x:c>
      <x:c r="I819" s="69"/>
      <x:c r="J819" s="69"/>
      <x:c r="K819" s="69"/>
    </x:row>
    <x:row r="820" ht="26.399999618530273" hidden="0" customHeight="1">
      <x:c r="A820" s="60" t="str">
        <x:v>MAGN</x:v>
      </x:c>
      <x:c r="B820" s="60" t="str">
        <x:v>2025</x:v>
      </x:c>
      <x:c r="C820" s="76" t="str">
        <x:v>EBITDA компании (скорректированная по составу)</x:v>
      </x:c>
      <x:c r="D820" s="76" t="str">
        <x:v>ИТОГО — расчет</x:v>
      </x:c>
      <x:c r="E820" s="77" t="n">
        <x:f>SUM(E816:E819)</x:f>
        <x:v>80757</x:v>
      </x:c>
      <x:c r="F820" s="76" t="str">
        <x:v>ММК_МСФО_2025.pdf</x:v>
      </x:c>
      <x:c r="G820" s="76" t="n">
        <x:v>37</x:v>
      </x:c>
      <x:c r="H820" s="76"/>
      <x:c r="I820" s="71" t="n">
        <x:v>80757</x:v>
      </x:c>
      <x:c r="J820" s="71" t="n">
        <x:f>E820-I820</x:f>
        <x:v>0</x:v>
      </x:c>
      <x:c r="K820" s="71" t="n">
        <x:f>SUM(E816:E817)</x:f>
        <x:v>81508</x:v>
      </x:c>
    </x:row>
    <x:row r="821" ht="15" hidden="0" customHeight="1">
      <x:c r="C821" s="73"/>
      <x:c r="D821" s="73"/>
      <x:c r="E821" s="74"/>
      <x:c r="F821" s="73"/>
      <x:c r="G821" s="73"/>
      <x:c r="H821" s="73"/>
      <x:c r="I821" s="69"/>
      <x:c r="J821" s="69"/>
      <x:c r="K821" s="69"/>
    </x:row>
    <x:row r="822" ht="26.399999618530273" hidden="0" customHeight="1">
      <x:c r="A822" t="str">
        <x:v>MAGN</x:v>
      </x:c>
      <x:c r="B822" t="str">
        <x:v>1П2025</x:v>
      </x:c>
      <x:c r="C822" s="73" t="str">
        <x:v>EBITDA компании (скорректированная по составу)</x:v>
      </x:c>
      <x:c r="D822" s="73" t="str">
        <x:v>Операционная прибыль</x:v>
      </x:c>
      <x:c r="E822" s="74" t="n">
        <x:v>14191</x:v>
      </x:c>
      <x:c r="F822" s="73" t="str">
        <x:v>MAGN_2026H1.pdf</x:v>
      </x:c>
      <x:c r="G822" s="73" t="n">
        <x:v>14</x:v>
      </x:c>
      <x:c r="H822" s="73" t="str">
        <x:v>Состав и сумма сверены с раскрытием компании</x:v>
      </x:c>
      <x:c r="I822" s="69"/>
      <x:c r="J822" s="69"/>
      <x:c r="K822" s="69"/>
    </x:row>
    <x:row r="823" ht="26.399999618530273" hidden="0" customHeight="1">
      <x:c r="A823" t="str">
        <x:v>MAGN</x:v>
      </x:c>
      <x:c r="B823" t="str">
        <x:v>1П2025</x:v>
      </x:c>
      <x:c r="C823" s="73" t="str">
        <x:v>EBITDA компании (скорректированная по составу)</x:v>
      </x:c>
      <x:c r="D823" s="73" t="str">
        <x:v>Амортизация</x:v>
      </x:c>
      <x:c r="E823" s="74" t="n">
        <x:v>28324</x:v>
      </x:c>
      <x:c r="F823" s="73" t="str">
        <x:v>MAGN_2026H1.pdf</x:v>
      </x:c>
      <x:c r="G823" s="73" t="n">
        <x:v>14</x:v>
      </x:c>
      <x:c r="H823" s="73" t="str">
        <x:v>Состав и сумма сверены с раскрытием компании</x:v>
      </x:c>
      <x:c r="I823" s="69"/>
      <x:c r="J823" s="69"/>
      <x:c r="K823" s="69"/>
    </x:row>
    <x:row r="824" ht="26.399999618530273" hidden="0" customHeight="1">
      <x:c r="A824" t="str">
        <x:v>MAGN</x:v>
      </x:c>
      <x:c r="B824" t="str">
        <x:v>1П2025</x:v>
      </x:c>
      <x:c r="C824" s="73" t="str">
        <x:v>EBITDA компании (скорректированная по составу)</x:v>
      </x:c>
      <x:c r="D824" s="73" t="str">
        <x:v>Убыток / прибыль от выбытия ОС</x:v>
      </x:c>
      <x:c r="E824" s="74" t="n">
        <x:v>-730</x:v>
      </x:c>
      <x:c r="F824" s="73" t="str">
        <x:v>MAGN_2026H1.pdf</x:v>
      </x:c>
      <x:c r="G824" s="73" t="n">
        <x:v>14</x:v>
      </x:c>
      <x:c r="H824" s="73" t="str">
        <x:v>Состав и сумма сверены с раскрытием компании</x:v>
      </x:c>
      <x:c r="I824" s="69"/>
      <x:c r="J824" s="69"/>
      <x:c r="K824" s="69"/>
    </x:row>
    <x:row r="825" ht="26.399999618530273" hidden="0" customHeight="1">
      <x:c r="A825" t="str">
        <x:v>MAGN</x:v>
      </x:c>
      <x:c r="B825" t="str">
        <x:v>1П2025</x:v>
      </x:c>
      <x:c r="C825" s="73" t="str">
        <x:v>EBITDA компании (скорректированная по составу)</x:v>
      </x:c>
      <x:c r="D825" s="73" t="str">
        <x:v>Корректировка дохода от инвестиций</x:v>
      </x:c>
      <x:c r="E825" s="74" t="n">
        <x:v>0</x:v>
      </x:c>
      <x:c r="F825" s="73" t="str">
        <x:v>MAGN_2026H1.pdf</x:v>
      </x:c>
      <x:c r="G825" s="73" t="n">
        <x:v>14</x:v>
      </x:c>
      <x:c r="H825" s="73" t="str">
        <x:v>Состав и сумма сверены с раскрытием компании</x:v>
      </x:c>
      <x:c r="I825" s="69"/>
      <x:c r="J825" s="69"/>
      <x:c r="K825" s="69"/>
    </x:row>
    <x:row r="826" ht="26.399999618530273" hidden="0" customHeight="1">
      <x:c r="A826" s="60" t="str">
        <x:v>MAGN</x:v>
      </x:c>
      <x:c r="B826" s="60" t="str">
        <x:v>1П2025</x:v>
      </x:c>
      <x:c r="C826" s="76" t="str">
        <x:v>EBITDA компании (скорректированная по составу)</x:v>
      </x:c>
      <x:c r="D826" s="76" t="str">
        <x:v>ИТОГО — расчет</x:v>
      </x:c>
      <x:c r="E826" s="77" t="n">
        <x:f>SUM(E822:E825)</x:f>
        <x:v>41785</x:v>
      </x:c>
      <x:c r="F826" s="76" t="str">
        <x:v>MAGN_2026H1.pdf</x:v>
      </x:c>
      <x:c r="G826" s="76" t="n">
        <x:v>14</x:v>
      </x:c>
      <x:c r="H826" s="76"/>
      <x:c r="I826" s="71" t="n">
        <x:v>41785</x:v>
      </x:c>
      <x:c r="J826" s="71" t="n">
        <x:f>E826-I826</x:f>
        <x:v>0</x:v>
      </x:c>
      <x:c r="K826" s="71" t="n">
        <x:f>SUM(E822:E823)</x:f>
        <x:v>42515</x:v>
      </x:c>
    </x:row>
    <x:row r="827" ht="15" hidden="0" customHeight="1">
      <x:c r="C827" s="73"/>
      <x:c r="D827" s="73"/>
      <x:c r="E827" s="74"/>
      <x:c r="F827" s="73"/>
      <x:c r="G827" s="73"/>
      <x:c r="H827" s="73"/>
      <x:c r="I827" s="69"/>
      <x:c r="J827" s="69"/>
      <x:c r="K827" s="69"/>
    </x:row>
    <x:row r="828" ht="26.399999618530273" hidden="0" customHeight="1">
      <x:c r="A828" t="str">
        <x:v>MAGN</x:v>
      </x:c>
      <x:c r="B828" t="str">
        <x:v>1П2026</x:v>
      </x:c>
      <x:c r="C828" s="73" t="str">
        <x:v>EBITDA компании (скорректированная по составу)</x:v>
      </x:c>
      <x:c r="D828" s="73" t="str">
        <x:v>Операционная прибыль</x:v>
      </x:c>
      <x:c r="E828" s="74" t="n">
        <x:v>-1874</x:v>
      </x:c>
      <x:c r="F828" s="73" t="str">
        <x:v>MAGN_2026H1.pdf</x:v>
      </x:c>
      <x:c r="G828" s="73" t="n">
        <x:v>14</x:v>
      </x:c>
      <x:c r="H828" s="73" t="str">
        <x:v>Состав и сумма сверены с раскрытием компании</x:v>
      </x:c>
      <x:c r="I828" s="69"/>
      <x:c r="J828" s="69"/>
      <x:c r="K828" s="69"/>
    </x:row>
    <x:row r="829" ht="26.399999618530273" hidden="0" customHeight="1">
      <x:c r="A829" t="str">
        <x:v>MAGN</x:v>
      </x:c>
      <x:c r="B829" t="str">
        <x:v>1П2026</x:v>
      </x:c>
      <x:c r="C829" s="73" t="str">
        <x:v>EBITDA компании (скорректированная по составу)</x:v>
      </x:c>
      <x:c r="D829" s="73" t="str">
        <x:v>Амортизация</x:v>
      </x:c>
      <x:c r="E829" s="74" t="n">
        <x:v>26339</x:v>
      </x:c>
      <x:c r="F829" s="73" t="str">
        <x:v>MAGN_2026H1.pdf</x:v>
      </x:c>
      <x:c r="G829" s="73" t="n">
        <x:v>14</x:v>
      </x:c>
      <x:c r="H829" s="73" t="str">
        <x:v>Состав и сумма сверены с раскрытием компании</x:v>
      </x:c>
      <x:c r="I829" s="69"/>
      <x:c r="J829" s="69"/>
      <x:c r="K829" s="69"/>
    </x:row>
    <x:row r="830" ht="26.399999618530273" hidden="0" customHeight="1">
      <x:c r="A830" t="str">
        <x:v>MAGN</x:v>
      </x:c>
      <x:c r="B830" t="str">
        <x:v>1П2026</x:v>
      </x:c>
      <x:c r="C830" s="73" t="str">
        <x:v>EBITDA компании (скорректированная по составу)</x:v>
      </x:c>
      <x:c r="D830" s="73" t="str">
        <x:v>Убыток / прибыль от выбытия ОС</x:v>
      </x:c>
      <x:c r="E830" s="74" t="n">
        <x:v>245</x:v>
      </x:c>
      <x:c r="F830" s="73" t="str">
        <x:v>MAGN_2026H1.pdf</x:v>
      </x:c>
      <x:c r="G830" s="73" t="n">
        <x:v>14</x:v>
      </x:c>
      <x:c r="H830" s="73" t="str">
        <x:v>Состав и сумма сверены с раскрытием компании</x:v>
      </x:c>
      <x:c r="I830" s="69"/>
      <x:c r="J830" s="69"/>
      <x:c r="K830" s="69"/>
    </x:row>
    <x:row r="831" ht="26.399999618530273" hidden="0" customHeight="1">
      <x:c r="A831" t="str">
        <x:v>MAGN</x:v>
      </x:c>
      <x:c r="B831" t="str">
        <x:v>1П2026</x:v>
      </x:c>
      <x:c r="C831" s="73" t="str">
        <x:v>EBITDA компании (скорректированная по составу)</x:v>
      </x:c>
      <x:c r="D831" s="73" t="str">
        <x:v>Корректировка дохода от инвестиций</x:v>
      </x:c>
      <x:c r="E831" s="74" t="n">
        <x:v>0</x:v>
      </x:c>
      <x:c r="F831" s="73" t="str">
        <x:v>MAGN_2026H1.pdf</x:v>
      </x:c>
      <x:c r="G831" s="73" t="n">
        <x:v>14</x:v>
      </x:c>
      <x:c r="H831" s="73" t="str">
        <x:v>Состав и сумма сверены с раскрытием компании</x:v>
      </x:c>
      <x:c r="I831" s="69"/>
      <x:c r="J831" s="69"/>
      <x:c r="K831" s="69"/>
    </x:row>
    <x:row r="832" ht="26.399999618530273" hidden="0" customHeight="1">
      <x:c r="A832" s="60" t="str">
        <x:v>MAGN</x:v>
      </x:c>
      <x:c r="B832" s="60" t="str">
        <x:v>1П2026</x:v>
      </x:c>
      <x:c r="C832" s="76" t="str">
        <x:v>EBITDA компании (скорректированная по составу)</x:v>
      </x:c>
      <x:c r="D832" s="76" t="str">
        <x:v>ИТОГО — расчет</x:v>
      </x:c>
      <x:c r="E832" s="77" t="n">
        <x:f>SUM(E828:E831)</x:f>
        <x:v>24710</x:v>
      </x:c>
      <x:c r="F832" s="76" t="str">
        <x:v>MAGN_2026H1.pdf</x:v>
      </x:c>
      <x:c r="G832" s="76" t="n">
        <x:v>14</x:v>
      </x:c>
      <x:c r="H832" s="76"/>
      <x:c r="I832" s="71" t="n">
        <x:v>24710</x:v>
      </x:c>
      <x:c r="J832" s="71" t="n">
        <x:f>E832-I832</x:f>
        <x:v>0</x:v>
      </x:c>
      <x:c r="K832" s="71" t="n">
        <x:f>SUM(E828:E829)</x:f>
        <x:v>24465</x:v>
      </x:c>
    </x:row>
    <x:row r="833" ht="15" hidden="0" customHeight="1">
      <x:c r="C833" s="73"/>
      <x:c r="D833" s="73"/>
      <x:c r="E833" s="74"/>
      <x:c r="F833" s="73"/>
      <x:c r="G833" s="73"/>
      <x:c r="H833" s="73"/>
      <x:c r="I833" s="69"/>
      <x:c r="J833" s="69"/>
      <x:c r="K833" s="69"/>
    </x:row>
    <x:row r="834" ht="26.399999618530273" hidden="0" customHeight="1">
      <x:c r="A834" t="str">
        <x:v>GMKN</x:v>
      </x:c>
      <x:c r="B834" t="str">
        <x:v>2025</x:v>
      </x:c>
      <x:c r="C834" s="73" t="str">
        <x:v>Консолидированная EBITDA (скорректированная по составу)</x:v>
      </x:c>
      <x:c r="D834" s="73" t="str">
        <x:v>Прибыль до налогообложения</x:v>
      </x:c>
      <x:c r="E834" s="74" t="n">
        <x:v>274776.44534246554</x:v>
      </x:c>
      <x:c r="F834" s="73" t="str">
        <x:v>Норникель_МСФО_2025.pdf</x:v>
      </x:c>
      <x:c r="G834" s="73" t="n">
        <x:v>28</x:v>
      </x:c>
      <x:c r="H834" s="73" t="str">
        <x:v>Состав и сумма сверены с раскрытием компании</x:v>
      </x:c>
      <x:c r="I834" s="69"/>
      <x:c r="J834" s="69"/>
      <x:c r="K834" s="69"/>
    </x:row>
    <x:row r="835" ht="26.399999618530273" hidden="0" customHeight="1">
      <x:c r="A835" t="str">
        <x:v>GMKN</x:v>
      </x:c>
      <x:c r="B835" t="str">
        <x:v>2025</x:v>
      </x:c>
      <x:c r="C835" s="73" t="str">
        <x:v>Консолидированная EBITDA (скорректированная по составу)</x:v>
      </x:c>
      <x:c r="D835" s="73" t="str">
        <x:v>Амортизация</x:v>
      </x:c>
      <x:c r="E835" s="74" t="n">
        <x:v>117988.30321917798</x:v>
      </x:c>
      <x:c r="F835" s="73" t="str">
        <x:v>Норникель_МСФО_2025.pdf</x:v>
      </x:c>
      <x:c r="G835" s="73" t="n">
        <x:v>28</x:v>
      </x:c>
      <x:c r="H835" s="73" t="str">
        <x:v>Состав и сумма сверены с раскрытием компании</x:v>
      </x:c>
      <x:c r="I835" s="69"/>
      <x:c r="J835" s="69"/>
      <x:c r="K835" s="69"/>
    </x:row>
    <x:row r="836" ht="26.399999618530273" hidden="0" customHeight="1">
      <x:c r="A836" t="str">
        <x:v>GMKN</x:v>
      </x:c>
      <x:c r="B836" t="str">
        <x:v>2025</x:v>
      </x:c>
      <x:c r="C836" s="73" t="str">
        <x:v>Консолидированная EBITDA (скорректированная по составу)</x:v>
      </x:c>
      <x:c r="D836" s="73" t="str">
        <x:v>Финансовые расходы, нетто</x:v>
      </x:c>
      <x:c r="E836" s="74" t="n">
        <x:v>78101.39986301363</x:v>
      </x:c>
      <x:c r="F836" s="73" t="str">
        <x:v>Норникель_МСФО_2025.pdf</x:v>
      </x:c>
      <x:c r="G836" s="73" t="n">
        <x:v>28</x:v>
      </x:c>
      <x:c r="H836" s="73" t="str">
        <x:v>Состав и сумма сверены с раскрытием компании</x:v>
      </x:c>
      <x:c r="I836" s="69"/>
      <x:c r="J836" s="69"/>
      <x:c r="K836" s="69"/>
    </x:row>
    <x:row r="837" ht="26.399999618530273" hidden="0" customHeight="1">
      <x:c r="A837" t="str">
        <x:v>GMKN</x:v>
      </x:c>
      <x:c r="B837" t="str">
        <x:v>2025</x:v>
      </x:c>
      <x:c r="C837" s="73" t="str">
        <x:v>Консолидированная EBITDA (скорректированная по составу)</x:v>
      </x:c>
      <x:c r="D837" s="73" t="str">
        <x:v>Обесценение нефинансовых активов</x:v>
      </x:c>
      <x:c r="E837" s="74" t="n">
        <x:v>26674.88924657532</x:v>
      </x:c>
      <x:c r="F837" s="73" t="str">
        <x:v>Норникель_МСФО_2025.pdf</x:v>
      </x:c>
      <x:c r="G837" s="73" t="n">
        <x:v>28</x:v>
      </x:c>
      <x:c r="H837" s="73" t="str">
        <x:v>Состав и сумма сверены с раскрытием компании</x:v>
      </x:c>
      <x:c r="I837" s="69"/>
      <x:c r="J837" s="69"/>
      <x:c r="K837" s="69"/>
    </x:row>
    <x:row r="838" ht="26.399999618530273" hidden="0" customHeight="1">
      <x:c r="A838" t="str">
        <x:v>GMKN</x:v>
      </x:c>
      <x:c r="B838" t="str">
        <x:v>2025</x:v>
      </x:c>
      <x:c r="C838" s="73" t="str">
        <x:v>Консолидированная EBITDA (скорректированная по составу)</x:v>
      </x:c>
      <x:c r="D838" s="73" t="str">
        <x:v>Курсовые убытки / доходы</x:v>
      </x:c>
      <x:c r="E838" s="74" t="n">
        <x:v>-6522.386712328762</x:v>
      </x:c>
      <x:c r="F838" s="73" t="str">
        <x:v>Норникель_МСФО_2025.pdf</x:v>
      </x:c>
      <x:c r="G838" s="73" t="n">
        <x:v>28</x:v>
      </x:c>
      <x:c r="H838" s="73" t="str">
        <x:v>Состав и сумма сверены с раскрытием компании</x:v>
      </x:c>
      <x:c r="I838" s="69"/>
      <x:c r="J838" s="69"/>
      <x:c r="K838" s="69"/>
    </x:row>
    <x:row r="839" ht="26.399999618530273" hidden="0" customHeight="1">
      <x:c r="A839" t="str">
        <x:v>GMKN</x:v>
      </x:c>
      <x:c r="B839" t="str">
        <x:v>2025</x:v>
      </x:c>
      <x:c r="C839" s="73" t="str">
        <x:v>Консолидированная EBITDA (скорректированная по составу)</x:v>
      </x:c>
      <x:c r="D839" s="73" t="str">
        <x:v>Минус доходы от финансовых активов и инвестиций</x:v>
      </x:c>
      <x:c r="E839" s="74" t="n">
        <x:v>-17058.549863013683</x:v>
      </x:c>
      <x:c r="F839" s="73" t="str">
        <x:v>Норникель_МСФО_2025.pdf</x:v>
      </x:c>
      <x:c r="G839" s="73" t="n">
        <x:v>28</x:v>
      </x:c>
      <x:c r="H839" s="73" t="str">
        <x:v>Состав и сумма сверены с раскрытием компании</x:v>
      </x:c>
      <x:c r="I839" s="69"/>
      <x:c r="J839" s="69"/>
      <x:c r="K839" s="69"/>
    </x:row>
    <x:row r="840" ht="26.399999618530273" hidden="0" customHeight="1">
      <x:c r="A840" t="str">
        <x:v>GMKN</x:v>
      </x:c>
      <x:c r="B840" t="str">
        <x:v>2025</x:v>
      </x:c>
      <x:c r="C840" s="73" t="str">
        <x:v>Консолидированная EBITDA (скорректированная по составу)</x:v>
      </x:c>
      <x:c r="D840" s="73" t="str">
        <x:v>Минус прибыль от выбытия компаний</x:v>
      </x:c>
      <x:c r="E840" s="74" t="n">
        <x:v>0</x:v>
      </x:c>
      <x:c r="F840" s="73" t="str">
        <x:v>Норникель_МСФО_2025.pdf</x:v>
      </x:c>
      <x:c r="G840" s="73" t="n">
        <x:v>28</x:v>
      </x:c>
      <x:c r="H840" s="73" t="str">
        <x:v>Состав и сумма сверены с раскрытием компании</x:v>
      </x:c>
      <x:c r="I840" s="69"/>
      <x:c r="J840" s="69"/>
      <x:c r="K840" s="69"/>
    </x:row>
    <x:row r="841" ht="26.399999618530273" hidden="0" customHeight="1">
      <x:c r="A841" s="60" t="str">
        <x:v>GMKN</x:v>
      </x:c>
      <x:c r="B841" s="60" t="str">
        <x:v>2025</x:v>
      </x:c>
      <x:c r="C841" s="76" t="str">
        <x:v>Консолидированная EBITDA (скорректированная по составу)</x:v>
      </x:c>
      <x:c r="D841" s="76" t="str">
        <x:v>ИТОГО — расчет</x:v>
      </x:c>
      <x:c r="E841" s="77" t="n">
        <x:f>SUM(E834:E840)</x:f>
        <x:v>473960.10109589004</x:v>
      </x:c>
      <x:c r="F841" s="76" t="str">
        <x:v>Норникель_МСФО_2025.pdf</x:v>
      </x:c>
      <x:c r="G841" s="76" t="n">
        <x:v>28</x:v>
      </x:c>
      <x:c r="H841" s="76"/>
      <x:c r="I841" s="71" t="n">
        <x:v>473960.10109589</x:v>
      </x:c>
      <x:c r="J841" s="71" t="n">
        <x:f>E841-I841</x:f>
        <x:v>5.820766091346741e-11</x:v>
      </x:c>
      <x:c r="K841" s="71" t="n">
        <x:f>SUM(E834:E836)</x:f>
        <x:v>470866.1484246572</x:v>
      </x:c>
    </x:row>
    <x:row r="842" ht="15" hidden="0" customHeight="1">
      <x:c r="C842" s="73"/>
      <x:c r="D842" s="73"/>
      <x:c r="E842" s="74"/>
      <x:c r="F842" s="73"/>
      <x:c r="G842" s="73"/>
      <x:c r="H842" s="73"/>
      <x:c r="I842" s="69"/>
      <x:c r="J842" s="69"/>
      <x:c r="K842" s="69"/>
    </x:row>
    <x:row r="843" ht="26.399999618530273" hidden="0" customHeight="1">
      <x:c r="A843" t="str">
        <x:v>GMKN</x:v>
      </x:c>
      <x:c r="B843" t="str">
        <x:v>1П2025</x:v>
      </x:c>
      <x:c r="C843" s="73" t="str">
        <x:v>Консолидированная EBITDA (скорректированная по составу)</x:v>
      </x:c>
      <x:c r="D843" s="73" t="str">
        <x:v>Прибыль до налогообложения</x:v>
      </x:c>
      <x:c r="E843" s="74" t="n">
        <x:v>106740</x:v>
      </x:c>
      <x:c r="F843" s="73" t="str">
        <x:v>GMKN_2026H1.pdf</x:v>
      </x:c>
      <x:c r="G843" s="73" t="n">
        <x:v>17</x:v>
      </x:c>
      <x:c r="H843" s="73" t="str">
        <x:v>Состав и сумма сверены с раскрытием компании</x:v>
      </x:c>
      <x:c r="I843" s="69"/>
      <x:c r="J843" s="69"/>
      <x:c r="K843" s="69"/>
    </x:row>
    <x:row r="844" ht="26.399999618530273" hidden="0" customHeight="1">
      <x:c r="A844" t="str">
        <x:v>GMKN</x:v>
      </x:c>
      <x:c r="B844" t="str">
        <x:v>1П2025</x:v>
      </x:c>
      <x:c r="C844" s="73" t="str">
        <x:v>Консолидированная EBITDA (скорректированная по составу)</x:v>
      </x:c>
      <x:c r="D844" s="73" t="str">
        <x:v>Амортизация</x:v>
      </x:c>
      <x:c r="E844" s="74" t="n">
        <x:v>56933</x:v>
      </x:c>
      <x:c r="F844" s="73" t="str">
        <x:v>GMKN_2026H1.pdf</x:v>
      </x:c>
      <x:c r="G844" s="73" t="n">
        <x:v>17</x:v>
      </x:c>
      <x:c r="H844" s="73" t="str">
        <x:v>Состав и сумма сверены с раскрытием компании</x:v>
      </x:c>
      <x:c r="I844" s="69"/>
      <x:c r="J844" s="69"/>
      <x:c r="K844" s="69"/>
    </x:row>
    <x:row r="845" ht="26.399999618530273" hidden="0" customHeight="1">
      <x:c r="A845" t="str">
        <x:v>GMKN</x:v>
      </x:c>
      <x:c r="B845" t="str">
        <x:v>1П2025</x:v>
      </x:c>
      <x:c r="C845" s="73" t="str">
        <x:v>Консолидированная EBITDA (скорректированная по составу)</x:v>
      </x:c>
      <x:c r="D845" s="73" t="str">
        <x:v>Финансовые расходы, нетто</x:v>
      </x:c>
      <x:c r="E845" s="74" t="n">
        <x:v>48519</x:v>
      </x:c>
      <x:c r="F845" s="73" t="str">
        <x:v>GMKN_2026H1.pdf</x:v>
      </x:c>
      <x:c r="G845" s="73" t="n">
        <x:v>17</x:v>
      </x:c>
      <x:c r="H845" s="73" t="str">
        <x:v>Состав и сумма сверены с раскрытием компании</x:v>
      </x:c>
      <x:c r="I845" s="69"/>
      <x:c r="J845" s="69"/>
      <x:c r="K845" s="69"/>
    </x:row>
    <x:row r="846" ht="26.399999618530273" hidden="0" customHeight="1">
      <x:c r="A846" t="str">
        <x:v>GMKN</x:v>
      </x:c>
      <x:c r="B846" t="str">
        <x:v>1П2025</x:v>
      </x:c>
      <x:c r="C846" s="73" t="str">
        <x:v>Консолидированная EBITDA (скорректированная по составу)</x:v>
      </x:c>
      <x:c r="D846" s="73" t="str">
        <x:v>Обесценение нефинансовых активов</x:v>
      </x:c>
      <x:c r="E846" s="74" t="n">
        <x:v>31791</x:v>
      </x:c>
      <x:c r="F846" s="73" t="str">
        <x:v>GMKN_2026H1.pdf</x:v>
      </x:c>
      <x:c r="G846" s="73" t="n">
        <x:v>17</x:v>
      </x:c>
      <x:c r="H846" s="73" t="str">
        <x:v>Состав и сумма сверены с раскрытием компании</x:v>
      </x:c>
      <x:c r="I846" s="69"/>
      <x:c r="J846" s="69"/>
      <x:c r="K846" s="69"/>
    </x:row>
    <x:row r="847" ht="26.399999618530273" hidden="0" customHeight="1">
      <x:c r="A847" t="str">
        <x:v>GMKN</x:v>
      </x:c>
      <x:c r="B847" t="str">
        <x:v>1П2025</x:v>
      </x:c>
      <x:c r="C847" s="73" t="str">
        <x:v>Консолидированная EBITDA (скорректированная по составу)</x:v>
      </x:c>
      <x:c r="D847" s="73" t="str">
        <x:v>Курсовые убытки / доходы</x:v>
      </x:c>
      <x:c r="E847" s="74" t="n">
        <x:v>-8572</x:v>
      </x:c>
      <x:c r="F847" s="73" t="str">
        <x:v>GMKN_2026H1.pdf</x:v>
      </x:c>
      <x:c r="G847" s="73" t="n">
        <x:v>17</x:v>
      </x:c>
      <x:c r="H847" s="73" t="str">
        <x:v>Состав и сумма сверены с раскрытием компании</x:v>
      </x:c>
      <x:c r="I847" s="69"/>
      <x:c r="J847" s="69"/>
      <x:c r="K847" s="69"/>
    </x:row>
    <x:row r="848" ht="26.399999618530273" hidden="0" customHeight="1">
      <x:c r="A848" t="str">
        <x:v>GMKN</x:v>
      </x:c>
      <x:c r="B848" t="str">
        <x:v>1П2025</x:v>
      </x:c>
      <x:c r="C848" s="73" t="str">
        <x:v>Консолидированная EBITDA (скорректированная по составу)</x:v>
      </x:c>
      <x:c r="D848" s="73" t="str">
        <x:v>Минус доходы от финансовых активов и инвестиций</x:v>
      </x:c>
      <x:c r="E848" s="74" t="n">
        <x:v>-4612</x:v>
      </x:c>
      <x:c r="F848" s="73" t="str">
        <x:v>GMKN_2026H1.pdf</x:v>
      </x:c>
      <x:c r="G848" s="73" t="n">
        <x:v>17</x:v>
      </x:c>
      <x:c r="H848" s="73" t="str">
        <x:v>Состав и сумма сверены с раскрытием компании</x:v>
      </x:c>
      <x:c r="I848" s="69"/>
      <x:c r="J848" s="69"/>
      <x:c r="K848" s="69"/>
    </x:row>
    <x:row r="849" ht="26.399999618530273" hidden="0" customHeight="1">
      <x:c r="A849" t="str">
        <x:v>GMKN</x:v>
      </x:c>
      <x:c r="B849" t="str">
        <x:v>1П2025</x:v>
      </x:c>
      <x:c r="C849" s="73" t="str">
        <x:v>Консолидированная EBITDA (скорректированная по составу)</x:v>
      </x:c>
      <x:c r="D849" s="73" t="str">
        <x:v>Минус прибыль от выбытия компаний</x:v>
      </x:c>
      <x:c r="E849" s="74" t="n">
        <x:v>-180</x:v>
      </x:c>
      <x:c r="F849" s="73" t="str">
        <x:v>GMKN_2026H1.pdf</x:v>
      </x:c>
      <x:c r="G849" s="73" t="n">
        <x:v>17</x:v>
      </x:c>
      <x:c r="H849" s="73" t="str">
        <x:v>Состав и сумма сверены с раскрытием компании</x:v>
      </x:c>
      <x:c r="I849" s="69"/>
      <x:c r="J849" s="69"/>
      <x:c r="K849" s="69"/>
    </x:row>
    <x:row r="850" ht="26.399999618530273" hidden="0" customHeight="1">
      <x:c r="A850" s="60" t="str">
        <x:v>GMKN</x:v>
      </x:c>
      <x:c r="B850" s="60" t="str">
        <x:v>1П2025</x:v>
      </x:c>
      <x:c r="C850" s="76" t="str">
        <x:v>Консолидированная EBITDA (скорректированная по составу)</x:v>
      </x:c>
      <x:c r="D850" s="76" t="str">
        <x:v>ИТОГО — расчет</x:v>
      </x:c>
      <x:c r="E850" s="77" t="n">
        <x:f>SUM(E843:E849)</x:f>
        <x:v>230619</x:v>
      </x:c>
      <x:c r="F850" s="76" t="str">
        <x:v>GMKN_2026H1.pdf</x:v>
      </x:c>
      <x:c r="G850" s="76" t="n">
        <x:v>17</x:v>
      </x:c>
      <x:c r="H850" s="76"/>
      <x:c r="I850" s="71" t="n">
        <x:v>230619</x:v>
      </x:c>
      <x:c r="J850" s="71" t="n">
        <x:f>E850-I850</x:f>
        <x:v>0</x:v>
      </x:c>
      <x:c r="K850" s="71" t="n">
        <x:f>SUM(E843:E845)</x:f>
        <x:v>212192</x:v>
      </x:c>
    </x:row>
    <x:row r="851" ht="15" hidden="0" customHeight="1">
      <x:c r="C851" s="73"/>
      <x:c r="D851" s="73"/>
      <x:c r="E851" s="74"/>
      <x:c r="F851" s="73"/>
      <x:c r="G851" s="73"/>
      <x:c r="H851" s="73"/>
      <x:c r="I851" s="69"/>
      <x:c r="J851" s="69"/>
      <x:c r="K851" s="69"/>
    </x:row>
    <x:row r="852" ht="26.399999618530273" hidden="0" customHeight="1">
      <x:c r="A852" t="str">
        <x:v>GMKN</x:v>
      </x:c>
      <x:c r="B852" t="str">
        <x:v>1П2026</x:v>
      </x:c>
      <x:c r="C852" s="73" t="str">
        <x:v>Консолидированная EBITDA (скорректированная по составу)</x:v>
      </x:c>
      <x:c r="D852" s="73" t="str">
        <x:v>Прибыль до налогообложения</x:v>
      </x:c>
      <x:c r="E852" s="74" t="n">
        <x:v>204233</x:v>
      </x:c>
      <x:c r="F852" s="73" t="str">
        <x:v>GMKN_2026H1.pdf</x:v>
      </x:c>
      <x:c r="G852" s="73" t="n">
        <x:v>16</x:v>
      </x:c>
      <x:c r="H852" s="73" t="str">
        <x:v>Состав и сумма сверены с раскрытием компании</x:v>
      </x:c>
      <x:c r="I852" s="69"/>
      <x:c r="J852" s="69"/>
      <x:c r="K852" s="69"/>
    </x:row>
    <x:row r="853" ht="26.399999618530273" hidden="0" customHeight="1">
      <x:c r="A853" t="str">
        <x:v>GMKN</x:v>
      </x:c>
      <x:c r="B853" t="str">
        <x:v>1П2026</x:v>
      </x:c>
      <x:c r="C853" s="73" t="str">
        <x:v>Консолидированная EBITDA (скорректированная по составу)</x:v>
      </x:c>
      <x:c r="D853" s="73" t="str">
        <x:v>Амортизация</x:v>
      </x:c>
      <x:c r="E853" s="74" t="n">
        <x:v>58384</x:v>
      </x:c>
      <x:c r="F853" s="73" t="str">
        <x:v>GMKN_2026H1.pdf</x:v>
      </x:c>
      <x:c r="G853" s="73" t="n">
        <x:v>16</x:v>
      </x:c>
      <x:c r="H853" s="73" t="str">
        <x:v>Состав и сумма сверены с раскрытием компании</x:v>
      </x:c>
      <x:c r="I853" s="69"/>
      <x:c r="J853" s="69"/>
      <x:c r="K853" s="69"/>
    </x:row>
    <x:row r="854" ht="26.399999618530273" hidden="0" customHeight="1">
      <x:c r="A854" t="str">
        <x:v>GMKN</x:v>
      </x:c>
      <x:c r="B854" t="str">
        <x:v>1П2026</x:v>
      </x:c>
      <x:c r="C854" s="73" t="str">
        <x:v>Консолидированная EBITDA (скорректированная по составу)</x:v>
      </x:c>
      <x:c r="D854" s="73" t="str">
        <x:v>Финансовые расходы, нетто</x:v>
      </x:c>
      <x:c r="E854" s="74" t="n">
        <x:v>28594</x:v>
      </x:c>
      <x:c r="F854" s="73" t="str">
        <x:v>GMKN_2026H1.pdf</x:v>
      </x:c>
      <x:c r="G854" s="73" t="n">
        <x:v>16</x:v>
      </x:c>
      <x:c r="H854" s="73" t="str">
        <x:v>Состав и сумма сверены с раскрытием компании</x:v>
      </x:c>
      <x:c r="I854" s="69"/>
      <x:c r="J854" s="69"/>
      <x:c r="K854" s="69"/>
    </x:row>
    <x:row r="855" ht="26.399999618530273" hidden="0" customHeight="1">
      <x:c r="A855" t="str">
        <x:v>GMKN</x:v>
      </x:c>
      <x:c r="B855" t="str">
        <x:v>1П2026</x:v>
      </x:c>
      <x:c r="C855" s="73" t="str">
        <x:v>Консолидированная EBITDA (скорректированная по составу)</x:v>
      </x:c>
      <x:c r="D855" s="73" t="str">
        <x:v>Обесценение нефинансовых активов</x:v>
      </x:c>
      <x:c r="E855" s="74" t="n">
        <x:v>7557</x:v>
      </x:c>
      <x:c r="F855" s="73" t="str">
        <x:v>GMKN_2026H1.pdf</x:v>
      </x:c>
      <x:c r="G855" s="73" t="n">
        <x:v>16</x:v>
      </x:c>
      <x:c r="H855" s="73" t="str">
        <x:v>Состав и сумма сверены с раскрытием компании</x:v>
      </x:c>
      <x:c r="I855" s="69"/>
      <x:c r="J855" s="69"/>
      <x:c r="K855" s="69"/>
    </x:row>
    <x:row r="856" ht="26.399999618530273" hidden="0" customHeight="1">
      <x:c r="A856" t="str">
        <x:v>GMKN</x:v>
      </x:c>
      <x:c r="B856" t="str">
        <x:v>1П2026</x:v>
      </x:c>
      <x:c r="C856" s="73" t="str">
        <x:v>Консолидированная EBITDA (скорректированная по составу)</x:v>
      </x:c>
      <x:c r="D856" s="73" t="str">
        <x:v>Курсовые убытки / доходы</x:v>
      </x:c>
      <x:c r="E856" s="74" t="n">
        <x:v>7554</x:v>
      </x:c>
      <x:c r="F856" s="73" t="str">
        <x:v>GMKN_2026H1.pdf</x:v>
      </x:c>
      <x:c r="G856" s="73" t="n">
        <x:v>16</x:v>
      </x:c>
      <x:c r="H856" s="73" t="str">
        <x:v>Состав и сумма сверены с раскрытием компании</x:v>
      </x:c>
      <x:c r="I856" s="69"/>
      <x:c r="J856" s="69"/>
      <x:c r="K856" s="69"/>
    </x:row>
    <x:row r="857" ht="26.399999618530273" hidden="0" customHeight="1">
      <x:c r="A857" t="str">
        <x:v>GMKN</x:v>
      </x:c>
      <x:c r="B857" t="str">
        <x:v>1П2026</x:v>
      </x:c>
      <x:c r="C857" s="73" t="str">
        <x:v>Консолидированная EBITDA (скорректированная по составу)</x:v>
      </x:c>
      <x:c r="D857" s="73" t="str">
        <x:v>Минус доходы от финансовых активов и инвестиций</x:v>
      </x:c>
      <x:c r="E857" s="74" t="n">
        <x:v>-5042</x:v>
      </x:c>
      <x:c r="F857" s="73" t="str">
        <x:v>GMKN_2026H1.pdf</x:v>
      </x:c>
      <x:c r="G857" s="73" t="n">
        <x:v>16</x:v>
      </x:c>
      <x:c r="H857" s="73" t="str">
        <x:v>Состав и сумма сверены с раскрытием компании</x:v>
      </x:c>
      <x:c r="I857" s="69"/>
      <x:c r="J857" s="69"/>
      <x:c r="K857" s="69"/>
    </x:row>
    <x:row r="858" ht="26.399999618530273" hidden="0" customHeight="1">
      <x:c r="A858" t="str">
        <x:v>GMKN</x:v>
      </x:c>
      <x:c r="B858" t="str">
        <x:v>1П2026</x:v>
      </x:c>
      <x:c r="C858" s="73" t="str">
        <x:v>Консолидированная EBITDA (скорректированная по составу)</x:v>
      </x:c>
      <x:c r="D858" s="73" t="str">
        <x:v>Минус прибыль от выбытия компаний</x:v>
      </x:c>
      <x:c r="E858" s="74" t="n">
        <x:v>-170</x:v>
      </x:c>
      <x:c r="F858" s="73" t="str">
        <x:v>GMKN_2026H1.pdf</x:v>
      </x:c>
      <x:c r="G858" s="73" t="n">
        <x:v>16</x:v>
      </x:c>
      <x:c r="H858" s="73" t="str">
        <x:v>Состав и сумма сверены с раскрытием компании</x:v>
      </x:c>
      <x:c r="I858" s="69"/>
      <x:c r="J858" s="69"/>
      <x:c r="K858" s="69"/>
    </x:row>
    <x:row r="859" ht="26.399999618530273" hidden="0" customHeight="1">
      <x:c r="A859" s="60" t="str">
        <x:v>GMKN</x:v>
      </x:c>
      <x:c r="B859" s="60" t="str">
        <x:v>1П2026</x:v>
      </x:c>
      <x:c r="C859" s="76" t="str">
        <x:v>Консолидированная EBITDA (скорректированная по составу)</x:v>
      </x:c>
      <x:c r="D859" s="76" t="str">
        <x:v>ИТОГО — расчет</x:v>
      </x:c>
      <x:c r="E859" s="77" t="n">
        <x:f>SUM(E852:E858)</x:f>
        <x:v>301110</x:v>
      </x:c>
      <x:c r="F859" s="76" t="str">
        <x:v>GMKN_2026H1.pdf</x:v>
      </x:c>
      <x:c r="G859" s="76" t="n">
        <x:v>16</x:v>
      </x:c>
      <x:c r="H859" s="76"/>
      <x:c r="I859" s="71" t="n">
        <x:v>301110</x:v>
      </x:c>
      <x:c r="J859" s="71" t="n">
        <x:f>E859-I859</x:f>
        <x:v>0</x:v>
      </x:c>
      <x:c r="K859" s="71" t="n">
        <x:f>SUM(E852:E854)</x:f>
        <x:v>291211</x:v>
      </x:c>
    </x:row>
    <x:row r="860" ht="15" hidden="0" customHeight="1">
      <x:c r="C860" s="73"/>
      <x:c r="D860" s="73"/>
      <x:c r="E860" s="74"/>
      <x:c r="F860" s="73"/>
      <x:c r="G860" s="73"/>
      <x:c r="H860" s="73"/>
      <x:c r="I860" s="69"/>
      <x:c r="J860" s="69"/>
      <x:c r="K860" s="69"/>
    </x:row>
    <x:row r="861" ht="26.399999618530273" hidden="0" customHeight="1">
      <x:c r="A861" t="str">
        <x:v>HEAD</x:v>
      </x:c>
      <x:c r="B861" t="str">
        <x:v>2025</x:v>
      </x:c>
      <x:c r="C861" s="73" t="str">
        <x:v>EBITDA по сегменту (скорректированная по составу)</x:v>
      </x:c>
      <x:c r="D861" s="73" t="str">
        <x:v>Прибыль до налогообложения</x:v>
      </x:c>
      <x:c r="E861" s="74" t="n">
        <x:v>19996.663</x:v>
      </x:c>
      <x:c r="F861" s="73" t="str">
        <x:v>ХХ_МСФО_2025.pdf</x:v>
      </x:c>
      <x:c r="G861" s="73" t="n">
        <x:v>23</x:v>
      </x:c>
      <x:c r="H861" s="73" t="str">
        <x:v>Состав и сумма сверены с раскрытием компании</x:v>
      </x:c>
      <x:c r="I861" s="69"/>
      <x:c r="J861" s="69"/>
      <x:c r="K861" s="69"/>
    </x:row>
    <x:row r="862" ht="26.399999618530273" hidden="0" customHeight="1">
      <x:c r="A862" t="str">
        <x:v>HEAD</x:v>
      </x:c>
      <x:c r="B862" t="str">
        <x:v>2025</x:v>
      </x:c>
      <x:c r="C862" s="73" t="str">
        <x:v>EBITDA по сегменту (скорректированная по составу)</x:v>
      </x:c>
      <x:c r="D862" s="73" t="str">
        <x:v>Минус финансовые доходы, нетто</x:v>
      </x:c>
      <x:c r="E862" s="74" t="n">
        <x:v>-1299.673</x:v>
      </x:c>
      <x:c r="F862" s="73" t="str">
        <x:v>ХХ_МСФО_2025.pdf</x:v>
      </x:c>
      <x:c r="G862" s="73" t="n">
        <x:v>23</x:v>
      </x:c>
      <x:c r="H862" s="73" t="str">
        <x:v>Состав и сумма сверены с раскрытием компании</x:v>
      </x:c>
      <x:c r="I862" s="69"/>
      <x:c r="J862" s="69"/>
      <x:c r="K862" s="69"/>
    </x:row>
    <x:row r="863" ht="26.399999618530273" hidden="0" customHeight="1">
      <x:c r="A863" t="str">
        <x:v>HEAD</x:v>
      </x:c>
      <x:c r="B863" t="str">
        <x:v>2025</x:v>
      </x:c>
      <x:c r="C863" s="73" t="str">
        <x:v>EBITDA по сегменту (скорректированная по составу)</x:v>
      </x:c>
      <x:c r="D863" s="73" t="str">
        <x:v>Амортизация</x:v>
      </x:c>
      <x:c r="E863" s="74" t="n">
        <x:v>1651.18</x:v>
      </x:c>
      <x:c r="F863" s="73" t="str">
        <x:v>ХХ_МСФО_2025.pdf</x:v>
      </x:c>
      <x:c r="G863" s="73" t="n">
        <x:v>23</x:v>
      </x:c>
      <x:c r="H863" s="73" t="str">
        <x:v>Состав и сумма сверены с раскрытием компании</x:v>
      </x:c>
      <x:c r="I863" s="69"/>
      <x:c r="J863" s="69"/>
      <x:c r="K863" s="69"/>
    </x:row>
    <x:row r="864" ht="26.399999618530273" hidden="0" customHeight="1">
      <x:c r="A864" t="str">
        <x:v>HEAD</x:v>
      </x:c>
      <x:c r="B864" t="str">
        <x:v>2025</x:v>
      </x:c>
      <x:c r="C864" s="73" t="str">
        <x:v>EBITDA по сегменту (скорректированная по составу)</x:v>
      </x:c>
      <x:c r="D864" s="73" t="str">
        <x:v>Курсовые убытки</x:v>
      </x:c>
      <x:c r="E864" s="74" t="n">
        <x:v>379.402</x:v>
      </x:c>
      <x:c r="F864" s="73" t="str">
        <x:v>ХХ_МСФО_2025.pdf</x:v>
      </x:c>
      <x:c r="G864" s="73" t="n">
        <x:v>23</x:v>
      </x:c>
      <x:c r="H864" s="73" t="str">
        <x:v>Состав и сумма сверены с раскрытием компании</x:v>
      </x:c>
      <x:c r="I864" s="69"/>
      <x:c r="J864" s="69"/>
      <x:c r="K864" s="69"/>
    </x:row>
    <x:row r="865" ht="26.399999618530273" hidden="0" customHeight="1">
      <x:c r="A865" t="str">
        <x:v>HEAD</x:v>
      </x:c>
      <x:c r="B865" t="str">
        <x:v>2025</x:v>
      </x:c>
      <x:c r="C865" s="73" t="str">
        <x:v>EBITDA по сегменту (скорректированная по составу)</x:v>
      </x:c>
      <x:c r="D865" s="73" t="str">
        <x:v>Вознаграждения акциями</x:v>
      </x:c>
      <x:c r="E865" s="74" t="n">
        <x:v>1791.514</x:v>
      </x:c>
      <x:c r="F865" s="73" t="str">
        <x:v>ХХ_МСФО_2025.pdf</x:v>
      </x:c>
      <x:c r="G865" s="73" t="n">
        <x:v>23</x:v>
      </x:c>
      <x:c r="H865" s="73" t="str">
        <x:v>Состав и сумма сверены с раскрытием компании</x:v>
      </x:c>
      <x:c r="I865" s="69"/>
      <x:c r="J865" s="69"/>
      <x:c r="K865" s="69"/>
    </x:row>
    <x:row r="866" ht="26.399999618530273" hidden="0" customHeight="1">
      <x:c r="A866" t="str">
        <x:v>HEAD</x:v>
      </x:c>
      <x:c r="B866" t="str">
        <x:v>2025</x:v>
      </x:c>
      <x:c r="C866" s="73" t="str">
        <x:v>EBITDA по сегменту (скорректированная по составу)</x:v>
      </x:c>
      <x:c r="D866" s="73" t="str">
        <x:v>Доля в убытках инвестиций</x:v>
      </x:c>
      <x:c r="E866" s="74" t="n">
        <x:v>22.805</x:v>
      </x:c>
      <x:c r="F866" s="73" t="str">
        <x:v>ХХ_МСФО_2025.pdf</x:v>
      </x:c>
      <x:c r="G866" s="73" t="n">
        <x:v>23</x:v>
      </x:c>
      <x:c r="H866" s="73" t="str">
        <x:v>Состав и сумма сверены с раскрытием компании</x:v>
      </x:c>
      <x:c r="I866" s="69"/>
      <x:c r="J866" s="69"/>
      <x:c r="K866" s="69"/>
    </x:row>
    <x:row r="867" ht="26.399999618530273" hidden="0" customHeight="1">
      <x:c r="A867" t="str">
        <x:v>HEAD</x:v>
      </x:c>
      <x:c r="B867" t="str">
        <x:v>2025</x:v>
      </x:c>
      <x:c r="C867" s="73" t="str">
        <x:v>EBITDA по сегменту (скорректированная по составу)</x:v>
      </x:c>
      <x:c r="D867" s="73" t="str">
        <x:v>Затраты по сделкам</x:v>
      </x:c>
      <x:c r="E867" s="74" t="n">
        <x:v>253.276</x:v>
      </x:c>
      <x:c r="F867" s="73" t="str">
        <x:v>ХХ_МСФО_2025.pdf</x:v>
      </x:c>
      <x:c r="G867" s="73" t="n">
        <x:v>23</x:v>
      </x:c>
      <x:c r="H867" s="73" t="str">
        <x:v>Состав и сумма сверены с раскрытием компании</x:v>
      </x:c>
      <x:c r="I867" s="69"/>
      <x:c r="J867" s="69"/>
      <x:c r="K867" s="69"/>
    </x:row>
    <x:row r="868" ht="26.399999618530273" hidden="0" customHeight="1">
      <x:c r="A868" t="str">
        <x:v>HEAD</x:v>
      </x:c>
      <x:c r="B868" t="str">
        <x:v>2025</x:v>
      </x:c>
      <x:c r="C868" s="73" t="str">
        <x:v>EBITDA по сегменту (скорректированная по составу)</x:v>
      </x:c>
      <x:c r="D868" s="73" t="str">
        <x:v>Списание налоговых рисков</x:v>
      </x:c>
      <x:c r="E868" s="74" t="n">
        <x:v>-33.272</x:v>
      </x:c>
      <x:c r="F868" s="73" t="str">
        <x:v>ХХ_МСФО_2025.pdf</x:v>
      </x:c>
      <x:c r="G868" s="73" t="n">
        <x:v>23</x:v>
      </x:c>
      <x:c r="H868" s="73" t="str">
        <x:v>Состав и сумма сверены с раскрытием компании</x:v>
      </x:c>
      <x:c r="I868" s="69"/>
      <x:c r="J868" s="69"/>
      <x:c r="K868" s="69"/>
    </x:row>
    <x:row r="869" ht="26.399999618530273" hidden="0" customHeight="1">
      <x:c r="A869" s="60" t="str">
        <x:v>HEAD</x:v>
      </x:c>
      <x:c r="B869" s="60" t="str">
        <x:v>2025</x:v>
      </x:c>
      <x:c r="C869" s="76" t="str">
        <x:v>EBITDA по сегменту (скорректированная по составу)</x:v>
      </x:c>
      <x:c r="D869" s="76" t="str">
        <x:v>ИТОГО — расчет</x:v>
      </x:c>
      <x:c r="E869" s="77" t="n">
        <x:f>SUM(E861:E868)</x:f>
        <x:v>22761.895</x:v>
      </x:c>
      <x:c r="F869" s="76" t="str">
        <x:v>ХХ_МСФО_2025.pdf</x:v>
      </x:c>
      <x:c r="G869" s="76" t="n">
        <x:v>23</x:v>
      </x:c>
      <x:c r="H869" s="76"/>
      <x:c r="I869" s="71" t="n">
        <x:v>22761.895</x:v>
      </x:c>
      <x:c r="J869" s="71" t="n">
        <x:f>E869-I869</x:f>
        <x:v>0</x:v>
      </x:c>
      <x:c r="K869" s="71" t="n">
        <x:f>SUM(E861:E863)</x:f>
        <x:v>20348.170000000002</x:v>
      </x:c>
    </x:row>
    <x:row r="870" ht="15" hidden="0" customHeight="1">
      <x:c r="C870" s="73"/>
      <x:c r="D870" s="73"/>
      <x:c r="E870" s="74"/>
      <x:c r="F870" s="73"/>
      <x:c r="G870" s="73"/>
      <x:c r="H870" s="73"/>
      <x:c r="I870" s="69"/>
      <x:c r="J870" s="69"/>
      <x:c r="K870" s="69"/>
    </x:row>
    <x:row r="871" ht="26.399999618530273" hidden="0" customHeight="1">
      <x:c r="A871" t="str">
        <x:v>HEAD</x:v>
      </x:c>
      <x:c r="B871" t="str">
        <x:v>1П2025</x:v>
      </x:c>
      <x:c r="C871" s="73" t="str">
        <x:v>EBITDA по сегменту (скорректированная по составу)</x:v>
      </x:c>
      <x:c r="D871" s="73" t="str">
        <x:v>Прибыль до налогообложения</x:v>
      </x:c>
      <x:c r="E871" s="74" t="n">
        <x:v>8578.483</x:v>
      </x:c>
      <x:c r="F871" s="73" t="str">
        <x:v>HEAD_2026H1.pdf</x:v>
      </x:c>
      <x:c r="G871" s="73" t="n">
        <x:v>15</x:v>
      </x:c>
      <x:c r="H871" s="73" t="str">
        <x:v>Состав и сумма сверены с раскрытием компании</x:v>
      </x:c>
      <x:c r="I871" s="69"/>
      <x:c r="J871" s="69"/>
      <x:c r="K871" s="69"/>
    </x:row>
    <x:row r="872" ht="26.399999618530273" hidden="0" customHeight="1">
      <x:c r="A872" t="str">
        <x:v>HEAD</x:v>
      </x:c>
      <x:c r="B872" t="str">
        <x:v>1П2025</x:v>
      </x:c>
      <x:c r="C872" s="73" t="str">
        <x:v>EBITDA по сегменту (скорректированная по составу)</x:v>
      </x:c>
      <x:c r="D872" s="73" t="str">
        <x:v>Минус финансовые доходы, нетто</x:v>
      </x:c>
      <x:c r="E872" s="74" t="n">
        <x:v>-594.543</x:v>
      </x:c>
      <x:c r="F872" s="73" t="str">
        <x:v>HEAD_2026H1.pdf</x:v>
      </x:c>
      <x:c r="G872" s="73" t="n">
        <x:v>15</x:v>
      </x:c>
      <x:c r="H872" s="73" t="str">
        <x:v>Состав и сумма сверены с раскрытием компании</x:v>
      </x:c>
      <x:c r="I872" s="69"/>
      <x:c r="J872" s="69"/>
      <x:c r="K872" s="69"/>
    </x:row>
    <x:row r="873" ht="26.399999618530273" hidden="0" customHeight="1">
      <x:c r="A873" t="str">
        <x:v>HEAD</x:v>
      </x:c>
      <x:c r="B873" t="str">
        <x:v>1П2025</x:v>
      </x:c>
      <x:c r="C873" s="73" t="str">
        <x:v>EBITDA по сегменту (скорректированная по составу)</x:v>
      </x:c>
      <x:c r="D873" s="73" t="str">
        <x:v>Амортизация</x:v>
      </x:c>
      <x:c r="E873" s="74" t="n">
        <x:v>809.591</x:v>
      </x:c>
      <x:c r="F873" s="73" t="str">
        <x:v>HEAD_2026H1.pdf</x:v>
      </x:c>
      <x:c r="G873" s="73" t="n">
        <x:v>15</x:v>
      </x:c>
      <x:c r="H873" s="73" t="str">
        <x:v>Состав и сумма сверены с раскрытием компании</x:v>
      </x:c>
      <x:c r="I873" s="69"/>
      <x:c r="J873" s="69"/>
      <x:c r="K873" s="69"/>
    </x:row>
    <x:row r="874" ht="26.399999618530273" hidden="0" customHeight="1">
      <x:c r="A874" t="str">
        <x:v>HEAD</x:v>
      </x:c>
      <x:c r="B874" t="str">
        <x:v>1П2025</x:v>
      </x:c>
      <x:c r="C874" s="73" t="str">
        <x:v>EBITDA по сегменту (скорректированная по составу)</x:v>
      </x:c>
      <x:c r="D874" s="73" t="str">
        <x:v>Курсовые убытки</x:v>
      </x:c>
      <x:c r="E874" s="74" t="n">
        <x:v>342.576</x:v>
      </x:c>
      <x:c r="F874" s="73" t="str">
        <x:v>HEAD_2026H1.pdf</x:v>
      </x:c>
      <x:c r="G874" s="73" t="n">
        <x:v>15</x:v>
      </x:c>
      <x:c r="H874" s="73" t="str">
        <x:v>Состав и сумма сверены с раскрытием компании</x:v>
      </x:c>
      <x:c r="I874" s="69"/>
      <x:c r="J874" s="69"/>
      <x:c r="K874" s="69"/>
    </x:row>
    <x:row r="875" ht="26.399999618530273" hidden="0" customHeight="1">
      <x:c r="A875" t="str">
        <x:v>HEAD</x:v>
      </x:c>
      <x:c r="B875" t="str">
        <x:v>1П2025</x:v>
      </x:c>
      <x:c r="C875" s="73" t="str">
        <x:v>EBITDA по сегменту (скорректированная по составу)</x:v>
      </x:c>
      <x:c r="D875" s="73" t="str">
        <x:v>Вознаграждения акциями</x:v>
      </x:c>
      <x:c r="E875" s="74" t="n">
        <x:v>1120.325</x:v>
      </x:c>
      <x:c r="F875" s="73" t="str">
        <x:v>HEAD_2026H1.pdf</x:v>
      </x:c>
      <x:c r="G875" s="73" t="n">
        <x:v>15</x:v>
      </x:c>
      <x:c r="H875" s="73" t="str">
        <x:v>Состав и сумма сверены с раскрытием компании</x:v>
      </x:c>
      <x:c r="I875" s="69"/>
      <x:c r="J875" s="69"/>
      <x:c r="K875" s="69"/>
    </x:row>
    <x:row r="876" ht="26.399999618530273" hidden="0" customHeight="1">
      <x:c r="A876" t="str">
        <x:v>HEAD</x:v>
      </x:c>
      <x:c r="B876" t="str">
        <x:v>1П2025</x:v>
      </x:c>
      <x:c r="C876" s="73" t="str">
        <x:v>EBITDA по сегменту (скорректированная по составу)</x:v>
      </x:c>
      <x:c r="D876" s="73" t="str">
        <x:v>Доля в убытках инвестиций</x:v>
      </x:c>
      <x:c r="E876" s="74" t="n">
        <x:v>0</x:v>
      </x:c>
      <x:c r="F876" s="73" t="str">
        <x:v>HEAD_2026H1.pdf</x:v>
      </x:c>
      <x:c r="G876" s="73" t="n">
        <x:v>15</x:v>
      </x:c>
      <x:c r="H876" s="73" t="str">
        <x:v>Состав и сумма сверены с раскрытием компании</x:v>
      </x:c>
      <x:c r="I876" s="69"/>
      <x:c r="J876" s="69"/>
      <x:c r="K876" s="69"/>
    </x:row>
    <x:row r="877" ht="26.399999618530273" hidden="0" customHeight="1">
      <x:c r="A877" t="str">
        <x:v>HEAD</x:v>
      </x:c>
      <x:c r="B877" t="str">
        <x:v>1П2025</x:v>
      </x:c>
      <x:c r="C877" s="73" t="str">
        <x:v>EBITDA по сегменту (скорректированная по составу)</x:v>
      </x:c>
      <x:c r="D877" s="73" t="str">
        <x:v>Затраты по сделкам</x:v>
      </x:c>
      <x:c r="E877" s="74" t="n">
        <x:v>12.189</x:v>
      </x:c>
      <x:c r="F877" s="73" t="str">
        <x:v>HEAD_2026H1.pdf</x:v>
      </x:c>
      <x:c r="G877" s="73" t="n">
        <x:v>15</x:v>
      </x:c>
      <x:c r="H877" s="73" t="str">
        <x:v>Состав и сумма сверены с раскрытием компании</x:v>
      </x:c>
      <x:c r="I877" s="69"/>
      <x:c r="J877" s="69"/>
      <x:c r="K877" s="69"/>
    </x:row>
    <x:row r="878" ht="26.399999618530273" hidden="0" customHeight="1">
      <x:c r="A878" t="str">
        <x:v>HEAD</x:v>
      </x:c>
      <x:c r="B878" t="str">
        <x:v>1П2025</x:v>
      </x:c>
      <x:c r="C878" s="73" t="str">
        <x:v>EBITDA по сегменту (скорректированная по составу)</x:v>
      </x:c>
      <x:c r="D878" s="73" t="str">
        <x:v>Списание налоговых рисков</x:v>
      </x:c>
      <x:c r="E878" s="74" t="n">
        <x:v>0</x:v>
      </x:c>
      <x:c r="F878" s="73" t="str">
        <x:v>HEAD_2026H1.pdf</x:v>
      </x:c>
      <x:c r="G878" s="73" t="n">
        <x:v>15</x:v>
      </x:c>
      <x:c r="H878" s="73" t="str">
        <x:v>Состав и сумма сверены с раскрытием компании</x:v>
      </x:c>
      <x:c r="I878" s="69"/>
      <x:c r="J878" s="69"/>
      <x:c r="K878" s="69"/>
    </x:row>
    <x:row r="879" ht="26.399999618530273" hidden="0" customHeight="1">
      <x:c r="A879" s="60" t="str">
        <x:v>HEAD</x:v>
      </x:c>
      <x:c r="B879" s="60" t="str">
        <x:v>1П2025</x:v>
      </x:c>
      <x:c r="C879" s="76" t="str">
        <x:v>EBITDA по сегменту (скорректированная по составу)</x:v>
      </x:c>
      <x:c r="D879" s="76" t="str">
        <x:v>ИТОГО — расчет</x:v>
      </x:c>
      <x:c r="E879" s="77" t="n">
        <x:f>SUM(E871:E878)</x:f>
        <x:v>10268.621000000001</x:v>
      </x:c>
      <x:c r="F879" s="76" t="str">
        <x:v>HEAD_2026H1.pdf</x:v>
      </x:c>
      <x:c r="G879" s="76" t="n">
        <x:v>15</x:v>
      </x:c>
      <x:c r="H879" s="76"/>
      <x:c r="I879" s="71" t="n">
        <x:v>10268.621</x:v>
      </x:c>
      <x:c r="J879" s="71" t="n">
        <x:f>E879-I879</x:f>
        <x:v>1.8189894035458565e-12</x:v>
      </x:c>
      <x:c r="K879" s="71" t="n">
        <x:f>SUM(E871:E873)</x:f>
        <x:v>8793.531</x:v>
      </x:c>
    </x:row>
    <x:row r="880" ht="15" hidden="0" customHeight="1">
      <x:c r="C880" s="73"/>
      <x:c r="D880" s="73"/>
      <x:c r="E880" s="74"/>
      <x:c r="F880" s="73"/>
      <x:c r="G880" s="73"/>
      <x:c r="H880" s="73"/>
      <x:c r="I880" s="69"/>
      <x:c r="J880" s="69"/>
      <x:c r="K880" s="69"/>
    </x:row>
    <x:row r="881" ht="26.399999618530273" hidden="0" customHeight="1">
      <x:c r="A881" t="str">
        <x:v>HEAD</x:v>
      </x:c>
      <x:c r="B881" t="str">
        <x:v>1П2026</x:v>
      </x:c>
      <x:c r="C881" s="73" t="str">
        <x:v>EBITDA по сегменту (скорректированная по составу)</x:v>
      </x:c>
      <x:c r="D881" s="73" t="str">
        <x:v>Прибыль до налогообложения</x:v>
      </x:c>
      <x:c r="E881" s="74" t="n">
        <x:v>8686.366</x:v>
      </x:c>
      <x:c r="F881" s="73" t="str">
        <x:v>HEAD_2026H1.pdf</x:v>
      </x:c>
      <x:c r="G881" s="73" t="n">
        <x:v>15</x:v>
      </x:c>
      <x:c r="H881" s="73" t="str">
        <x:v>Состав и сумма сверены с раскрытием компании</x:v>
      </x:c>
      <x:c r="I881" s="69"/>
      <x:c r="J881" s="69"/>
      <x:c r="K881" s="69"/>
    </x:row>
    <x:row r="882" ht="26.399999618530273" hidden="0" customHeight="1">
      <x:c r="A882" t="str">
        <x:v>HEAD</x:v>
      </x:c>
      <x:c r="B882" t="str">
        <x:v>1П2026</x:v>
      </x:c>
      <x:c r="C882" s="73" t="str">
        <x:v>EBITDA по сегменту (скорректированная по составу)</x:v>
      </x:c>
      <x:c r="D882" s="73" t="str">
        <x:v>Минус финансовые доходы, нетто</x:v>
      </x:c>
      <x:c r="E882" s="74" t="n">
        <x:v>-609.923</x:v>
      </x:c>
      <x:c r="F882" s="73" t="str">
        <x:v>HEAD_2026H1.pdf</x:v>
      </x:c>
      <x:c r="G882" s="73" t="n">
        <x:v>15</x:v>
      </x:c>
      <x:c r="H882" s="73" t="str">
        <x:v>Состав и сумма сверены с раскрытием компании</x:v>
      </x:c>
      <x:c r="I882" s="69"/>
      <x:c r="J882" s="69"/>
      <x:c r="K882" s="69"/>
    </x:row>
    <x:row r="883" ht="26.399999618530273" hidden="0" customHeight="1">
      <x:c r="A883" t="str">
        <x:v>HEAD</x:v>
      </x:c>
      <x:c r="B883" t="str">
        <x:v>1П2026</x:v>
      </x:c>
      <x:c r="C883" s="73" t="str">
        <x:v>EBITDA по сегменту (скорректированная по составу)</x:v>
      </x:c>
      <x:c r="D883" s="73" t="str">
        <x:v>Амортизация</x:v>
      </x:c>
      <x:c r="E883" s="74" t="n">
        <x:v>895.111</x:v>
      </x:c>
      <x:c r="F883" s="73" t="str">
        <x:v>HEAD_2026H1.pdf</x:v>
      </x:c>
      <x:c r="G883" s="73" t="n">
        <x:v>15</x:v>
      </x:c>
      <x:c r="H883" s="73" t="str">
        <x:v>Состав и сумма сверены с раскрытием компании</x:v>
      </x:c>
      <x:c r="I883" s="69"/>
      <x:c r="J883" s="69"/>
      <x:c r="K883" s="69"/>
    </x:row>
    <x:row r="884" ht="26.399999618530273" hidden="0" customHeight="1">
      <x:c r="A884" t="str">
        <x:v>HEAD</x:v>
      </x:c>
      <x:c r="B884" t="str">
        <x:v>1П2026</x:v>
      </x:c>
      <x:c r="C884" s="73" t="str">
        <x:v>EBITDA по сегменту (скорректированная по составу)</x:v>
      </x:c>
      <x:c r="D884" s="73" t="str">
        <x:v>Курсовые убытки</x:v>
      </x:c>
      <x:c r="E884" s="74" t="n">
        <x:v>71.577</x:v>
      </x:c>
      <x:c r="F884" s="73" t="str">
        <x:v>HEAD_2026H1.pdf</x:v>
      </x:c>
      <x:c r="G884" s="73" t="n">
        <x:v>15</x:v>
      </x:c>
      <x:c r="H884" s="73" t="str">
        <x:v>Состав и сумма сверены с раскрытием компании</x:v>
      </x:c>
      <x:c r="I884" s="69"/>
      <x:c r="J884" s="69"/>
      <x:c r="K884" s="69"/>
    </x:row>
    <x:row r="885" ht="26.399999618530273" hidden="0" customHeight="1">
      <x:c r="A885" t="str">
        <x:v>HEAD</x:v>
      </x:c>
      <x:c r="B885" t="str">
        <x:v>1П2026</x:v>
      </x:c>
      <x:c r="C885" s="73" t="str">
        <x:v>EBITDA по сегменту (скорректированная по составу)</x:v>
      </x:c>
      <x:c r="D885" s="73" t="str">
        <x:v>Вознаграждения акциями</x:v>
      </x:c>
      <x:c r="E885" s="74" t="n">
        <x:v>693.149</x:v>
      </x:c>
      <x:c r="F885" s="73" t="str">
        <x:v>HEAD_2026H1.pdf</x:v>
      </x:c>
      <x:c r="G885" s="73" t="n">
        <x:v>15</x:v>
      </x:c>
      <x:c r="H885" s="73" t="str">
        <x:v>Состав и сумма сверены с раскрытием компании</x:v>
      </x:c>
      <x:c r="I885" s="69"/>
      <x:c r="J885" s="69"/>
      <x:c r="K885" s="69"/>
    </x:row>
    <x:row r="886" ht="26.399999618530273" hidden="0" customHeight="1">
      <x:c r="A886" t="str">
        <x:v>HEAD</x:v>
      </x:c>
      <x:c r="B886" t="str">
        <x:v>1П2026</x:v>
      </x:c>
      <x:c r="C886" s="73" t="str">
        <x:v>EBITDA по сегменту (скорректированная по составу)</x:v>
      </x:c>
      <x:c r="D886" s="73" t="str">
        <x:v>Доля в убытках инвестиций</x:v>
      </x:c>
      <x:c r="E886" s="74" t="n">
        <x:v>61.405</x:v>
      </x:c>
      <x:c r="F886" s="73" t="str">
        <x:v>HEAD_2026H1.pdf</x:v>
      </x:c>
      <x:c r="G886" s="73" t="n">
        <x:v>15</x:v>
      </x:c>
      <x:c r="H886" s="73" t="str">
        <x:v>Состав и сумма сверены с раскрытием компании</x:v>
      </x:c>
      <x:c r="I886" s="69"/>
      <x:c r="J886" s="69"/>
      <x:c r="K886" s="69"/>
    </x:row>
    <x:row r="887" ht="26.399999618530273" hidden="0" customHeight="1">
      <x:c r="A887" t="str">
        <x:v>HEAD</x:v>
      </x:c>
      <x:c r="B887" t="str">
        <x:v>1П2026</x:v>
      </x:c>
      <x:c r="C887" s="73" t="str">
        <x:v>EBITDA по сегменту (скорректированная по составу)</x:v>
      </x:c>
      <x:c r="D887" s="73" t="str">
        <x:v>Затраты по сделкам</x:v>
      </x:c>
      <x:c r="E887" s="74" t="n">
        <x:v>15</x:v>
      </x:c>
      <x:c r="F887" s="73" t="str">
        <x:v>HEAD_2026H1.pdf</x:v>
      </x:c>
      <x:c r="G887" s="73" t="n">
        <x:v>15</x:v>
      </x:c>
      <x:c r="H887" s="73" t="str">
        <x:v>Состав и сумма сверены с раскрытием компании</x:v>
      </x:c>
      <x:c r="I887" s="69"/>
      <x:c r="J887" s="69"/>
      <x:c r="K887" s="69"/>
    </x:row>
    <x:row r="888" ht="26.399999618530273" hidden="0" customHeight="1">
      <x:c r="A888" t="str">
        <x:v>HEAD</x:v>
      </x:c>
      <x:c r="B888" t="str">
        <x:v>1П2026</x:v>
      </x:c>
      <x:c r="C888" s="73" t="str">
        <x:v>EBITDA по сегменту (скорректированная по составу)</x:v>
      </x:c>
      <x:c r="D888" s="73" t="str">
        <x:v>Списание налоговых рисков</x:v>
      </x:c>
      <x:c r="E888" s="74" t="n">
        <x:v>0</x:v>
      </x:c>
      <x:c r="F888" s="73" t="str">
        <x:v>HEAD_2026H1.pdf</x:v>
      </x:c>
      <x:c r="G888" s="73" t="n">
        <x:v>15</x:v>
      </x:c>
      <x:c r="H888" s="73" t="str">
        <x:v>Состав и сумма сверены с раскрытием компании</x:v>
      </x:c>
      <x:c r="I888" s="69"/>
      <x:c r="J888" s="69"/>
      <x:c r="K888" s="69"/>
    </x:row>
    <x:row r="889" ht="26.399999618530273" hidden="0" customHeight="1">
      <x:c r="A889" s="60" t="str">
        <x:v>HEAD</x:v>
      </x:c>
      <x:c r="B889" s="60" t="str">
        <x:v>1П2026</x:v>
      </x:c>
      <x:c r="C889" s="76" t="str">
        <x:v>EBITDA по сегменту (скорректированная по составу)</x:v>
      </x:c>
      <x:c r="D889" s="76" t="str">
        <x:v>ИТОГО — расчет</x:v>
      </x:c>
      <x:c r="E889" s="77" t="n">
        <x:f>SUM(E881:E888)</x:f>
        <x:v>9812.685</x:v>
      </x:c>
      <x:c r="F889" s="76" t="str">
        <x:v>HEAD_2026H1.pdf</x:v>
      </x:c>
      <x:c r="G889" s="76" t="n">
        <x:v>15</x:v>
      </x:c>
      <x:c r="H889" s="76"/>
      <x:c r="I889" s="71" t="n">
        <x:v>9812.685</x:v>
      </x:c>
      <x:c r="J889" s="71" t="n">
        <x:f>E889-I889</x:f>
        <x:v>0</x:v>
      </x:c>
      <x:c r="K889" s="71" t="n">
        <x:f>SUM(E881:E883)</x:f>
        <x:v>8971.554</x:v>
      </x:c>
    </x:row>
    <x:row r="890" ht="15" hidden="0" customHeight="1">
      <x:c r="C890" s="73"/>
      <x:c r="D890" s="73"/>
      <x:c r="E890" s="74"/>
      <x:c r="F890" s="73"/>
      <x:c r="G890" s="73"/>
      <x:c r="H890" s="73"/>
      <x:c r="I890" s="69"/>
      <x:c r="J890" s="69"/>
      <x:c r="K890" s="69"/>
    </x:row>
    <x:row r="891" ht="15" hidden="0" customHeight="1">
      <x:c r="A891" t="str">
        <x:v>CNRU</x:v>
      </x:c>
      <x:c r="B891" t="str">
        <x:v>2025</x:v>
      </x:c>
      <x:c r="C891" s="73" t="str">
        <x:v>Скорр. EBITDA</x:v>
      </x:c>
      <x:c r="D891" s="73" t="str">
        <x:v>Прибыль до налогообложения</x:v>
      </x:c>
      <x:c r="E891" s="74" t="n">
        <x:v>4220</x:v>
      </x:c>
      <x:c r="F891" s="73" t="str">
        <x:v>Циан_МСФО_2025.pdf</x:v>
      </x:c>
      <x:c r="G891" s="73" t="n">
        <x:v>28</x:v>
      </x:c>
      <x:c r="H891" s="73" t="str">
        <x:v>Состав и сумма сверены с раскрытием компании</x:v>
      </x:c>
      <x:c r="I891" s="69"/>
      <x:c r="J891" s="69"/>
      <x:c r="K891" s="69"/>
    </x:row>
    <x:row r="892" ht="15" hidden="0" customHeight="1">
      <x:c r="A892" t="str">
        <x:v>CNRU</x:v>
      </x:c>
      <x:c r="B892" t="str">
        <x:v>2025</x:v>
      </x:c>
      <x:c r="C892" s="73" t="str">
        <x:v>Скорр. EBITDA</x:v>
      </x:c>
      <x:c r="D892" s="73" t="str">
        <x:v>Амортизация</x:v>
      </x:c>
      <x:c r="E892" s="74" t="n">
        <x:v>386</x:v>
      </x:c>
      <x:c r="F892" s="73" t="str">
        <x:v>Циан_МСФО_2025.pdf</x:v>
      </x:c>
      <x:c r="G892" s="73" t="n">
        <x:v>28</x:v>
      </x:c>
      <x:c r="H892" s="73" t="str">
        <x:v>Состав и сумма сверены с раскрытием компании</x:v>
      </x:c>
      <x:c r="I892" s="69"/>
      <x:c r="J892" s="69"/>
      <x:c r="K892" s="69"/>
    </x:row>
    <x:row r="893" ht="15" hidden="0" customHeight="1">
      <x:c r="A893" t="str">
        <x:v>CNRU</x:v>
      </x:c>
      <x:c r="B893" t="str">
        <x:v>2025</x:v>
      </x:c>
      <x:c r="C893" s="73" t="str">
        <x:v>Скорр. EBITDA</x:v>
      </x:c>
      <x:c r="D893" s="73" t="str">
        <x:v>Минус финансовые доходы, нетто</x:v>
      </x:c>
      <x:c r="E893" s="74" t="n">
        <x:v>-1885</x:v>
      </x:c>
      <x:c r="F893" s="73" t="str">
        <x:v>Циан_МСФО_2025.pdf</x:v>
      </x:c>
      <x:c r="G893" s="73" t="n">
        <x:v>28</x:v>
      </x:c>
      <x:c r="H893" s="73" t="str">
        <x:v>Состав и сумма сверены с раскрытием компании</x:v>
      </x:c>
      <x:c r="I893" s="69"/>
      <x:c r="J893" s="69"/>
      <x:c r="K893" s="69"/>
    </x:row>
    <x:row r="894" ht="15" hidden="0" customHeight="1">
      <x:c r="A894" t="str">
        <x:v>CNRU</x:v>
      </x:c>
      <x:c r="B894" t="str">
        <x:v>2025</x:v>
      </x:c>
      <x:c r="C894" s="73" t="str">
        <x:v>Скорр. EBITDA</x:v>
      </x:c>
      <x:c r="D894" s="73" t="str">
        <x:v>Курсовые убытки</x:v>
      </x:c>
      <x:c r="E894" s="74" t="n">
        <x:v>586</x:v>
      </x:c>
      <x:c r="F894" s="73" t="str">
        <x:v>Циан_МСФО_2025.pdf</x:v>
      </x:c>
      <x:c r="G894" s="73" t="n">
        <x:v>28</x:v>
      </x:c>
      <x:c r="H894" s="73" t="str">
        <x:v>Состав и сумма сверены с раскрытием компании</x:v>
      </x:c>
      <x:c r="I894" s="69"/>
      <x:c r="J894" s="69"/>
      <x:c r="K894" s="69"/>
    </x:row>
    <x:row r="895" ht="15" hidden="0" customHeight="1">
      <x:c r="A895" t="str">
        <x:v>CNRU</x:v>
      </x:c>
      <x:c r="B895" t="str">
        <x:v>2025</x:v>
      </x:c>
      <x:c r="C895" s="73" t="str">
        <x:v>Скорр. EBITDA</x:v>
      </x:c>
      <x:c r="D895" s="73" t="str">
        <x:v>Минус прочие неоперационные доходы</x:v>
      </x:c>
      <x:c r="E895" s="74" t="n">
        <x:v>-189</x:v>
      </x:c>
      <x:c r="F895" s="73" t="str">
        <x:v>Циан_МСФО_2025.pdf</x:v>
      </x:c>
      <x:c r="G895" s="73" t="n">
        <x:v>28</x:v>
      </x:c>
      <x:c r="H895" s="73" t="str">
        <x:v>Состав и сумма сверены с раскрытием компании</x:v>
      </x:c>
      <x:c r="I895" s="69"/>
      <x:c r="J895" s="69"/>
      <x:c r="K895" s="69"/>
    </x:row>
    <x:row r="896" ht="15" hidden="0" customHeight="1">
      <x:c r="A896" t="str">
        <x:v>CNRU</x:v>
      </x:c>
      <x:c r="B896" t="str">
        <x:v>2025</x:v>
      </x:c>
      <x:c r="C896" s="73" t="str">
        <x:v>Скорр. EBITDA</x:v>
      </x:c>
      <x:c r="D896" s="73" t="str">
        <x:v>Реструктуризация</x:v>
      </x:c>
      <x:c r="E896" s="74" t="n">
        <x:v>228</x:v>
      </x:c>
      <x:c r="F896" s="73" t="str">
        <x:v>Циан_МСФО_2025.pdf</x:v>
      </x:c>
      <x:c r="G896" s="73" t="n">
        <x:v>28</x:v>
      </x:c>
      <x:c r="H896" s="73" t="str">
        <x:v>Состав и сумма сверены с раскрытием компании</x:v>
      </x:c>
      <x:c r="I896" s="69"/>
      <x:c r="J896" s="69"/>
      <x:c r="K896" s="69"/>
    </x:row>
    <x:row r="897" ht="15" hidden="0" customHeight="1">
      <x:c r="A897" t="str">
        <x:v>CNRU</x:v>
      </x:c>
      <x:c r="B897" t="str">
        <x:v>2025</x:v>
      </x:c>
      <x:c r="C897" s="73" t="str">
        <x:v>Скорр. EBITDA</x:v>
      </x:c>
      <x:c r="D897" s="73" t="str">
        <x:v>Вознаграждения акциями</x:v>
      </x:c>
      <x:c r="E897" s="74" t="n">
        <x:v>224</x:v>
      </x:c>
      <x:c r="F897" s="73" t="str">
        <x:v>Циан_МСФО_2025.pdf</x:v>
      </x:c>
      <x:c r="G897" s="73" t="n">
        <x:v>28</x:v>
      </x:c>
      <x:c r="H897" s="73" t="str">
        <x:v>Состав и сумма сверены с раскрытием компании</x:v>
      </x:c>
      <x:c r="I897" s="69"/>
      <x:c r="J897" s="69"/>
      <x:c r="K897" s="69"/>
    </x:row>
    <x:row r="898" ht="15" hidden="0" customHeight="1">
      <x:c r="A898" s="60" t="str">
        <x:v>CNRU</x:v>
      </x:c>
      <x:c r="B898" s="60" t="str">
        <x:v>2025</x:v>
      </x:c>
      <x:c r="C898" s="76" t="str">
        <x:v>Скорр. EBITDA</x:v>
      </x:c>
      <x:c r="D898" s="76" t="str">
        <x:v>ИТОГО — расчет</x:v>
      </x:c>
      <x:c r="E898" s="77" t="n">
        <x:f>SUM(E891:E897)</x:f>
        <x:v>3570</x:v>
      </x:c>
      <x:c r="F898" s="76" t="str">
        <x:v>Циан_МСФО_2025.pdf</x:v>
      </x:c>
      <x:c r="G898" s="76" t="n">
        <x:v>28</x:v>
      </x:c>
      <x:c r="H898" s="76"/>
      <x:c r="I898" s="71" t="n">
        <x:v>3570</x:v>
      </x:c>
      <x:c r="J898" s="71" t="n">
        <x:f>E898-I898</x:f>
        <x:v>0</x:v>
      </x:c>
      <x:c r="K898" s="71" t="n">
        <x:f>SUM(E891:E893)</x:f>
        <x:v>2721</x:v>
      </x:c>
    </x:row>
    <x:row r="899" ht="15" hidden="0" customHeight="1">
      <x:c r="C899" s="73"/>
      <x:c r="D899" s="73"/>
      <x:c r="E899" s="74"/>
      <x:c r="F899" s="73"/>
      <x:c r="G899" s="73"/>
      <x:c r="H899" s="73"/>
      <x:c r="I899" s="69"/>
      <x:c r="J899" s="69"/>
      <x:c r="K899" s="69"/>
    </x:row>
    <x:row r="900" ht="26.399999618530273" hidden="0" customHeight="1">
      <x:c r="A900" t="str">
        <x:v>X5</x:v>
      </x:c>
      <x:c r="B900" t="str">
        <x:v>2025</x:v>
      </x:c>
      <x:c r="C900" s="73" t="str">
        <x:v>EBITDA IFRS 16 по методологии компании</x:v>
      </x:c>
      <x:c r="D900" s="73" t="str">
        <x:v>Валовая прибыль</x:v>
      </x:c>
      <x:c r="E900" s="74" t="n">
        <x:v>1119209</x:v>
      </x:c>
      <x:c r="F900" s="73" t="str">
        <x:v>X5_IR_FY_2026H1.pdf</x:v>
      </x:c>
      <x:c r="G900" s="73" t="n">
        <x:v>16</x:v>
      </x:c>
      <x:c r="H900" s="73" t="str">
        <x:v>Состав и сумма сверены с раскрытием компании</x:v>
      </x:c>
      <x:c r="I900" s="69"/>
      <x:c r="J900" s="69"/>
      <x:c r="K900" s="69"/>
    </x:row>
    <x:row r="901" ht="26.399999618530273" hidden="0" customHeight="1">
      <x:c r="A901" t="str">
        <x:v>X5</x:v>
      </x:c>
      <x:c r="B901" t="str">
        <x:v>2025</x:v>
      </x:c>
      <x:c r="C901" s="73" t="str">
        <x:v>EBITDA IFRS 16 по методологии компании</x:v>
      </x:c>
      <x:c r="D901" s="73" t="str">
        <x:v>Коммерческие и административные расходы без амортизации, обесценения и LTI</x:v>
      </x:c>
      <x:c r="E901" s="74" t="n">
        <x:v>-695079</x:v>
      </x:c>
      <x:c r="F901" s="73" t="str">
        <x:v>X5_IR_FY_2026H1.pdf</x:v>
      </x:c>
      <x:c r="G901" s="73" t="n">
        <x:v>16</x:v>
      </x:c>
      <x:c r="H901" s="73" t="str">
        <x:v>Состав и сумма сверены с раскрытием компании</x:v>
      </x:c>
      <x:c r="I901" s="69"/>
      <x:c r="J901" s="69"/>
      <x:c r="K901" s="69"/>
    </x:row>
    <x:row r="902" ht="26.399999618530273" hidden="0" customHeight="1">
      <x:c r="A902" t="str">
        <x:v>X5</x:v>
      </x:c>
      <x:c r="B902" t="str">
        <x:v>2025</x:v>
      </x:c>
      <x:c r="C902" s="73" t="str">
        <x:v>EBITDA IFRS 16 по методологии компании</x:v>
      </x:c>
      <x:c r="D902" s="73" t="str">
        <x:v>Ожидаемые кредитные убытки без разового эффекта</x:v>
      </x:c>
      <x:c r="E902" s="74" t="n">
        <x:v>-821</x:v>
      </x:c>
      <x:c r="F902" s="73" t="str">
        <x:v>X5_IR_FY_2026H1.pdf</x:v>
      </x:c>
      <x:c r="G902" s="73" t="n">
        <x:v>16</x:v>
      </x:c>
      <x:c r="H902" s="73" t="str">
        <x:v>Состав и сумма сверены с раскрытием компании</x:v>
      </x:c>
      <x:c r="I902" s="69"/>
      <x:c r="J902" s="69"/>
      <x:c r="K902" s="69"/>
    </x:row>
    <x:row r="903" ht="26.399999618530273" hidden="0" customHeight="1">
      <x:c r="A903" t="str">
        <x:v>X5</x:v>
      </x:c>
      <x:c r="B903" t="str">
        <x:v>2025</x:v>
      </x:c>
      <x:c r="C903" s="73" t="str">
        <x:v>EBITDA IFRS 16 по методологии компании</x:v>
      </x:c>
      <x:c r="D903" s="73" t="str">
        <x:v>Арендные и прочие операционные доходы</x:v>
      </x:c>
      <x:c r="E903" s="74" t="n">
        <x:v>29726</x:v>
      </x:c>
      <x:c r="F903" s="73" t="str">
        <x:v>X5_IR_FY_2026H1.pdf</x:v>
      </x:c>
      <x:c r="G903" s="73" t="n">
        <x:v>16</x:v>
      </x:c>
      <x:c r="H903" s="73" t="str">
        <x:v>Состав и сумма сверены с раскрытием компании</x:v>
      </x:c>
      <x:c r="I903" s="69"/>
      <x:c r="J903" s="69"/>
      <x:c r="K903" s="69"/>
    </x:row>
    <x:row r="904" ht="26.399999618530273" hidden="0" customHeight="1">
      <x:c r="A904" t="str">
        <x:v>X5</x:v>
      </x:c>
      <x:c r="B904" t="str">
        <x:v>2025</x:v>
      </x:c>
      <x:c r="C904" s="73" t="str">
        <x:v>EBITDA IFRS 16 по методологии компании</x:v>
      </x:c>
      <x:c r="D904" s="73" t="str">
        <x:v>LTI и прочее вознаграждение</x:v>
      </x:c>
      <x:c r="E904" s="74" t="n">
        <x:v>-8232</x:v>
      </x:c>
      <x:c r="F904" s="73" t="str">
        <x:v>X5_IR_FY_2026H1.pdf</x:v>
      </x:c>
      <x:c r="G904" s="73" t="n">
        <x:v>16</x:v>
      </x:c>
      <x:c r="H904" s="73" t="str">
        <x:v>Состав и сумма сверены с раскрытием компании</x:v>
      </x:c>
      <x:c r="I904" s="69"/>
      <x:c r="J904" s="69"/>
      <x:c r="K904" s="69"/>
    </x:row>
    <x:row r="905" ht="26.399999618530273" hidden="0" customHeight="1">
      <x:c r="A905" t="str">
        <x:v>X5</x:v>
      </x:c>
      <x:c r="B905" t="str">
        <x:v>2025</x:v>
      </x:c>
      <x:c r="C905" s="73" t="str">
        <x:v>EBITDA IFRS 16 по методологии компании</x:v>
      </x:c>
      <x:c r="D905" s="73" t="str">
        <x:v>Разовое обесценение финансовых активов</x:v>
      </x:c>
      <x:c r="E905" s="74" t="n">
        <x:v>-4127</x:v>
      </x:c>
      <x:c r="F905" s="73" t="str">
        <x:v>X5_IR_FY_2026H1.pdf</x:v>
      </x:c>
      <x:c r="G905" s="73" t="n">
        <x:v>16</x:v>
      </x:c>
      <x:c r="H905" s="73" t="str">
        <x:v>Состав и сумма сверены с раскрытием компании</x:v>
      </x:c>
      <x:c r="I905" s="69"/>
      <x:c r="J905" s="69"/>
      <x:c r="K905" s="69"/>
    </x:row>
    <x:row r="906" ht="26.399999618530273" hidden="0" customHeight="1">
      <x:c r="A906" s="60" t="str">
        <x:v>X5</x:v>
      </x:c>
      <x:c r="B906" s="60" t="str">
        <x:v>2025</x:v>
      </x:c>
      <x:c r="C906" s="76" t="str">
        <x:v>EBITDA IFRS 16 по методологии компании</x:v>
      </x:c>
      <x:c r="D906" s="76" t="str">
        <x:v>ИТОГО — расчет</x:v>
      </x:c>
      <x:c r="E906" s="77" t="n">
        <x:f>SUM(E900:E905)</x:f>
        <x:v>440676</x:v>
      </x:c>
      <x:c r="F906" s="76" t="str">
        <x:v>X5_IR_FY_2026H1.pdf</x:v>
      </x:c>
      <x:c r="G906" s="76" t="n">
        <x:v>16</x:v>
      </x:c>
      <x:c r="H906" s="76"/>
      <x:c r="I906" s="71" t="n">
        <x:v>440676</x:v>
      </x:c>
      <x:c r="J906" s="71" t="n">
        <x:f>E906-I906</x:f>
        <x:v>0</x:v>
      </x:c>
      <x:c r="K906" s="71" t="n">
        <x:f>SUM(E900:E905)</x:f>
        <x:v>440676</x:v>
      </x:c>
    </x:row>
    <x:row r="907" ht="15" hidden="0" customHeight="1">
      <x:c r="C907" s="73"/>
      <x:c r="D907" s="73"/>
      <x:c r="E907" s="74"/>
      <x:c r="F907" s="73"/>
      <x:c r="G907" s="73"/>
      <x:c r="H907" s="73"/>
      <x:c r="I907" s="69"/>
      <x:c r="J907" s="69"/>
      <x:c r="K907" s="69"/>
    </x:row>
    <x:row r="908" ht="26.399999618530273" hidden="0" customHeight="1">
      <x:c r="A908" t="str">
        <x:v>X5</x:v>
      </x:c>
      <x:c r="B908" t="str">
        <x:v>1П2025</x:v>
      </x:c>
      <x:c r="C908" s="73" t="str">
        <x:v>EBITDA IFRS 16 по методологии компании</x:v>
      </x:c>
      <x:c r="D908" s="73" t="str">
        <x:v>Валовая прибыль</x:v>
      </x:c>
      <x:c r="E908" s="74" t="n">
        <x:v>533739</x:v>
      </x:c>
      <x:c r="F908" s="73" t="str">
        <x:v>X5_IR_2026H1.pdf</x:v>
      </x:c>
      <x:c r="G908" s="73" t="n">
        <x:v>17</x:v>
      </x:c>
      <x:c r="H908" s="73" t="str">
        <x:v>Состав и сумма сверены с раскрытием компании</x:v>
      </x:c>
      <x:c r="I908" s="69"/>
      <x:c r="J908" s="69"/>
      <x:c r="K908" s="69"/>
    </x:row>
    <x:row r="909" ht="26.399999618530273" hidden="0" customHeight="1">
      <x:c r="A909" t="str">
        <x:v>X5</x:v>
      </x:c>
      <x:c r="B909" t="str">
        <x:v>1П2025</x:v>
      </x:c>
      <x:c r="C909" s="73" t="str">
        <x:v>EBITDA IFRS 16 по методологии компании</x:v>
      </x:c>
      <x:c r="D909" s="73" t="str">
        <x:v>Коммерческие и административные расходы без амортизации, обесценения и LTI</x:v>
      </x:c>
      <x:c r="E909" s="74" t="n">
        <x:v>-337014</x:v>
      </x:c>
      <x:c r="F909" s="73" t="str">
        <x:v>X5_IR_2026H1.pdf</x:v>
      </x:c>
      <x:c r="G909" s="73" t="n">
        <x:v>17</x:v>
      </x:c>
      <x:c r="H909" s="73" t="str">
        <x:v>Состав и сумма сверены с раскрытием компании</x:v>
      </x:c>
      <x:c r="I909" s="69"/>
      <x:c r="J909" s="69"/>
      <x:c r="K909" s="69"/>
    </x:row>
    <x:row r="910" ht="26.399999618530273" hidden="0" customHeight="1">
      <x:c r="A910" t="str">
        <x:v>X5</x:v>
      </x:c>
      <x:c r="B910" t="str">
        <x:v>1П2025</x:v>
      </x:c>
      <x:c r="C910" s="73" t="str">
        <x:v>EBITDA IFRS 16 по методологии компании</x:v>
      </x:c>
      <x:c r="D910" s="73" t="str">
        <x:v>Ожидаемые кредитные убытки без разового эффекта</x:v>
      </x:c>
      <x:c r="E910" s="74" t="n">
        <x:v>-171</x:v>
      </x:c>
      <x:c r="F910" s="73" t="str">
        <x:v>X5_IR_2026H1.pdf</x:v>
      </x:c>
      <x:c r="G910" s="73" t="n">
        <x:v>17</x:v>
      </x:c>
      <x:c r="H910" s="73" t="str">
        <x:v>Состав и сумма сверены с раскрытием компании</x:v>
      </x:c>
      <x:c r="I910" s="69"/>
      <x:c r="J910" s="69"/>
      <x:c r="K910" s="69"/>
    </x:row>
    <x:row r="911" ht="26.399999618530273" hidden="0" customHeight="1">
      <x:c r="A911" t="str">
        <x:v>X5</x:v>
      </x:c>
      <x:c r="B911" t="str">
        <x:v>1П2025</x:v>
      </x:c>
      <x:c r="C911" s="73" t="str">
        <x:v>EBITDA IFRS 16 по методологии компании</x:v>
      </x:c>
      <x:c r="D911" s="73" t="str">
        <x:v>Арендные и прочие операционные доходы</x:v>
      </x:c>
      <x:c r="E911" s="74" t="n">
        <x:v>14892</x:v>
      </x:c>
      <x:c r="F911" s="73" t="str">
        <x:v>X5_IR_2026H1.pdf</x:v>
      </x:c>
      <x:c r="G911" s="73" t="n">
        <x:v>17</x:v>
      </x:c>
      <x:c r="H911" s="73" t="str">
        <x:v>Состав и сумма сверены с раскрытием компании</x:v>
      </x:c>
      <x:c r="I911" s="69"/>
      <x:c r="J911" s="69"/>
      <x:c r="K911" s="69"/>
    </x:row>
    <x:row r="912" ht="26.399999618530273" hidden="0" customHeight="1">
      <x:c r="A912" t="str">
        <x:v>X5</x:v>
      </x:c>
      <x:c r="B912" t="str">
        <x:v>1П2025</x:v>
      </x:c>
      <x:c r="C912" s="73" t="str">
        <x:v>EBITDA IFRS 16 по методологии компании</x:v>
      </x:c>
      <x:c r="D912" s="73" t="str">
        <x:v>LTI и прочее вознаграждение</x:v>
      </x:c>
      <x:c r="E912" s="74" t="n">
        <x:v>-3188</x:v>
      </x:c>
      <x:c r="F912" s="73" t="str">
        <x:v>X5_IR_2026H1.pdf</x:v>
      </x:c>
      <x:c r="G912" s="73" t="n">
        <x:v>17</x:v>
      </x:c>
      <x:c r="H912" s="73" t="str">
        <x:v>Состав и сумма сверены с раскрытием компании</x:v>
      </x:c>
      <x:c r="I912" s="69"/>
      <x:c r="J912" s="69"/>
      <x:c r="K912" s="69"/>
    </x:row>
    <x:row r="913" ht="26.399999618530273" hidden="0" customHeight="1">
      <x:c r="A913" t="str">
        <x:v>X5</x:v>
      </x:c>
      <x:c r="B913" t="str">
        <x:v>1П2025</x:v>
      </x:c>
      <x:c r="C913" s="73" t="str">
        <x:v>EBITDA IFRS 16 по методологии компании</x:v>
      </x:c>
      <x:c r="D913" s="73" t="str">
        <x:v>Разовое обесценение финансовых активов</x:v>
      </x:c>
      <x:c r="E913" s="74" t="n">
        <x:v>-4127</x:v>
      </x:c>
      <x:c r="F913" s="73" t="str">
        <x:v>X5_IR_2026H1.pdf</x:v>
      </x:c>
      <x:c r="G913" s="73" t="n">
        <x:v>17</x:v>
      </x:c>
      <x:c r="H913" s="73" t="str">
        <x:v>Состав и сумма сверены с раскрытием компании</x:v>
      </x:c>
      <x:c r="I913" s="69"/>
      <x:c r="J913" s="69"/>
      <x:c r="K913" s="69"/>
    </x:row>
    <x:row r="914" ht="26.399999618530273" hidden="0" customHeight="1">
      <x:c r="A914" s="60" t="str">
        <x:v>X5</x:v>
      </x:c>
      <x:c r="B914" s="60" t="str">
        <x:v>1П2025</x:v>
      </x:c>
      <x:c r="C914" s="76" t="str">
        <x:v>EBITDA IFRS 16 по методологии компании</x:v>
      </x:c>
      <x:c r="D914" s="76" t="str">
        <x:v>ИТОГО — расчет</x:v>
      </x:c>
      <x:c r="E914" s="77" t="n">
        <x:f>SUM(E908:E913)</x:f>
        <x:v>204131</x:v>
      </x:c>
      <x:c r="F914" s="76" t="str">
        <x:v>X5_IR_2026H1.pdf</x:v>
      </x:c>
      <x:c r="G914" s="76" t="n">
        <x:v>17</x:v>
      </x:c>
      <x:c r="H914" s="76"/>
      <x:c r="I914" s="71" t="n">
        <x:v>204131</x:v>
      </x:c>
      <x:c r="J914" s="71" t="n">
        <x:f>E914-I914</x:f>
        <x:v>0</x:v>
      </x:c>
      <x:c r="K914" s="71" t="n">
        <x:f>SUM(E908:E913)</x:f>
        <x:v>204131</x:v>
      </x:c>
    </x:row>
    <x:row r="915" ht="15" hidden="0" customHeight="1">
      <x:c r="C915" s="73"/>
      <x:c r="D915" s="73"/>
      <x:c r="E915" s="74"/>
      <x:c r="F915" s="73"/>
      <x:c r="G915" s="73"/>
      <x:c r="H915" s="73"/>
      <x:c r="I915" s="69"/>
      <x:c r="J915" s="69"/>
      <x:c r="K915" s="69"/>
    </x:row>
    <x:row r="916" ht="26.399999618530273" hidden="0" customHeight="1">
      <x:c r="A916" t="str">
        <x:v>X5</x:v>
      </x:c>
      <x:c r="B916" t="str">
        <x:v>1П2026</x:v>
      </x:c>
      <x:c r="C916" s="73" t="str">
        <x:v>EBITDA IFRS 16 по методологии компании</x:v>
      </x:c>
      <x:c r="D916" s="73" t="str">
        <x:v>Валовая прибыль</x:v>
      </x:c>
      <x:c r="E916" s="74" t="n">
        <x:v>602929</x:v>
      </x:c>
      <x:c r="F916" s="73" t="str">
        <x:v>X5_IR_2026H1.pdf</x:v>
      </x:c>
      <x:c r="G916" s="73" t="n">
        <x:v>17</x:v>
      </x:c>
      <x:c r="H916" s="73" t="str">
        <x:v>Состав и сумма сверены с раскрытием компании</x:v>
      </x:c>
      <x:c r="I916" s="69"/>
      <x:c r="J916" s="69"/>
      <x:c r="K916" s="69"/>
    </x:row>
    <x:row r="917" ht="26.399999618530273" hidden="0" customHeight="1">
      <x:c r="A917" t="str">
        <x:v>X5</x:v>
      </x:c>
      <x:c r="B917" t="str">
        <x:v>1П2026</x:v>
      </x:c>
      <x:c r="C917" s="73" t="str">
        <x:v>EBITDA IFRS 16 по методологии компании</x:v>
      </x:c>
      <x:c r="D917" s="73" t="str">
        <x:v>Коммерческие и административные расходы без амортизации, обесценения и LTI</x:v>
      </x:c>
      <x:c r="E917" s="74" t="n">
        <x:v>-385464</x:v>
      </x:c>
      <x:c r="F917" s="73" t="str">
        <x:v>X5_IR_2026H1.pdf</x:v>
      </x:c>
      <x:c r="G917" s="73" t="n">
        <x:v>17</x:v>
      </x:c>
      <x:c r="H917" s="73" t="str">
        <x:v>Состав и сумма сверены с раскрытием компании</x:v>
      </x:c>
      <x:c r="I917" s="69"/>
      <x:c r="J917" s="69"/>
      <x:c r="K917" s="69"/>
    </x:row>
    <x:row r="918" ht="26.399999618530273" hidden="0" customHeight="1">
      <x:c r="A918" t="str">
        <x:v>X5</x:v>
      </x:c>
      <x:c r="B918" t="str">
        <x:v>1П2026</x:v>
      </x:c>
      <x:c r="C918" s="73" t="str">
        <x:v>EBITDA IFRS 16 по методологии компании</x:v>
      </x:c>
      <x:c r="D918" s="73" t="str">
        <x:v>Ожидаемые кредитные убытки без разового эффекта</x:v>
      </x:c>
      <x:c r="E918" s="74" t="n">
        <x:v>-174</x:v>
      </x:c>
      <x:c r="F918" s="73" t="str">
        <x:v>X5_IR_2026H1.pdf</x:v>
      </x:c>
      <x:c r="G918" s="73" t="n">
        <x:v>17</x:v>
      </x:c>
      <x:c r="H918" s="73" t="str">
        <x:v>Состав и сумма сверены с раскрытием компании</x:v>
      </x:c>
      <x:c r="I918" s="69"/>
      <x:c r="J918" s="69"/>
      <x:c r="K918" s="69"/>
    </x:row>
    <x:row r="919" ht="26.399999618530273" hidden="0" customHeight="1">
      <x:c r="A919" t="str">
        <x:v>X5</x:v>
      </x:c>
      <x:c r="B919" t="str">
        <x:v>1П2026</x:v>
      </x:c>
      <x:c r="C919" s="73" t="str">
        <x:v>EBITDA IFRS 16 по методологии компании</x:v>
      </x:c>
      <x:c r="D919" s="73" t="str">
        <x:v>Арендные и прочие операционные доходы</x:v>
      </x:c>
      <x:c r="E919" s="74" t="n">
        <x:v>15348</x:v>
      </x:c>
      <x:c r="F919" s="73" t="str">
        <x:v>X5_IR_2026H1.pdf</x:v>
      </x:c>
      <x:c r="G919" s="73" t="n">
        <x:v>17</x:v>
      </x:c>
      <x:c r="H919" s="73" t="str">
        <x:v>Состав и сумма сверены с раскрытием компании</x:v>
      </x:c>
      <x:c r="I919" s="69"/>
      <x:c r="J919" s="69"/>
      <x:c r="K919" s="69"/>
    </x:row>
    <x:row r="920" ht="26.399999618530273" hidden="0" customHeight="1">
      <x:c r="A920" t="str">
        <x:v>X5</x:v>
      </x:c>
      <x:c r="B920" t="str">
        <x:v>1П2026</x:v>
      </x:c>
      <x:c r="C920" s="73" t="str">
        <x:v>EBITDA IFRS 16 по методологии компании</x:v>
      </x:c>
      <x:c r="D920" s="73" t="str">
        <x:v>LTI и прочее вознаграждение</x:v>
      </x:c>
      <x:c r="E920" s="74" t="n">
        <x:v>-4675</x:v>
      </x:c>
      <x:c r="F920" s="73" t="str">
        <x:v>X5_IR_2026H1.pdf</x:v>
      </x:c>
      <x:c r="G920" s="73" t="n">
        <x:v>17</x:v>
      </x:c>
      <x:c r="H920" s="73" t="str">
        <x:v>Состав и сумма сверены с раскрытием компании</x:v>
      </x:c>
      <x:c r="I920" s="69"/>
      <x:c r="J920" s="69"/>
      <x:c r="K920" s="69"/>
    </x:row>
    <x:row r="921" ht="26.399999618530273" hidden="0" customHeight="1">
      <x:c r="A921" t="str">
        <x:v>X5</x:v>
      </x:c>
      <x:c r="B921" t="str">
        <x:v>1П2026</x:v>
      </x:c>
      <x:c r="C921" s="73" t="str">
        <x:v>EBITDA IFRS 16 по методологии компании</x:v>
      </x:c>
      <x:c r="D921" s="73" t="str">
        <x:v>Разовое обесценение финансовых активов</x:v>
      </x:c>
      <x:c r="E921" s="74" t="n">
        <x:v>0</x:v>
      </x:c>
      <x:c r="F921" s="73" t="str">
        <x:v>X5_IR_2026H1.pdf</x:v>
      </x:c>
      <x:c r="G921" s="73" t="n">
        <x:v>17</x:v>
      </x:c>
      <x:c r="H921" s="73" t="str">
        <x:v>Состав и сумма сверены с раскрытием компании</x:v>
      </x:c>
      <x:c r="I921" s="69"/>
      <x:c r="J921" s="69"/>
      <x:c r="K921" s="69"/>
    </x:row>
    <x:row r="922" ht="26.399999618530273" hidden="0" customHeight="1">
      <x:c r="A922" s="60" t="str">
        <x:v>X5</x:v>
      </x:c>
      <x:c r="B922" s="60" t="str">
        <x:v>1П2026</x:v>
      </x:c>
      <x:c r="C922" s="76" t="str">
        <x:v>EBITDA IFRS 16 по методологии компании</x:v>
      </x:c>
      <x:c r="D922" s="76" t="str">
        <x:v>ИТОГО — расчет</x:v>
      </x:c>
      <x:c r="E922" s="77" t="n">
        <x:f>SUM(E916:E921)</x:f>
        <x:v>227964</x:v>
      </x:c>
      <x:c r="F922" s="76" t="str">
        <x:v>X5_IR_2026H1.pdf</x:v>
      </x:c>
      <x:c r="G922" s="76" t="n">
        <x:v>17</x:v>
      </x:c>
      <x:c r="H922" s="76"/>
      <x:c r="I922" s="71" t="n">
        <x:v>227964</x:v>
      </x:c>
      <x:c r="J922" s="71" t="n">
        <x:f>E922-I922</x:f>
        <x:v>0</x:v>
      </x:c>
      <x:c r="K922" s="71" t="n">
        <x:f>SUM(E916:E921)</x:f>
        <x:v>227964</x:v>
      </x:c>
    </x:row>
    <x:row r="923" ht="15" hidden="0" customHeight="1">
      <x:c r="C923" s="73"/>
      <x:c r="D923" s="73"/>
      <x:c r="E923" s="74"/>
      <x:c r="F923" s="73"/>
      <x:c r="G923" s="73"/>
      <x:c r="H923" s="73"/>
      <x:c r="I923" s="69"/>
      <x:c r="J923" s="69"/>
      <x:c r="K923" s="69"/>
    </x:row>
    <x:row r="924" ht="15" hidden="0" customHeight="1">
      <x:c r="A924" t="str">
        <x:v>X5</x:v>
      </x:c>
      <x:c r="B924" t="str">
        <x:v>2025</x:v>
      </x:c>
      <x:c r="C924" s="73" t="str">
        <x:v>Скорр. EBITDA IFRS 16</x:v>
      </x:c>
      <x:c r="D924" s="73" t="str">
        <x:v>EBITDA IFRS 16</x:v>
      </x:c>
      <x:c r="E924" s="74" t="n">
        <x:v>440676</x:v>
      </x:c>
      <x:c r="F924" s="73" t="str">
        <x:v>X5_IR_FY_2026H1.pdf</x:v>
      </x:c>
      <x:c r="G924" s="73" t="n">
        <x:v>16</x:v>
      </x:c>
      <x:c r="H924" s="73" t="str">
        <x:v>Состав и сумма сверены с раскрытием компании</x:v>
      </x:c>
      <x:c r="I924" s="69"/>
      <x:c r="J924" s="69"/>
      <x:c r="K924" s="69"/>
    </x:row>
    <x:row r="925" ht="15" hidden="0" customHeight="1">
      <x:c r="A925" t="str">
        <x:v>X5</x:v>
      </x:c>
      <x:c r="B925" t="str">
        <x:v>2025</x:v>
      </x:c>
      <x:c r="C925" s="73" t="str">
        <x:v>Скорр. EBITDA IFRS 16</x:v>
      </x:c>
      <x:c r="D925" s="73" t="str">
        <x:v>LTI и прочее вознаграждение</x:v>
      </x:c>
      <x:c r="E925" s="74" t="n">
        <x:v>8232</x:v>
      </x:c>
      <x:c r="F925" s="73" t="str">
        <x:v>X5_IR_FY_2026H1.pdf</x:v>
      </x:c>
      <x:c r="G925" s="73" t="n">
        <x:v>16</x:v>
      </x:c>
      <x:c r="H925" s="73" t="str">
        <x:v>Состав и сумма сверены с раскрытием компании</x:v>
      </x:c>
      <x:c r="I925" s="69"/>
      <x:c r="J925" s="69"/>
      <x:c r="K925" s="69"/>
    </x:row>
    <x:row r="926" ht="15" hidden="0" customHeight="1">
      <x:c r="A926" t="str">
        <x:v>X5</x:v>
      </x:c>
      <x:c r="B926" t="str">
        <x:v>2025</x:v>
      </x:c>
      <x:c r="C926" s="73" t="str">
        <x:v>Скорр. EBITDA IFRS 16</x:v>
      </x:c>
      <x:c r="D926" s="73" t="str">
        <x:v>Разовое обесценение финансовых активов</x:v>
      </x:c>
      <x:c r="E926" s="74" t="n">
        <x:v>4127</x:v>
      </x:c>
      <x:c r="F926" s="73" t="str">
        <x:v>X5_IR_FY_2026H1.pdf</x:v>
      </x:c>
      <x:c r="G926" s="73" t="n">
        <x:v>16</x:v>
      </x:c>
      <x:c r="H926" s="73" t="str">
        <x:v>Состав и сумма сверены с раскрытием компании</x:v>
      </x:c>
      <x:c r="I926" s="69"/>
      <x:c r="J926" s="69"/>
      <x:c r="K926" s="69"/>
    </x:row>
    <x:row r="927" ht="15" hidden="0" customHeight="1">
      <x:c r="A927" s="60" t="str">
        <x:v>X5</x:v>
      </x:c>
      <x:c r="B927" s="60" t="str">
        <x:v>2025</x:v>
      </x:c>
      <x:c r="C927" s="76" t="str">
        <x:v>Скорр. EBITDA IFRS 16</x:v>
      </x:c>
      <x:c r="D927" s="76" t="str">
        <x:v>ИТОГО — расчет</x:v>
      </x:c>
      <x:c r="E927" s="77" t="n">
        <x:f>SUM(E924:E926)</x:f>
        <x:v>453035</x:v>
      </x:c>
      <x:c r="F927" s="76" t="str">
        <x:v>X5_IR_FY_2026H1.pdf</x:v>
      </x:c>
      <x:c r="G927" s="76" t="n">
        <x:v>16</x:v>
      </x:c>
      <x:c r="H927" s="76"/>
      <x:c r="I927" s="71" t="n">
        <x:v>453035</x:v>
      </x:c>
      <x:c r="J927" s="71" t="n">
        <x:f>E927-I927</x:f>
        <x:v>0</x:v>
      </x:c>
      <x:c r="K927" s="71" t="n">
        <x:f>SUM(E924:E924)</x:f>
        <x:v>440676</x:v>
      </x:c>
    </x:row>
    <x:row r="928" ht="15" hidden="0" customHeight="1">
      <x:c r="C928" s="73"/>
      <x:c r="D928" s="73"/>
      <x:c r="E928" s="74"/>
      <x:c r="F928" s="73"/>
      <x:c r="G928" s="73"/>
      <x:c r="H928" s="73"/>
      <x:c r="I928" s="69"/>
      <x:c r="J928" s="69"/>
      <x:c r="K928" s="69"/>
    </x:row>
    <x:row r="929" ht="15" hidden="0" customHeight="1">
      <x:c r="A929" t="str">
        <x:v>X5</x:v>
      </x:c>
      <x:c r="B929" t="str">
        <x:v>1П2025</x:v>
      </x:c>
      <x:c r="C929" s="73" t="str">
        <x:v>Скорр. EBITDA IFRS 16</x:v>
      </x:c>
      <x:c r="D929" s="73" t="str">
        <x:v>EBITDA IFRS 16</x:v>
      </x:c>
      <x:c r="E929" s="74" t="n">
        <x:v>204131</x:v>
      </x:c>
      <x:c r="F929" s="73" t="str">
        <x:v>X5_IR_2026H1.pdf</x:v>
      </x:c>
      <x:c r="G929" s="73" t="n">
        <x:v>17</x:v>
      </x:c>
      <x:c r="H929" s="73" t="str">
        <x:v>Состав и сумма сверены с раскрытием компании</x:v>
      </x:c>
      <x:c r="I929" s="69"/>
      <x:c r="J929" s="69"/>
      <x:c r="K929" s="69"/>
    </x:row>
    <x:row r="930" ht="15" hidden="0" customHeight="1">
      <x:c r="A930" t="str">
        <x:v>X5</x:v>
      </x:c>
      <x:c r="B930" t="str">
        <x:v>1П2025</x:v>
      </x:c>
      <x:c r="C930" s="73" t="str">
        <x:v>Скорр. EBITDA IFRS 16</x:v>
      </x:c>
      <x:c r="D930" s="73" t="str">
        <x:v>LTI и прочее вознаграждение</x:v>
      </x:c>
      <x:c r="E930" s="74" t="n">
        <x:v>3188</x:v>
      </x:c>
      <x:c r="F930" s="73" t="str">
        <x:v>X5_IR_2026H1.pdf</x:v>
      </x:c>
      <x:c r="G930" s="73" t="n">
        <x:v>17</x:v>
      </x:c>
      <x:c r="H930" s="73" t="str">
        <x:v>Состав и сумма сверены с раскрытием компании</x:v>
      </x:c>
      <x:c r="I930" s="69"/>
      <x:c r="J930" s="69"/>
      <x:c r="K930" s="69"/>
    </x:row>
    <x:row r="931" ht="15" hidden="0" customHeight="1">
      <x:c r="A931" t="str">
        <x:v>X5</x:v>
      </x:c>
      <x:c r="B931" t="str">
        <x:v>1П2025</x:v>
      </x:c>
      <x:c r="C931" s="73" t="str">
        <x:v>Скорр. EBITDA IFRS 16</x:v>
      </x:c>
      <x:c r="D931" s="73" t="str">
        <x:v>Разовое обесценение финансовых активов</x:v>
      </x:c>
      <x:c r="E931" s="74" t="n">
        <x:v>4127</x:v>
      </x:c>
      <x:c r="F931" s="73" t="str">
        <x:v>X5_IR_2026H1.pdf</x:v>
      </x:c>
      <x:c r="G931" s="73" t="n">
        <x:v>17</x:v>
      </x:c>
      <x:c r="H931" s="73" t="str">
        <x:v>Состав и сумма сверены с раскрытием компании</x:v>
      </x:c>
      <x:c r="I931" s="69"/>
      <x:c r="J931" s="69"/>
      <x:c r="K931" s="69"/>
    </x:row>
    <x:row r="932" ht="15" hidden="0" customHeight="1">
      <x:c r="A932" s="60" t="str">
        <x:v>X5</x:v>
      </x:c>
      <x:c r="B932" s="60" t="str">
        <x:v>1П2025</x:v>
      </x:c>
      <x:c r="C932" s="76" t="str">
        <x:v>Скорр. EBITDA IFRS 16</x:v>
      </x:c>
      <x:c r="D932" s="76" t="str">
        <x:v>ИТОГО — расчет</x:v>
      </x:c>
      <x:c r="E932" s="77" t="n">
        <x:f>SUM(E929:E931)</x:f>
        <x:v>211446</x:v>
      </x:c>
      <x:c r="F932" s="76" t="str">
        <x:v>X5_IR_2026H1.pdf</x:v>
      </x:c>
      <x:c r="G932" s="76" t="n">
        <x:v>17</x:v>
      </x:c>
      <x:c r="H932" s="76"/>
      <x:c r="I932" s="71" t="n">
        <x:v>211446</x:v>
      </x:c>
      <x:c r="J932" s="71" t="n">
        <x:f>E932-I932</x:f>
        <x:v>0</x:v>
      </x:c>
      <x:c r="K932" s="71" t="n">
        <x:f>SUM(E929:E929)</x:f>
        <x:v>204131</x:v>
      </x:c>
    </x:row>
    <x:row r="933" ht="15" hidden="0" customHeight="1">
      <x:c r="C933" s="73"/>
      <x:c r="D933" s="73"/>
      <x:c r="E933" s="74"/>
      <x:c r="F933" s="73"/>
      <x:c r="G933" s="73"/>
      <x:c r="H933" s="73"/>
      <x:c r="I933" s="69"/>
      <x:c r="J933" s="69"/>
      <x:c r="K933" s="69"/>
    </x:row>
    <x:row r="934" ht="15" hidden="0" customHeight="1">
      <x:c r="A934" t="str">
        <x:v>X5</x:v>
      </x:c>
      <x:c r="B934" t="str">
        <x:v>1П2026</x:v>
      </x:c>
      <x:c r="C934" s="73" t="str">
        <x:v>Скорр. EBITDA IFRS 16</x:v>
      </x:c>
      <x:c r="D934" s="73" t="str">
        <x:v>EBITDA IFRS 16</x:v>
      </x:c>
      <x:c r="E934" s="74" t="n">
        <x:v>227964</x:v>
      </x:c>
      <x:c r="F934" s="73" t="str">
        <x:v>X5_IR_2026H1.pdf</x:v>
      </x:c>
      <x:c r="G934" s="73" t="n">
        <x:v>17</x:v>
      </x:c>
      <x:c r="H934" s="73" t="str">
        <x:v>Состав и сумма сверены с раскрытием компании</x:v>
      </x:c>
      <x:c r="I934" s="69"/>
      <x:c r="J934" s="69"/>
      <x:c r="K934" s="69"/>
    </x:row>
    <x:row r="935" ht="15" hidden="0" customHeight="1">
      <x:c r="A935" t="str">
        <x:v>X5</x:v>
      </x:c>
      <x:c r="B935" t="str">
        <x:v>1П2026</x:v>
      </x:c>
      <x:c r="C935" s="73" t="str">
        <x:v>Скорр. EBITDA IFRS 16</x:v>
      </x:c>
      <x:c r="D935" s="73" t="str">
        <x:v>LTI и прочее вознаграждение</x:v>
      </x:c>
      <x:c r="E935" s="74" t="n">
        <x:v>4675</x:v>
      </x:c>
      <x:c r="F935" s="73" t="str">
        <x:v>X5_IR_2026H1.pdf</x:v>
      </x:c>
      <x:c r="G935" s="73" t="n">
        <x:v>17</x:v>
      </x:c>
      <x:c r="H935" s="73" t="str">
        <x:v>Состав и сумма сверены с раскрытием компании</x:v>
      </x:c>
      <x:c r="I935" s="69"/>
      <x:c r="J935" s="69"/>
      <x:c r="K935" s="69"/>
    </x:row>
    <x:row r="936" ht="15" hidden="0" customHeight="1">
      <x:c r="A936" t="str">
        <x:v>X5</x:v>
      </x:c>
      <x:c r="B936" t="str">
        <x:v>1П2026</x:v>
      </x:c>
      <x:c r="C936" s="73" t="str">
        <x:v>Скорр. EBITDA IFRS 16</x:v>
      </x:c>
      <x:c r="D936" s="73" t="str">
        <x:v>Разовое обесценение финансовых активов</x:v>
      </x:c>
      <x:c r="E936" s="74" t="n">
        <x:v>0</x:v>
      </x:c>
      <x:c r="F936" s="73" t="str">
        <x:v>X5_IR_2026H1.pdf</x:v>
      </x:c>
      <x:c r="G936" s="73" t="n">
        <x:v>17</x:v>
      </x:c>
      <x:c r="H936" s="73" t="str">
        <x:v>Состав и сумма сверены с раскрытием компании</x:v>
      </x:c>
      <x:c r="I936" s="69"/>
      <x:c r="J936" s="69"/>
      <x:c r="K936" s="69"/>
    </x:row>
    <x:row r="937" ht="15" hidden="0" customHeight="1">
      <x:c r="A937" s="60" t="str">
        <x:v>X5</x:v>
      </x:c>
      <x:c r="B937" s="60" t="str">
        <x:v>1П2026</x:v>
      </x:c>
      <x:c r="C937" s="76" t="str">
        <x:v>Скорр. EBITDA IFRS 16</x:v>
      </x:c>
      <x:c r="D937" s="76" t="str">
        <x:v>ИТОГО — расчет</x:v>
      </x:c>
      <x:c r="E937" s="77" t="n">
        <x:f>SUM(E934:E936)</x:f>
        <x:v>232639</x:v>
      </x:c>
      <x:c r="F937" s="76" t="str">
        <x:v>X5_IR_2026H1.pdf</x:v>
      </x:c>
      <x:c r="G937" s="76" t="n">
        <x:v>17</x:v>
      </x:c>
      <x:c r="H937" s="76"/>
      <x:c r="I937" s="71" t="n">
        <x:v>232639</x:v>
      </x:c>
      <x:c r="J937" s="71" t="n">
        <x:f>E937-I937</x:f>
        <x:v>0</x:v>
      </x:c>
      <x:c r="K937" s="71" t="n">
        <x:f>SUM(E934:E934)</x:f>
        <x:v>227964</x:v>
      </x:c>
    </x:row>
    <x:row r="938" ht="15" hidden="0" customHeight="1">
      <x:c r="C938" s="73"/>
      <x:c r="D938" s="73"/>
      <x:c r="E938" s="74"/>
      <x:c r="F938" s="73"/>
      <x:c r="G938" s="73"/>
      <x:c r="H938" s="73"/>
      <x:c r="I938" s="69"/>
      <x:c r="J938" s="69"/>
      <x:c r="K938" s="69"/>
    </x:row>
    <x:row r="939" ht="15" hidden="0" customHeight="1">
      <x:c r="A939" t="str">
        <x:v>X5</x:v>
      </x:c>
      <x:c r="B939" t="str">
        <x:v>2025</x:v>
      </x:c>
      <x:c r="C939" s="73" t="str">
        <x:v>EBITDA до IFRS 16 (IAS 17)</x:v>
      </x:c>
      <x:c r="D939" s="73" t="str">
        <x:v>EBITDA IFRS 16</x:v>
      </x:c>
      <x:c r="E939" s="74" t="n">
        <x:v>440676</x:v>
      </x:c>
      <x:c r="F939" s="73" t="str">
        <x:v>X5_IR_FY_2026H1.pdf</x:v>
      </x:c>
      <x:c r="G939" s="73" t="n">
        <x:v>17</x:v>
      </x:c>
      <x:c r="H939" s="73" t="str">
        <x:v>Состав и сумма сверены с раскрытием компании</x:v>
      </x:c>
      <x:c r="I939" s="69"/>
      <x:c r="J939" s="69"/>
      <x:c r="K939" s="69"/>
    </x:row>
    <x:row r="940" ht="15" hidden="0" customHeight="1">
      <x:c r="A940" t="str">
        <x:v>X5</x:v>
      </x:c>
      <x:c r="B940" t="str">
        <x:v>2025</x:v>
      </x:c>
      <x:c r="C940" s="73" t="str">
        <x:v>EBITDA до IFRS 16 (IAS 17)</x:v>
      </x:c>
      <x:c r="D940" s="73" t="str">
        <x:v>Фиксированные расходы по аренде</x:v>
      </x:c>
      <x:c r="E940" s="74" t="n">
        <x:v>-165382</x:v>
      </x:c>
      <x:c r="F940" s="73" t="str">
        <x:v>X5_IR_FY_2026H1.pdf</x:v>
      </x:c>
      <x:c r="G940" s="73" t="n">
        <x:v>17</x:v>
      </x:c>
      <x:c r="H940" s="73" t="str">
        <x:v>Состав и сумма сверены с раскрытием компании</x:v>
      </x:c>
      <x:c r="I940" s="69"/>
      <x:c r="J940" s="69"/>
      <x:c r="K940" s="69"/>
    </x:row>
    <x:row r="941" ht="15" hidden="0" customHeight="1">
      <x:c r="A941" t="str">
        <x:v>X5</x:v>
      </x:c>
      <x:c r="B941" t="str">
        <x:v>2025</x:v>
      </x:c>
      <x:c r="C941" s="73" t="str">
        <x:v>EBITDA до IFRS 16 (IAS 17)</x:v>
      </x:c>
      <x:c r="D941" s="73" t="str">
        <x:v>Доход от прекращения аренды</x:v>
      </x:c>
      <x:c r="E941" s="74" t="n">
        <x:v>-2185</x:v>
      </x:c>
      <x:c r="F941" s="73" t="str">
        <x:v>X5_IR_FY_2026H1.pdf</x:v>
      </x:c>
      <x:c r="G941" s="73" t="n">
        <x:v>17</x:v>
      </x:c>
      <x:c r="H941" s="73" t="str">
        <x:v>Состав и сумма сверены с раскрытием компании</x:v>
      </x:c>
      <x:c r="I941" s="69"/>
      <x:c r="J941" s="69"/>
      <x:c r="K941" s="69"/>
    </x:row>
    <x:row r="942" ht="15" hidden="0" customHeight="1">
      <x:c r="A942" s="60" t="str">
        <x:v>X5</x:v>
      </x:c>
      <x:c r="B942" s="60" t="str">
        <x:v>2025</x:v>
      </x:c>
      <x:c r="C942" s="76" t="str">
        <x:v>EBITDA до IFRS 16 (IAS 17)</x:v>
      </x:c>
      <x:c r="D942" s="76" t="str">
        <x:v>ИТОГО — расчет</x:v>
      </x:c>
      <x:c r="E942" s="77" t="n">
        <x:f>SUM(E939:E941)</x:f>
        <x:v>273109</x:v>
      </x:c>
      <x:c r="F942" s="76" t="str">
        <x:v>X5_IR_FY_2026H1.pdf</x:v>
      </x:c>
      <x:c r="G942" s="76" t="n">
        <x:v>17</x:v>
      </x:c>
      <x:c r="H942" s="76"/>
      <x:c r="I942" s="71" t="n">
        <x:v>273109</x:v>
      </x:c>
      <x:c r="J942" s="71" t="n">
        <x:f>E942-I942</x:f>
        <x:v>0</x:v>
      </x:c>
      <x:c r="K942" s="71" t="n">
        <x:f>SUM(E939:E939)</x:f>
        <x:v>440676</x:v>
      </x:c>
    </x:row>
    <x:row r="943" ht="15" hidden="0" customHeight="1">
      <x:c r="C943" s="73"/>
      <x:c r="D943" s="73"/>
      <x:c r="E943" s="74"/>
      <x:c r="F943" s="73"/>
      <x:c r="G943" s="73"/>
      <x:c r="H943" s="73"/>
      <x:c r="I943" s="69"/>
      <x:c r="J943" s="69"/>
      <x:c r="K943" s="69"/>
    </x:row>
    <x:row r="944" ht="15" hidden="0" customHeight="1">
      <x:c r="A944" t="str">
        <x:v>X5</x:v>
      </x:c>
      <x:c r="B944" t="str">
        <x:v>1П2025</x:v>
      </x:c>
      <x:c r="C944" s="73" t="str">
        <x:v>EBITDA до IFRS 16 (IAS 17)</x:v>
      </x:c>
      <x:c r="D944" s="73" t="str">
        <x:v>EBITDA IFRS 16</x:v>
      </x:c>
      <x:c r="E944" s="74" t="n">
        <x:v>204131</x:v>
      </x:c>
      <x:c r="F944" s="73" t="str">
        <x:v>X5_IR_2026H1.pdf</x:v>
      </x:c>
      <x:c r="G944" s="73" t="n">
        <x:v>18</x:v>
      </x:c>
      <x:c r="H944" s="73" t="str">
        <x:v>Состав и сумма сверены с раскрытием компании</x:v>
      </x:c>
      <x:c r="I944" s="69"/>
      <x:c r="J944" s="69"/>
      <x:c r="K944" s="69"/>
    </x:row>
    <x:row r="945" ht="15" hidden="0" customHeight="1">
      <x:c r="A945" t="str">
        <x:v>X5</x:v>
      </x:c>
      <x:c r="B945" t="str">
        <x:v>1П2025</x:v>
      </x:c>
      <x:c r="C945" s="73" t="str">
        <x:v>EBITDA до IFRS 16 (IAS 17)</x:v>
      </x:c>
      <x:c r="D945" s="73" t="str">
        <x:v>Фиксированные расходы по аренде</x:v>
      </x:c>
      <x:c r="E945" s="74" t="n">
        <x:v>-79810</x:v>
      </x:c>
      <x:c r="F945" s="73" t="str">
        <x:v>X5_IR_2026H1.pdf</x:v>
      </x:c>
      <x:c r="G945" s="73" t="n">
        <x:v>18</x:v>
      </x:c>
      <x:c r="H945" s="73" t="str">
        <x:v>Состав и сумма сверены с раскрытием компании</x:v>
      </x:c>
      <x:c r="I945" s="69"/>
      <x:c r="J945" s="69"/>
      <x:c r="K945" s="69"/>
    </x:row>
    <x:row r="946" ht="15" hidden="0" customHeight="1">
      <x:c r="A946" t="str">
        <x:v>X5</x:v>
      </x:c>
      <x:c r="B946" t="str">
        <x:v>1П2025</x:v>
      </x:c>
      <x:c r="C946" s="73" t="str">
        <x:v>EBITDA до IFRS 16 (IAS 17)</x:v>
      </x:c>
      <x:c r="D946" s="73" t="str">
        <x:v>Доход от прекращения аренды</x:v>
      </x:c>
      <x:c r="E946" s="74" t="n">
        <x:v>-1567</x:v>
      </x:c>
      <x:c r="F946" s="73" t="str">
        <x:v>X5_IR_2026H1.pdf</x:v>
      </x:c>
      <x:c r="G946" s="73" t="n">
        <x:v>18</x:v>
      </x:c>
      <x:c r="H946" s="73" t="str">
        <x:v>Состав и сумма сверены с раскрытием компании</x:v>
      </x:c>
      <x:c r="I946" s="69"/>
      <x:c r="J946" s="69"/>
      <x:c r="K946" s="69"/>
    </x:row>
    <x:row r="947" ht="15" hidden="0" customHeight="1">
      <x:c r="A947" s="60" t="str">
        <x:v>X5</x:v>
      </x:c>
      <x:c r="B947" s="60" t="str">
        <x:v>1П2025</x:v>
      </x:c>
      <x:c r="C947" s="76" t="str">
        <x:v>EBITDA до IFRS 16 (IAS 17)</x:v>
      </x:c>
      <x:c r="D947" s="76" t="str">
        <x:v>ИТОГО — расчет</x:v>
      </x:c>
      <x:c r="E947" s="77" t="n">
        <x:f>SUM(E944:E946)</x:f>
        <x:v>122754</x:v>
      </x:c>
      <x:c r="F947" s="76" t="str">
        <x:v>X5_IR_2026H1.pdf</x:v>
      </x:c>
      <x:c r="G947" s="76" t="n">
        <x:v>18</x:v>
      </x:c>
      <x:c r="H947" s="76"/>
      <x:c r="I947" s="71" t="n">
        <x:v>122754</x:v>
      </x:c>
      <x:c r="J947" s="71" t="n">
        <x:f>E947-I947</x:f>
        <x:v>0</x:v>
      </x:c>
      <x:c r="K947" s="71" t="n">
        <x:f>SUM(E944:E944)</x:f>
        <x:v>204131</x:v>
      </x:c>
    </x:row>
    <x:row r="948" ht="15" hidden="0" customHeight="1">
      <x:c r="C948" s="73"/>
      <x:c r="D948" s="73"/>
      <x:c r="E948" s="74"/>
      <x:c r="F948" s="73"/>
      <x:c r="G948" s="73"/>
      <x:c r="H948" s="73"/>
      <x:c r="I948" s="69"/>
      <x:c r="J948" s="69"/>
      <x:c r="K948" s="69"/>
    </x:row>
    <x:row r="949" ht="15" hidden="0" customHeight="1">
      <x:c r="A949" t="str">
        <x:v>X5</x:v>
      </x:c>
      <x:c r="B949" t="str">
        <x:v>1П2026</x:v>
      </x:c>
      <x:c r="C949" s="73" t="str">
        <x:v>EBITDA до IFRS 16 (IAS 17)</x:v>
      </x:c>
      <x:c r="D949" s="73" t="str">
        <x:v>EBITDA IFRS 16</x:v>
      </x:c>
      <x:c r="E949" s="74" t="n">
        <x:v>227964</x:v>
      </x:c>
      <x:c r="F949" s="73" t="str">
        <x:v>X5_IR_2026H1.pdf</x:v>
      </x:c>
      <x:c r="G949" s="73" t="n">
        <x:v>18</x:v>
      </x:c>
      <x:c r="H949" s="73" t="str">
        <x:v>Состав и сумма сверены с раскрытием компании</x:v>
      </x:c>
      <x:c r="I949" s="69"/>
      <x:c r="J949" s="69"/>
      <x:c r="K949" s="69"/>
    </x:row>
    <x:row r="950" ht="15" hidden="0" customHeight="1">
      <x:c r="A950" t="str">
        <x:v>X5</x:v>
      </x:c>
      <x:c r="B950" t="str">
        <x:v>1П2026</x:v>
      </x:c>
      <x:c r="C950" s="73" t="str">
        <x:v>EBITDA до IFRS 16 (IAS 17)</x:v>
      </x:c>
      <x:c r="D950" s="73" t="str">
        <x:v>Фиксированные расходы по аренде</x:v>
      </x:c>
      <x:c r="E950" s="74" t="n">
        <x:v>-90233</x:v>
      </x:c>
      <x:c r="F950" s="73" t="str">
        <x:v>X5_IR_2026H1.pdf</x:v>
      </x:c>
      <x:c r="G950" s="73" t="n">
        <x:v>18</x:v>
      </x:c>
      <x:c r="H950" s="73" t="str">
        <x:v>Состав и сумма сверены с раскрытием компании</x:v>
      </x:c>
      <x:c r="I950" s="69"/>
      <x:c r="J950" s="69"/>
      <x:c r="K950" s="69"/>
    </x:row>
    <x:row r="951" ht="15" hidden="0" customHeight="1">
      <x:c r="A951" t="str">
        <x:v>X5</x:v>
      </x:c>
      <x:c r="B951" t="str">
        <x:v>1П2026</x:v>
      </x:c>
      <x:c r="C951" s="73" t="str">
        <x:v>EBITDA до IFRS 16 (IAS 17)</x:v>
      </x:c>
      <x:c r="D951" s="73" t="str">
        <x:v>Доход от прекращения аренды</x:v>
      </x:c>
      <x:c r="E951" s="74" t="n">
        <x:v>-1065</x:v>
      </x:c>
      <x:c r="F951" s="73" t="str">
        <x:v>X5_IR_2026H1.pdf</x:v>
      </x:c>
      <x:c r="G951" s="73" t="n">
        <x:v>18</x:v>
      </x:c>
      <x:c r="H951" s="73" t="str">
        <x:v>Состав и сумма сверены с раскрытием компании</x:v>
      </x:c>
      <x:c r="I951" s="69"/>
      <x:c r="J951" s="69"/>
      <x:c r="K951" s="69"/>
    </x:row>
    <x:row r="952" ht="15" hidden="0" customHeight="1">
      <x:c r="A952" s="60" t="str">
        <x:v>X5</x:v>
      </x:c>
      <x:c r="B952" s="60" t="str">
        <x:v>1П2026</x:v>
      </x:c>
      <x:c r="C952" s="76" t="str">
        <x:v>EBITDA до IFRS 16 (IAS 17)</x:v>
      </x:c>
      <x:c r="D952" s="76" t="str">
        <x:v>ИТОГО — расчет</x:v>
      </x:c>
      <x:c r="E952" s="77" t="n">
        <x:f>SUM(E949:E951)</x:f>
        <x:v>136666</x:v>
      </x:c>
      <x:c r="F952" s="76" t="str">
        <x:v>X5_IR_2026H1.pdf</x:v>
      </x:c>
      <x:c r="G952" s="76" t="n">
        <x:v>18</x:v>
      </x:c>
      <x:c r="H952" s="76"/>
      <x:c r="I952" s="71" t="n">
        <x:v>136666</x:v>
      </x:c>
      <x:c r="J952" s="71" t="n">
        <x:f>E952-I952</x:f>
        <x:v>0</x:v>
      </x:c>
      <x:c r="K952" s="71" t="n">
        <x:f>SUM(E949:E949)</x:f>
        <x:v>227964</x:v>
      </x:c>
    </x:row>
    <x:row r="953" ht="15" hidden="0" customHeight="1">
      <x:c r="C953" s="73"/>
      <x:c r="D953" s="73"/>
      <x:c r="E953" s="74"/>
      <x:c r="F953" s="73"/>
      <x:c r="G953" s="73"/>
      <x:c r="H953" s="73"/>
      <x:c r="I953" s="69"/>
      <x:c r="J953" s="69"/>
      <x:c r="K953" s="69"/>
    </x:row>
    <x:row r="954" ht="15" hidden="0" customHeight="1">
      <x:c r="A954" t="str">
        <x:v>X5</x:v>
      </x:c>
      <x:c r="B954" t="str">
        <x:v>2025</x:v>
      </x:c>
      <x:c r="C954" s="73" t="str">
        <x:v>Скорр. EBITDA до IFRS 16 (IAS 17)</x:v>
      </x:c>
      <x:c r="D954" s="73" t="str">
        <x:v>EBITDA до IFRS 16</x:v>
      </x:c>
      <x:c r="E954" s="74" t="n">
        <x:v>273109</x:v>
      </x:c>
      <x:c r="F954" s="73" t="str">
        <x:v>X5_IR_FY_2026H1.pdf</x:v>
      </x:c>
      <x:c r="G954" s="73" t="n">
        <x:v>16</x:v>
      </x:c>
      <x:c r="H954" s="73" t="str">
        <x:v>Состав и сумма сверены с раскрытием компании</x:v>
      </x:c>
      <x:c r="I954" s="69"/>
      <x:c r="J954" s="69"/>
      <x:c r="K954" s="69"/>
    </x:row>
    <x:row r="955" ht="15" hidden="0" customHeight="1">
      <x:c r="A955" t="str">
        <x:v>X5</x:v>
      </x:c>
      <x:c r="B955" t="str">
        <x:v>2025</x:v>
      </x:c>
      <x:c r="C955" s="73" t="str">
        <x:v>Скорр. EBITDA до IFRS 16 (IAS 17)</x:v>
      </x:c>
      <x:c r="D955" s="73" t="str">
        <x:v>LTI и прочее вознаграждение</x:v>
      </x:c>
      <x:c r="E955" s="74" t="n">
        <x:v>8232</x:v>
      </x:c>
      <x:c r="F955" s="73" t="str">
        <x:v>X5_IR_FY_2026H1.pdf</x:v>
      </x:c>
      <x:c r="G955" s="73" t="n">
        <x:v>16</x:v>
      </x:c>
      <x:c r="H955" s="73" t="str">
        <x:v>Состав и сумма сверены с раскрытием компании</x:v>
      </x:c>
      <x:c r="I955" s="69"/>
      <x:c r="J955" s="69"/>
      <x:c r="K955" s="69"/>
    </x:row>
    <x:row r="956" ht="15" hidden="0" customHeight="1">
      <x:c r="A956" t="str">
        <x:v>X5</x:v>
      </x:c>
      <x:c r="B956" t="str">
        <x:v>2025</x:v>
      </x:c>
      <x:c r="C956" s="73" t="str">
        <x:v>Скорр. EBITDA до IFRS 16 (IAS 17)</x:v>
      </x:c>
      <x:c r="D956" s="73" t="str">
        <x:v>Разовое обесценение финансовых активов</x:v>
      </x:c>
      <x:c r="E956" s="74" t="n">
        <x:v>4127</x:v>
      </x:c>
      <x:c r="F956" s="73" t="str">
        <x:v>X5_IR_FY_2026H1.pdf</x:v>
      </x:c>
      <x:c r="G956" s="73" t="n">
        <x:v>16</x:v>
      </x:c>
      <x:c r="H956" s="73" t="str">
        <x:v>Состав и сумма сверены с раскрытием компании</x:v>
      </x:c>
      <x:c r="I956" s="69"/>
      <x:c r="J956" s="69"/>
      <x:c r="K956" s="69"/>
    </x:row>
    <x:row r="957" ht="15" hidden="0" customHeight="1">
      <x:c r="A957" s="60" t="str">
        <x:v>X5</x:v>
      </x:c>
      <x:c r="B957" s="60" t="str">
        <x:v>2025</x:v>
      </x:c>
      <x:c r="C957" s="76" t="str">
        <x:v>Скорр. EBITDA до IFRS 16 (IAS 17)</x:v>
      </x:c>
      <x:c r="D957" s="76" t="str">
        <x:v>ИТОГО — расчет</x:v>
      </x:c>
      <x:c r="E957" s="77" t="n">
        <x:f>SUM(E954:E956)</x:f>
        <x:v>285468</x:v>
      </x:c>
      <x:c r="F957" s="76" t="str">
        <x:v>X5_IR_FY_2026H1.pdf</x:v>
      </x:c>
      <x:c r="G957" s="76" t="str">
        <x:v>PDF стр. 3</x:v>
      </x:c>
      <x:c r="H957" s="76" t="str">
        <x:v>Сверено с прямым раскрытием компании: скорректированная EBITDA до IFRS 16 — 285 468 млн руб.</x:v>
      </x:c>
      <x:c r="I957" s="71" t="n">
        <x:v>285468</x:v>
      </x:c>
      <x:c r="J957" s="71" t="n">
        <x:f>E957-I957</x:f>
        <x:v>0</x:v>
      </x:c>
      <x:c r="K957" s="71" t="n">
        <x:f>SUM(E954:E954)</x:f>
        <x:v>273109</x:v>
      </x:c>
    </x:row>
    <x:row r="958" ht="15" hidden="0" customHeight="1">
      <x:c r="C958" s="73"/>
      <x:c r="D958" s="73"/>
      <x:c r="E958" s="74"/>
      <x:c r="F958" s="73"/>
      <x:c r="G958" s="73"/>
      <x:c r="H958" s="73"/>
      <x:c r="I958" s="69"/>
      <x:c r="J958" s="69"/>
      <x:c r="K958" s="69"/>
    </x:row>
    <x:row r="959" ht="15" hidden="0" customHeight="1">
      <x:c r="A959" t="str">
        <x:v>X5</x:v>
      </x:c>
      <x:c r="B959" t="str">
        <x:v>1П2025</x:v>
      </x:c>
      <x:c r="C959" s="73" t="str">
        <x:v>Скорр. EBITDA до IFRS 16 (IAS 17)</x:v>
      </x:c>
      <x:c r="D959" s="73" t="str">
        <x:v>EBITDA до IFRS 16</x:v>
      </x:c>
      <x:c r="E959" s="74" t="n">
        <x:v>122754</x:v>
      </x:c>
      <x:c r="F959" s="73" t="str">
        <x:v>X5_IR_2026H1.pdf</x:v>
      </x:c>
      <x:c r="G959" s="73" t="n">
        <x:v>17</x:v>
      </x:c>
      <x:c r="H959" s="73" t="str">
        <x:v>Состав и сумма сверены с раскрытием компании</x:v>
      </x:c>
      <x:c r="I959" s="69"/>
      <x:c r="J959" s="69"/>
      <x:c r="K959" s="69"/>
    </x:row>
    <x:row r="960" ht="15" hidden="0" customHeight="1">
      <x:c r="A960" t="str">
        <x:v>X5</x:v>
      </x:c>
      <x:c r="B960" t="str">
        <x:v>1П2025</x:v>
      </x:c>
      <x:c r="C960" s="73" t="str">
        <x:v>Скорр. EBITDA до IFRS 16 (IAS 17)</x:v>
      </x:c>
      <x:c r="D960" s="73" t="str">
        <x:v>LTI и прочее вознаграждение</x:v>
      </x:c>
      <x:c r="E960" s="74" t="n">
        <x:v>3188</x:v>
      </x:c>
      <x:c r="F960" s="73" t="str">
        <x:v>X5_IR_2026H1.pdf</x:v>
      </x:c>
      <x:c r="G960" s="73" t="n">
        <x:v>17</x:v>
      </x:c>
      <x:c r="H960" s="73" t="str">
        <x:v>Состав и сумма сверены с раскрытием компании</x:v>
      </x:c>
      <x:c r="I960" s="69"/>
      <x:c r="J960" s="69"/>
      <x:c r="K960" s="69"/>
    </x:row>
    <x:row r="961" ht="15" hidden="0" customHeight="1">
      <x:c r="A961" t="str">
        <x:v>X5</x:v>
      </x:c>
      <x:c r="B961" t="str">
        <x:v>1П2025</x:v>
      </x:c>
      <x:c r="C961" s="73" t="str">
        <x:v>Скорр. EBITDA до IFRS 16 (IAS 17)</x:v>
      </x:c>
      <x:c r="D961" s="73" t="str">
        <x:v>Разовое обесценение финансовых активов</x:v>
      </x:c>
      <x:c r="E961" s="74" t="n">
        <x:v>4127</x:v>
      </x:c>
      <x:c r="F961" s="73" t="str">
        <x:v>X5_IR_2026H1.pdf</x:v>
      </x:c>
      <x:c r="G961" s="73" t="n">
        <x:v>17</x:v>
      </x:c>
      <x:c r="H961" s="73" t="str">
        <x:v>Состав и сумма сверены с раскрытием компании</x:v>
      </x:c>
      <x:c r="I961" s="69"/>
      <x:c r="J961" s="69"/>
      <x:c r="K961" s="69"/>
    </x:row>
    <x:row r="962" ht="15" hidden="0" customHeight="1">
      <x:c r="A962" s="60" t="str">
        <x:v>X5</x:v>
      </x:c>
      <x:c r="B962" s="60" t="str">
        <x:v>1П2025</x:v>
      </x:c>
      <x:c r="C962" s="76" t="str">
        <x:v>Скорр. EBITDA до IFRS 16 (IAS 17)</x:v>
      </x:c>
      <x:c r="D962" s="76" t="str">
        <x:v>ИТОГО — расчет</x:v>
      </x:c>
      <x:c r="E962" s="77" t="n">
        <x:f>SUM(E959:E961)</x:f>
        <x:v>130069</x:v>
      </x:c>
      <x:c r="F962" s="76" t="str">
        <x:v>X5_IR_2026H1.pdf</x:v>
      </x:c>
      <x:c r="G962" s="76" t="str">
        <x:v>PDF стр. 3</x:v>
      </x:c>
      <x:c r="H962" s="76" t="str">
        <x:v>Сверено с прямым раскрытием компании: скорректированная EBITDA до IFRS 16 — 130 069 млн руб.</x:v>
      </x:c>
      <x:c r="I962" s="71" t="n">
        <x:v>130069</x:v>
      </x:c>
      <x:c r="J962" s="71" t="n">
        <x:f>E962-I962</x:f>
        <x:v>0</x:v>
      </x:c>
      <x:c r="K962" s="71" t="n">
        <x:f>SUM(E959:E959)</x:f>
        <x:v>122754</x:v>
      </x:c>
    </x:row>
    <x:row r="963" ht="15" hidden="0" customHeight="1">
      <x:c r="C963" s="73"/>
      <x:c r="D963" s="73"/>
      <x:c r="E963" s="74"/>
      <x:c r="F963" s="73"/>
      <x:c r="G963" s="73"/>
      <x:c r="H963" s="73"/>
      <x:c r="I963" s="69"/>
      <x:c r="J963" s="69"/>
      <x:c r="K963" s="69"/>
    </x:row>
    <x:row r="964" ht="15" hidden="0" customHeight="1">
      <x:c r="A964" t="str">
        <x:v>X5</x:v>
      </x:c>
      <x:c r="B964" t="str">
        <x:v>1П2026</x:v>
      </x:c>
      <x:c r="C964" s="73" t="str">
        <x:v>Скорр. EBITDA до IFRS 16 (IAS 17)</x:v>
      </x:c>
      <x:c r="D964" s="73" t="str">
        <x:v>EBITDA до IFRS 16</x:v>
      </x:c>
      <x:c r="E964" s="74" t="n">
        <x:v>136666</x:v>
      </x:c>
      <x:c r="F964" s="73" t="str">
        <x:v>X5_IR_2026H1.pdf</x:v>
      </x:c>
      <x:c r="G964" s="73" t="n">
        <x:v>17</x:v>
      </x:c>
      <x:c r="H964" s="73" t="str">
        <x:v>Состав и сумма сверены с раскрытием компании</x:v>
      </x:c>
      <x:c r="I964" s="69"/>
      <x:c r="J964" s="69"/>
      <x:c r="K964" s="69"/>
    </x:row>
    <x:row r="965" ht="15" hidden="0" customHeight="1">
      <x:c r="A965" t="str">
        <x:v>X5</x:v>
      </x:c>
      <x:c r="B965" t="str">
        <x:v>1П2026</x:v>
      </x:c>
      <x:c r="C965" s="73" t="str">
        <x:v>Скорр. EBITDA до IFRS 16 (IAS 17)</x:v>
      </x:c>
      <x:c r="D965" s="73" t="str">
        <x:v>LTI и прочее вознаграждение</x:v>
      </x:c>
      <x:c r="E965" s="74" t="n">
        <x:v>4675</x:v>
      </x:c>
      <x:c r="F965" s="73" t="str">
        <x:v>X5_IR_2026H1.pdf</x:v>
      </x:c>
      <x:c r="G965" s="73" t="n">
        <x:v>17</x:v>
      </x:c>
      <x:c r="H965" s="73" t="str">
        <x:v>Состав и сумма сверены с раскрытием компании</x:v>
      </x:c>
      <x:c r="I965" s="69"/>
      <x:c r="J965" s="69"/>
      <x:c r="K965" s="69"/>
    </x:row>
    <x:row r="966" ht="15" hidden="0" customHeight="1">
      <x:c r="A966" t="str">
        <x:v>X5</x:v>
      </x:c>
      <x:c r="B966" t="str">
        <x:v>1П2026</x:v>
      </x:c>
      <x:c r="C966" s="73" t="str">
        <x:v>Скорр. EBITDA до IFRS 16 (IAS 17)</x:v>
      </x:c>
      <x:c r="D966" s="73" t="str">
        <x:v>Разовое обесценение финансовых активов</x:v>
      </x:c>
      <x:c r="E966" s="74" t="n">
        <x:v>0</x:v>
      </x:c>
      <x:c r="F966" s="73" t="str">
        <x:v>X5_IR_2026H1.pdf</x:v>
      </x:c>
      <x:c r="G966" s="73" t="n">
        <x:v>17</x:v>
      </x:c>
      <x:c r="H966" s="73" t="str">
        <x:v>Состав и сумма сверены с раскрытием компании</x:v>
      </x:c>
      <x:c r="I966" s="69"/>
      <x:c r="J966" s="69"/>
      <x:c r="K966" s="69"/>
    </x:row>
    <x:row r="967" ht="15" hidden="0" customHeight="1">
      <x:c r="A967" s="60" t="str">
        <x:v>X5</x:v>
      </x:c>
      <x:c r="B967" s="60" t="str">
        <x:v>1П2026</x:v>
      </x:c>
      <x:c r="C967" s="76" t="str">
        <x:v>Скорр. EBITDA до IFRS 16 (IAS 17)</x:v>
      </x:c>
      <x:c r="D967" s="76" t="str">
        <x:v>ИТОГО — расчет</x:v>
      </x:c>
      <x:c r="E967" s="77" t="n">
        <x:f>SUM(E964:E966)</x:f>
        <x:v>141341</x:v>
      </x:c>
      <x:c r="F967" s="76" t="str">
        <x:v>X5_IR_2026H1.pdf</x:v>
      </x:c>
      <x:c r="G967" s="76" t="str">
        <x:v>PDF стр. 3</x:v>
      </x:c>
      <x:c r="H967" s="76" t="str">
        <x:v>Сверено с прямым раскрытием компании: скорректированная EBITDA до IFRS 16 — 141 341 млн руб.</x:v>
      </x:c>
      <x:c r="I967" s="71" t="n">
        <x:v>141341</x:v>
      </x:c>
      <x:c r="J967" s="71" t="n">
        <x:f>E967-I967</x:f>
        <x:v>0</x:v>
      </x:c>
      <x:c r="K967" s="71" t="n">
        <x:f>SUM(E964:E964)</x:f>
        <x:v>136666</x:v>
      </x:c>
    </x:row>
    <x:row r="968" ht="15" hidden="0" customHeight="1">
      <x:c r="C968" s="73"/>
      <x:c r="D968" s="73"/>
      <x:c r="E968" s="74"/>
      <x:c r="F968" s="73"/>
      <x:c r="G968" s="73"/>
      <x:c r="H968" s="73"/>
      <x:c r="I968" s="69"/>
      <x:c r="J968" s="69"/>
      <x:c r="K968" s="69"/>
    </x:row>
    <x:row r="969" ht="15" hidden="0" customHeight="1">
      <x:c r="A969" t="str">
        <x:v>POSI</x:v>
      </x:c>
      <x:c r="B969" t="str">
        <x:v>2025</x:v>
      </x:c>
      <x:c r="C969" s="73" t="str">
        <x:v>EBITDAC компании</x:v>
      </x:c>
      <x:c r="D969" s="73" t="str">
        <x:v>EBITDA компании</x:v>
      </x:c>
      <x:c r="E969" s="74" t="n">
        <x:v>12322.39</x:v>
      </x:c>
      <x:c r="F969" s="73" t="str">
        <x:v>POSI_FY.pdf</x:v>
      </x:c>
      <x:c r="G969" s="73" t="n">
        <x:v>28</x:v>
      </x:c>
      <x:c r="H969" s="73" t="str">
        <x:v>Состав и сумма сверены с раскрытием компании</x:v>
      </x:c>
      <x:c r="I969" s="69"/>
      <x:c r="J969" s="69"/>
      <x:c r="K969" s="69"/>
    </x:row>
    <x:row r="970" ht="15" hidden="0" customHeight="1">
      <x:c r="A970" t="str">
        <x:v>POSI</x:v>
      </x:c>
      <x:c r="B970" t="str">
        <x:v>2025</x:v>
      </x:c>
      <x:c r="C970" s="73" t="str">
        <x:v>EBITDAC компании</x:v>
      </x:c>
      <x:c r="D970" s="73" t="str">
        <x:v>Капитализированные расходы и прочее</x:v>
      </x:c>
      <x:c r="E970" s="74" t="n">
        <x:v>-6380.62</x:v>
      </x:c>
      <x:c r="F970" s="73" t="str">
        <x:v>POSI_FY.pdf</x:v>
      </x:c>
      <x:c r="G970" s="73" t="n">
        <x:v>28</x:v>
      </x:c>
      <x:c r="H970" s="73" t="str">
        <x:v>Состав и сумма сверены с раскрытием компании</x:v>
      </x:c>
      <x:c r="I970" s="69"/>
      <x:c r="J970" s="69"/>
      <x:c r="K970" s="69"/>
    </x:row>
    <x:row r="971" ht="15" hidden="0" customHeight="1">
      <x:c r="A971" t="str">
        <x:v>POSI</x:v>
      </x:c>
      <x:c r="B971" t="str">
        <x:v>2025</x:v>
      </x:c>
      <x:c r="C971" s="73" t="str">
        <x:v>EBITDAC компании</x:v>
      </x:c>
      <x:c r="D971" s="73" t="str">
        <x:v>Корректировка отгрузок</x:v>
      </x:c>
      <x:c r="E971" s="74" t="n">
        <x:v>1181.729</x:v>
      </x:c>
      <x:c r="F971" s="73" t="str">
        <x:v>POSI_FY.pdf</x:v>
      </x:c>
      <x:c r="G971" s="73" t="n">
        <x:v>28</x:v>
      </x:c>
      <x:c r="H971" s="73" t="str">
        <x:v>Состав и сумма сверены с раскрытием компании</x:v>
      </x:c>
      <x:c r="I971" s="69"/>
      <x:c r="J971" s="69"/>
      <x:c r="K971" s="69"/>
    </x:row>
    <x:row r="972" ht="15" hidden="0" customHeight="1">
      <x:c r="A972" s="60" t="str">
        <x:v>POSI</x:v>
      </x:c>
      <x:c r="B972" s="60" t="str">
        <x:v>2025</x:v>
      </x:c>
      <x:c r="C972" s="76" t="str">
        <x:v>EBITDAC компании</x:v>
      </x:c>
      <x:c r="D972" s="76" t="str">
        <x:v>ИТОГО — расчет</x:v>
      </x:c>
      <x:c r="E972" s="77" t="n">
        <x:f>SUM(E969:E971)</x:f>
        <x:v>7123.499</x:v>
      </x:c>
      <x:c r="F972" s="76" t="str">
        <x:v>POSI_FY.pdf</x:v>
      </x:c>
      <x:c r="G972" s="76" t="n">
        <x:v>28</x:v>
      </x:c>
      <x:c r="H972" s="76"/>
      <x:c r="I972" s="71" t="n">
        <x:v>7123.499</x:v>
      </x:c>
      <x:c r="J972" s="71" t="n">
        <x:f>E972-I972</x:f>
        <x:v>0</x:v>
      </x:c>
      <x:c r="K972" s="71" t="n">
        <x:f>SUM(E969:E969)</x:f>
        <x:v>12322.39</x:v>
      </x:c>
    </x:row>
    <x:row r="973" ht="15" hidden="0" customHeight="1">
      <x:c r="C973" s="73"/>
      <x:c r="D973" s="73"/>
      <x:c r="E973" s="74"/>
      <x:c r="F973" s="73"/>
      <x:c r="G973" s="73"/>
      <x:c r="H973" s="73"/>
      <x:c r="I973" s="69"/>
      <x:c r="J973" s="69"/>
      <x:c r="K973" s="69"/>
    </x:row>
    <x:row r="974" ht="15" hidden="0" customHeight="1">
      <x:c r="A974" t="str">
        <x:v>POSI</x:v>
      </x:c>
      <x:c r="B974" t="str">
        <x:v>1П2025</x:v>
      </x:c>
      <x:c r="C974" s="73" t="str">
        <x:v>EBITDAC компании</x:v>
      </x:c>
      <x:c r="D974" s="73" t="str">
        <x:v>EBITDA компании</x:v>
      </x:c>
      <x:c r="E974" s="74" t="n">
        <x:v>-2484.348</x:v>
      </x:c>
      <x:c r="F974" s="73" t="str">
        <x:v>POSI_2026H1.pdf</x:v>
      </x:c>
      <x:c r="G974" s="73" t="n">
        <x:v>13</x:v>
      </x:c>
      <x:c r="H974" s="73" t="str">
        <x:v>Состав и сумма сверены с раскрытием компании</x:v>
      </x:c>
      <x:c r="I974" s="69"/>
      <x:c r="J974" s="69"/>
      <x:c r="K974" s="69"/>
    </x:row>
    <x:row r="975" ht="15" hidden="0" customHeight="1">
      <x:c r="A975" t="str">
        <x:v>POSI</x:v>
      </x:c>
      <x:c r="B975" t="str">
        <x:v>1П2025</x:v>
      </x:c>
      <x:c r="C975" s="73" t="str">
        <x:v>EBITDAC компании</x:v>
      </x:c>
      <x:c r="D975" s="73" t="str">
        <x:v>Капитализированные расходы и прочее</x:v>
      </x:c>
      <x:c r="E975" s="74" t="n">
        <x:v>-3563.826</x:v>
      </x:c>
      <x:c r="F975" s="73" t="str">
        <x:v>POSI_2026H1.pdf</x:v>
      </x:c>
      <x:c r="G975" s="73" t="n">
        <x:v>13</x:v>
      </x:c>
      <x:c r="H975" s="73" t="str">
        <x:v>Состав и сумма сверены с раскрытием компании</x:v>
      </x:c>
      <x:c r="I975" s="69"/>
      <x:c r="J975" s="69"/>
      <x:c r="K975" s="69"/>
    </x:row>
    <x:row r="976" ht="15" hidden="0" customHeight="1">
      <x:c r="A976" t="str">
        <x:v>POSI</x:v>
      </x:c>
      <x:c r="B976" t="str">
        <x:v>1П2025</x:v>
      </x:c>
      <x:c r="C976" s="73" t="str">
        <x:v>EBITDAC компании</x:v>
      </x:c>
      <x:c r="D976" s="73" t="str">
        <x:v>Корректировка отгрузок</x:v>
      </x:c>
      <x:c r="E976" s="74" t="n">
        <x:v>265.604</x:v>
      </x:c>
      <x:c r="F976" s="73" t="str">
        <x:v>POSI_2026H1.pdf</x:v>
      </x:c>
      <x:c r="G976" s="73" t="n">
        <x:v>13</x:v>
      </x:c>
      <x:c r="H976" s="73" t="str">
        <x:v>Состав и сумма сверены с раскрытием компании</x:v>
      </x:c>
      <x:c r="I976" s="69"/>
      <x:c r="J976" s="69"/>
      <x:c r="K976" s="69"/>
    </x:row>
    <x:row r="977" ht="15" hidden="0" customHeight="1">
      <x:c r="A977" s="60" t="str">
        <x:v>POSI</x:v>
      </x:c>
      <x:c r="B977" s="60" t="str">
        <x:v>1П2025</x:v>
      </x:c>
      <x:c r="C977" s="76" t="str">
        <x:v>EBITDAC компании</x:v>
      </x:c>
      <x:c r="D977" s="76" t="str">
        <x:v>ИТОГО — расчет</x:v>
      </x:c>
      <x:c r="E977" s="77" t="n">
        <x:f>SUM(E974:E976)</x:f>
        <x:v>-5782.57</x:v>
      </x:c>
      <x:c r="F977" s="76" t="str">
        <x:v>POSI_2026H1.pdf</x:v>
      </x:c>
      <x:c r="G977" s="76" t="n">
        <x:v>13</x:v>
      </x:c>
      <x:c r="H977" s="76"/>
      <x:c r="I977" s="71" t="n">
        <x:v>-5782.57</x:v>
      </x:c>
      <x:c r="J977" s="71" t="n">
        <x:f>E977-I977</x:f>
        <x:v>0</x:v>
      </x:c>
      <x:c r="K977" s="71" t="n">
        <x:f>SUM(E974:E974)</x:f>
        <x:v>-2484.348</x:v>
      </x:c>
    </x:row>
    <x:row r="978" ht="15" hidden="0" customHeight="1">
      <x:c r="C978" s="73"/>
      <x:c r="D978" s="73"/>
      <x:c r="E978" s="74"/>
      <x:c r="F978" s="73"/>
      <x:c r="G978" s="73"/>
      <x:c r="H978" s="73"/>
      <x:c r="I978" s="69"/>
      <x:c r="J978" s="69"/>
      <x:c r="K978" s="69"/>
    </x:row>
    <x:row r="979" ht="15" hidden="0" customHeight="1">
      <x:c r="A979" t="str">
        <x:v>POSI</x:v>
      </x:c>
      <x:c r="B979" t="str">
        <x:v>1П2026</x:v>
      </x:c>
      <x:c r="C979" s="73" t="str">
        <x:v>EBITDAC компании</x:v>
      </x:c>
      <x:c r="D979" s="73" t="str">
        <x:v>EBITDA компании</x:v>
      </x:c>
      <x:c r="E979" s="74" t="n">
        <x:v>840.281</x:v>
      </x:c>
      <x:c r="F979" s="73" t="str">
        <x:v>POSI_2026H1.pdf</x:v>
      </x:c>
      <x:c r="G979" s="73" t="n">
        <x:v>13</x:v>
      </x:c>
      <x:c r="H979" s="73" t="str">
        <x:v>Состав и сумма сверены с раскрытием компании</x:v>
      </x:c>
      <x:c r="I979" s="69"/>
      <x:c r="J979" s="69"/>
      <x:c r="K979" s="69"/>
    </x:row>
    <x:row r="980" ht="15" hidden="0" customHeight="1">
      <x:c r="A980" t="str">
        <x:v>POSI</x:v>
      </x:c>
      <x:c r="B980" t="str">
        <x:v>1П2026</x:v>
      </x:c>
      <x:c r="C980" s="73" t="str">
        <x:v>EBITDAC компании</x:v>
      </x:c>
      <x:c r="D980" s="73" t="str">
        <x:v>Капитализированные расходы и прочее</x:v>
      </x:c>
      <x:c r="E980" s="74" t="n">
        <x:v>-3027.473</x:v>
      </x:c>
      <x:c r="F980" s="73" t="str">
        <x:v>POSI_2026H1.pdf</x:v>
      </x:c>
      <x:c r="G980" s="73" t="n">
        <x:v>13</x:v>
      </x:c>
      <x:c r="H980" s="73" t="str">
        <x:v>Состав и сумма сверены с раскрытием компании</x:v>
      </x:c>
      <x:c r="I980" s="69"/>
      <x:c r="J980" s="69"/>
      <x:c r="K980" s="69"/>
    </x:row>
    <x:row r="981" ht="15" hidden="0" customHeight="1">
      <x:c r="A981" t="str">
        <x:v>POSI</x:v>
      </x:c>
      <x:c r="B981" t="str">
        <x:v>1П2026</x:v>
      </x:c>
      <x:c r="C981" s="73" t="str">
        <x:v>EBITDAC компании</x:v>
      </x:c>
      <x:c r="D981" s="73" t="str">
        <x:v>Корректировка отгрузок</x:v>
      </x:c>
      <x:c r="E981" s="74" t="n">
        <x:v>366.64</x:v>
      </x:c>
      <x:c r="F981" s="73" t="str">
        <x:v>POSI_2026H1.pdf</x:v>
      </x:c>
      <x:c r="G981" s="73" t="n">
        <x:v>13</x:v>
      </x:c>
      <x:c r="H981" s="73" t="str">
        <x:v>Состав и сумма сверены с раскрытием компании</x:v>
      </x:c>
      <x:c r="I981" s="69"/>
      <x:c r="J981" s="69"/>
      <x:c r="K981" s="69"/>
    </x:row>
    <x:row r="982" ht="15" hidden="0" customHeight="1">
      <x:c r="A982" s="60" t="str">
        <x:v>POSI</x:v>
      </x:c>
      <x:c r="B982" s="60" t="str">
        <x:v>1П2026</x:v>
      </x:c>
      <x:c r="C982" s="76" t="str">
        <x:v>EBITDAC компании</x:v>
      </x:c>
      <x:c r="D982" s="76" t="str">
        <x:v>ИТОГО — расчет</x:v>
      </x:c>
      <x:c r="E982" s="77" t="n">
        <x:f>SUM(E979:E981)</x:f>
        <x:v>-1820.5520000000001</x:v>
      </x:c>
      <x:c r="F982" s="76" t="str">
        <x:v>POSI_2026H1.pdf</x:v>
      </x:c>
      <x:c r="G982" s="76" t="n">
        <x:v>13</x:v>
      </x:c>
      <x:c r="H982" s="76"/>
      <x:c r="I982" s="71" t="n">
        <x:v>-1820.552</x:v>
      </x:c>
      <x:c r="J982" s="71" t="n">
        <x:f>E982-I982</x:f>
        <x:v>-2.2737367544323206e-13</x:v>
      </x:c>
      <x:c r="K982" s="71" t="n">
        <x:f>SUM(E979:E979)</x:f>
        <x:v>840.281</x:v>
      </x:c>
    </x:row>
    <x:row r="983" ht="15" hidden="0" customHeight="1">
      <x:c r="C983" s="73"/>
      <x:c r="D983" s="73"/>
      <x:c r="E983" s="74"/>
      <x:c r="F983" s="73"/>
      <x:c r="G983" s="73"/>
      <x:c r="H983" s="73"/>
      <x:c r="I983" s="69"/>
      <x:c r="J983" s="69"/>
      <x:c r="K983" s="69"/>
    </x:row>
    <x:row r="984" ht="15" hidden="0" customHeight="1">
      <x:c r="A984" t="str">
        <x:v>MTSS</x:v>
      </x:c>
      <x:c r="B984" t="str">
        <x:v>1П2025</x:v>
      </x:c>
      <x:c r="C984" s="73" t="str">
        <x:v>OIBDA</x:v>
      </x:c>
      <x:c r="D984" s="73" t="str">
        <x:v>Операционная прибыль</x:v>
      </x:c>
      <x:c r="E984" s="74" t="n">
        <x:v>71263</x:v>
      </x:c>
      <x:c r="F984" s="73" t="str">
        <x:v>MTSS_2026H1.pdf</x:v>
      </x:c>
      <x:c r="G984" s="73" t="n">
        <x:v>16</x:v>
      </x:c>
      <x:c r="H984" s="73" t="str">
        <x:v>Состав и сумма сверены с раскрытием компании</x:v>
      </x:c>
      <x:c r="I984" s="69"/>
      <x:c r="J984" s="69"/>
      <x:c r="K984" s="69"/>
    </x:row>
    <x:row r="985" ht="15" hidden="0" customHeight="1">
      <x:c r="A985" t="str">
        <x:v>MTSS</x:v>
      </x:c>
      <x:c r="B985" t="str">
        <x:v>1П2025</x:v>
      </x:c>
      <x:c r="C985" s="73" t="str">
        <x:v>OIBDA</x:v>
      </x:c>
      <x:c r="D985" s="73" t="str">
        <x:v>Амортизация</x:v>
      </x:c>
      <x:c r="E985" s="74" t="n">
        <x:v>64814</x:v>
      </x:c>
      <x:c r="F985" s="73" t="str">
        <x:v>MTSS_2026H1.pdf</x:v>
      </x:c>
      <x:c r="G985" s="73" t="n">
        <x:v>16</x:v>
      </x:c>
      <x:c r="H985" s="73" t="str">
        <x:v>Состав и сумма сверены с раскрытием компании</x:v>
      </x:c>
      <x:c r="I985" s="69"/>
      <x:c r="J985" s="69"/>
      <x:c r="K985" s="69"/>
    </x:row>
    <x:row r="986" ht="15" hidden="0" customHeight="1">
      <x:c r="A986" s="60" t="str">
        <x:v>MTSS</x:v>
      </x:c>
      <x:c r="B986" s="60" t="str">
        <x:v>1П2025</x:v>
      </x:c>
      <x:c r="C986" s="76" t="str">
        <x:v>OIBDA</x:v>
      </x:c>
      <x:c r="D986" s="76" t="str">
        <x:v>ИТОГО — расчет</x:v>
      </x:c>
      <x:c r="E986" s="77" t="n">
        <x:f>SUM(E984:E985)</x:f>
        <x:v>136077</x:v>
      </x:c>
      <x:c r="F986" s="76" t="str">
        <x:v>MTSS_2026H1.pdf</x:v>
      </x:c>
      <x:c r="G986" s="76" t="n">
        <x:v>16</x:v>
      </x:c>
      <x:c r="H986" s="76" t="str">
        <x:v>Расчет 71 263 + 64 814 = 136 077; сверено</x:v>
      </x:c>
      <x:c r="I986" s="71" t="n">
        <x:v>136077</x:v>
      </x:c>
      <x:c r="J986" s="71" t="n">
        <x:f>E986-I986</x:f>
        <x:v>0</x:v>
      </x:c>
      <x:c r="K986" s="71" t="n">
        <x:f>SUM(E984:E985)</x:f>
        <x:v>136077</x:v>
      </x:c>
    </x:row>
    <x:row r="987" ht="15" hidden="0" customHeight="1">
      <x:c r="C987" s="73"/>
      <x:c r="D987" s="73"/>
      <x:c r="E987" s="74"/>
      <x:c r="F987" s="73"/>
      <x:c r="G987" s="73"/>
      <x:c r="H987" s="73"/>
      <x:c r="I987" s="69"/>
      <x:c r="J987" s="69"/>
      <x:c r="K987" s="69"/>
    </x:row>
    <x:row r="988" ht="15" hidden="0" customHeight="1">
      <x:c r="A988" t="str">
        <x:v>MTSS</x:v>
      </x:c>
      <x:c r="B988" t="str">
        <x:v>1П2026</x:v>
      </x:c>
      <x:c r="C988" s="73" t="str">
        <x:v>OIBDA</x:v>
      </x:c>
      <x:c r="D988" s="73" t="str">
        <x:v>Операционная прибыль</x:v>
      </x:c>
      <x:c r="E988" s="74" t="n">
        <x:v>89215</x:v>
      </x:c>
      <x:c r="F988" s="73" t="str">
        <x:v>MTSS_2026H1.pdf</x:v>
      </x:c>
      <x:c r="G988" s="73" t="n">
        <x:v>15</x:v>
      </x:c>
      <x:c r="H988" s="73" t="str">
        <x:v>Состав и сумма сверены с раскрытием компании</x:v>
      </x:c>
      <x:c r="I988" s="69"/>
      <x:c r="J988" s="69"/>
      <x:c r="K988" s="69"/>
    </x:row>
    <x:row r="989" ht="15" hidden="0" customHeight="1">
      <x:c r="A989" t="str">
        <x:v>MTSS</x:v>
      </x:c>
      <x:c r="B989" t="str">
        <x:v>1П2026</x:v>
      </x:c>
      <x:c r="C989" s="73" t="str">
        <x:v>OIBDA</x:v>
      </x:c>
      <x:c r="D989" s="73" t="str">
        <x:v>Амортизация</x:v>
      </x:c>
      <x:c r="E989" s="74" t="n">
        <x:v>70131</x:v>
      </x:c>
      <x:c r="F989" s="73" t="str">
        <x:v>MTSS_2026H1.pdf</x:v>
      </x:c>
      <x:c r="G989" s="73" t="n">
        <x:v>15</x:v>
      </x:c>
      <x:c r="H989" s="73" t="str">
        <x:v>Состав и сумма сверены с раскрытием компании</x:v>
      </x:c>
      <x:c r="I989" s="69"/>
      <x:c r="J989" s="69"/>
      <x:c r="K989" s="69"/>
    </x:row>
    <x:row r="990" ht="15" hidden="0" customHeight="1">
      <x:c r="A990" s="60" t="str">
        <x:v>MTSS</x:v>
      </x:c>
      <x:c r="B990" s="60" t="str">
        <x:v>1П2026</x:v>
      </x:c>
      <x:c r="C990" s="76" t="str">
        <x:v>OIBDA</x:v>
      </x:c>
      <x:c r="D990" s="76" t="str">
        <x:v>ИТОГО — расчет</x:v>
      </x:c>
      <x:c r="E990" s="77" t="n">
        <x:f>SUM(E988:E989)</x:f>
        <x:v>159346</x:v>
      </x:c>
      <x:c r="F990" s="76" t="str">
        <x:v>MTSS_2026H1.pdf</x:v>
      </x:c>
      <x:c r="G990" s="76" t="n">
        <x:v>15</x:v>
      </x:c>
      <x:c r="H990" s="76" t="str">
        <x:v>Расчет 89 215 + 70 131 = 159 346; сверено</x:v>
      </x:c>
      <x:c r="I990" s="71" t="n">
        <x:v>159346</x:v>
      </x:c>
      <x:c r="J990" s="71" t="n">
        <x:f>E990-I990</x:f>
        <x:v>0</x:v>
      </x:c>
      <x:c r="K990" s="71" t="n">
        <x:f>SUM(E988:E989)</x:f>
        <x:v>159346</x:v>
      </x:c>
    </x:row>
    <x:row r="991" ht="15" hidden="0" customHeight="1">
      <x:c r="C991" s="73"/>
      <x:c r="D991" s="73"/>
      <x:c r="E991" s="74"/>
      <x:c r="F991" s="73"/>
      <x:c r="G991" s="73"/>
      <x:c r="H991" s="73"/>
      <x:c r="I991" s="69"/>
      <x:c r="J991" s="69"/>
      <x:c r="K991" s="69"/>
    </x:row>
    <x:row r="992" ht="15" hidden="0" customHeight="1">
      <x:c r="A992" t="str">
        <x:v>YDEX</x:v>
      </x:c>
      <x:c r="B992" t="str">
        <x:v>2025</x:v>
      </x:c>
      <x:c r="C992" s="73" t="str">
        <x:v>Обязательства по аренде вне кредитов</x:v>
      </x:c>
      <x:c r="D992" s="73" t="str">
        <x:v>Краткосрочная аренда</x:v>
      </x:c>
      <x:c r="E992" s="74" t="n">
        <x:v>18340</x:v>
      </x:c>
      <x:c r="F992" s="73" t="str">
        <x:v>YDEX_2026H1.pdf</x:v>
      </x:c>
      <x:c r="G992" s="73" t="n">
        <x:v>4</x:v>
      </x:c>
      <x:c r="H992" s="73" t="str">
        <x:v>Состав и сумма сверены с раскрытием компании</x:v>
      </x:c>
      <x:c r="I992" s="69"/>
      <x:c r="J992" s="69"/>
      <x:c r="K992" s="69"/>
    </x:row>
    <x:row r="993" ht="15" hidden="0" customHeight="1">
      <x:c r="A993" t="str">
        <x:v>YDEX</x:v>
      </x:c>
      <x:c r="B993" t="str">
        <x:v>2025</x:v>
      </x:c>
      <x:c r="C993" s="73" t="str">
        <x:v>Обязательства по аренде вне кредитов</x:v>
      </x:c>
      <x:c r="D993" s="73" t="str">
        <x:v>Долгосрочная аренда</x:v>
      </x:c>
      <x:c r="E993" s="74" t="n">
        <x:v>72203</x:v>
      </x:c>
      <x:c r="F993" s="73" t="str">
        <x:v>YDEX_2026H1.pdf</x:v>
      </x:c>
      <x:c r="G993" s="73" t="n">
        <x:v>4</x:v>
      </x:c>
      <x:c r="H993" s="73" t="str">
        <x:v>Состав и сумма сверены с раскрытием компании</x:v>
      </x:c>
      <x:c r="I993" s="69"/>
      <x:c r="J993" s="69"/>
      <x:c r="K993" s="69"/>
    </x:row>
    <x:row r="994" ht="26.399999618530273" hidden="0" customHeight="1">
      <x:c r="A994" s="60" t="str">
        <x:v>YDEX</x:v>
      </x:c>
      <x:c r="B994" s="60" t="str">
        <x:v>2025</x:v>
      </x:c>
      <x:c r="C994" s="76" t="str">
        <x:v>Обязательства по аренде вне кредитов</x:v>
      </x:c>
      <x:c r="D994" s="76" t="str">
        <x:v>ИТОГО — расчет</x:v>
      </x:c>
      <x:c r="E994" s="77" t="n">
        <x:f>SUM(E992:E993)</x:f>
        <x:v>90543</x:v>
      </x:c>
      <x:c r="F994" s="76" t="str">
        <x:v>YDEX_2026H1.pdf</x:v>
      </x:c>
      <x:c r="G994" s="76" t="n">
        <x:v>4</x:v>
      </x:c>
      <x:c r="H994" s="76"/>
      <x:c r="I994" s="71" t="n">
        <x:v>90543</x:v>
      </x:c>
      <x:c r="J994" s="71" t="n">
        <x:f>E994-I994</x:f>
        <x:v>0</x:v>
      </x:c>
      <x:c r="K994" s="71" t="n">
        <x:f>SUM(E992:E993)</x:f>
        <x:v>90543</x:v>
      </x:c>
    </x:row>
    <x:row r="995" ht="15" hidden="0" customHeight="1">
      <x:c r="C995" s="73"/>
      <x:c r="D995" s="73"/>
      <x:c r="E995" s="74"/>
      <x:c r="F995" s="73"/>
      <x:c r="G995" s="73"/>
      <x:c r="H995" s="73"/>
      <x:c r="I995" s="69"/>
      <x:c r="J995" s="69"/>
      <x:c r="K995" s="69"/>
    </x:row>
    <x:row r="996" ht="15" hidden="0" customHeight="1">
      <x:c r="A996" t="str">
        <x:v>YDEX</x:v>
      </x:c>
      <x:c r="B996" t="str">
        <x:v>2025</x:v>
      </x:c>
      <x:c r="C996" s="73" t="str">
        <x:v>ЧД IFRS16: кредиты + аренда − деньги</x:v>
      </x:c>
      <x:c r="D996" s="73" t="str">
        <x:v>Краткосрочные кредиты и займы</x:v>
      </x:c>
      <x:c r="E996" s="74" t="n">
        <x:v>90051</x:v>
      </x:c>
      <x:c r="F996" s="73" t="str">
        <x:v>YDEX_2026H1.pdf</x:v>
      </x:c>
      <x:c r="G996" s="73" t="n">
        <x:v>4</x:v>
      </x:c>
      <x:c r="H996" s="73" t="str">
        <x:v>Состав и сумма сверены с раскрытием компании</x:v>
      </x:c>
      <x:c r="I996" s="69"/>
      <x:c r="J996" s="69"/>
      <x:c r="K996" s="69"/>
    </x:row>
    <x:row r="997" ht="15" hidden="0" customHeight="1">
      <x:c r="A997" t="str">
        <x:v>YDEX</x:v>
      </x:c>
      <x:c r="B997" t="str">
        <x:v>2025</x:v>
      </x:c>
      <x:c r="C997" s="73" t="str">
        <x:v>ЧД IFRS16: кредиты + аренда − деньги</x:v>
      </x:c>
      <x:c r="D997" s="73" t="str">
        <x:v>Долгосрочные кредиты и займы</x:v>
      </x:c>
      <x:c r="E997" s="74" t="n">
        <x:v>179621</x:v>
      </x:c>
      <x:c r="F997" s="73" t="str">
        <x:v>YDEX_2026H1.pdf</x:v>
      </x:c>
      <x:c r="G997" s="73" t="n">
        <x:v>4</x:v>
      </x:c>
      <x:c r="H997" s="73" t="str">
        <x:v>Состав и сумма сверены с раскрытием компании</x:v>
      </x:c>
      <x:c r="I997" s="69"/>
      <x:c r="J997" s="69"/>
      <x:c r="K997" s="69"/>
    </x:row>
    <x:row r="998" ht="15" hidden="0" customHeight="1">
      <x:c r="A998" t="str">
        <x:v>YDEX</x:v>
      </x:c>
      <x:c r="B998" t="str">
        <x:v>2025</x:v>
      </x:c>
      <x:c r="C998" s="73" t="str">
        <x:v>ЧД IFRS16: кредиты + аренда − деньги</x:v>
      </x:c>
      <x:c r="D998" s="73" t="str">
        <x:v>Минус денежные средства</x:v>
      </x:c>
      <x:c r="E998" s="74" t="n">
        <x:v>-250210</x:v>
      </x:c>
      <x:c r="F998" s="73" t="str">
        <x:v>YDEX_2026H1.pdf</x:v>
      </x:c>
      <x:c r="G998" s="73" t="n">
        <x:v>4</x:v>
      </x:c>
      <x:c r="H998" s="73" t="str">
        <x:v>Состав и сумма сверены с раскрытием компании</x:v>
      </x:c>
      <x:c r="I998" s="69"/>
      <x:c r="J998" s="69"/>
      <x:c r="K998" s="69"/>
    </x:row>
    <x:row r="999" ht="15" hidden="0" customHeight="1">
      <x:c r="A999" t="str">
        <x:v>YDEX</x:v>
      </x:c>
      <x:c r="B999" t="str">
        <x:v>2025</x:v>
      </x:c>
      <x:c r="C999" s="73" t="str">
        <x:v>ЧД IFRS16: кредиты + аренда − деньги</x:v>
      </x:c>
      <x:c r="D999" s="73" t="str">
        <x:v>Краткосрочная аренда</x:v>
      </x:c>
      <x:c r="E999" s="74" t="n">
        <x:v>18340</x:v>
      </x:c>
      <x:c r="F999" s="73" t="str">
        <x:v>YDEX_2026H1.pdf</x:v>
      </x:c>
      <x:c r="G999" s="73" t="n">
        <x:v>4</x:v>
      </x:c>
      <x:c r="H999" s="73" t="str">
        <x:v>Состав и сумма сверены с раскрытием компании</x:v>
      </x:c>
      <x:c r="I999" s="69"/>
      <x:c r="J999" s="69"/>
      <x:c r="K999" s="69"/>
    </x:row>
    <x:row r="1000" ht="15" hidden="0" customHeight="1">
      <x:c r="A1000" t="str">
        <x:v>YDEX</x:v>
      </x:c>
      <x:c r="B1000" t="str">
        <x:v>2025</x:v>
      </x:c>
      <x:c r="C1000" s="73" t="str">
        <x:v>ЧД IFRS16: кредиты + аренда − деньги</x:v>
      </x:c>
      <x:c r="D1000" s="73" t="str">
        <x:v>Долгосрочная аренда</x:v>
      </x:c>
      <x:c r="E1000" s="74" t="n">
        <x:v>72203</x:v>
      </x:c>
      <x:c r="F1000" s="73" t="str">
        <x:v>YDEX_2026H1.pdf</x:v>
      </x:c>
      <x:c r="G1000" s="73" t="n">
        <x:v>4</x:v>
      </x:c>
      <x:c r="H1000" s="73" t="str">
        <x:v>Состав и сумма сверены с раскрытием компании</x:v>
      </x:c>
      <x:c r="I1000" s="69"/>
      <x:c r="J1000" s="69"/>
      <x:c r="K1000" s="69"/>
    </x:row>
    <x:row r="1001" ht="15" hidden="0" customHeight="1">
      <x:c r="A1001" s="60" t="str">
        <x:v>YDEX</x:v>
      </x:c>
      <x:c r="B1001" s="60" t="str">
        <x:v>2025</x:v>
      </x:c>
      <x:c r="C1001" s="76" t="str">
        <x:v>ЧД IFRS16: кредиты + аренда − деньги</x:v>
      </x:c>
      <x:c r="D1001" s="76" t="str">
        <x:v>ИТОГО — расчет</x:v>
      </x:c>
      <x:c r="E1001" s="77" t="n">
        <x:f>SUM(E996:E1000)</x:f>
        <x:v>110005</x:v>
      </x:c>
      <x:c r="F1001" s="76" t="str">
        <x:v>YDEX_2026H1.pdf</x:v>
      </x:c>
      <x:c r="G1001" s="76" t="n">
        <x:v>4</x:v>
      </x:c>
      <x:c r="H1001" s="76"/>
      <x:c r="I1001" s="71"/>
      <x:c r="J1001" s="71"/>
      <x:c r="K1001" s="71" t="n">
        <x:f>SUM(E996:E998)</x:f>
        <x:v>19462</x:v>
      </x:c>
    </x:row>
    <x:row r="1002" ht="15" hidden="0" customHeight="1">
      <x:c r="C1002" s="73"/>
      <x:c r="D1002" s="73"/>
      <x:c r="E1002" s="74"/>
      <x:c r="F1002" s="73"/>
      <x:c r="G1002" s="73"/>
      <x:c r="H1002" s="73"/>
      <x:c r="I1002" s="69"/>
      <x:c r="J1002" s="69"/>
      <x:c r="K1002" s="69"/>
    </x:row>
    <x:row r="1003" ht="15" hidden="0" customHeight="1">
      <x:c r="A1003" t="str">
        <x:v>YDEX</x:v>
      </x:c>
      <x:c r="B1003" t="str">
        <x:v>1П2026</x:v>
      </x:c>
      <x:c r="C1003" s="73" t="str">
        <x:v>Обязательства по аренде вне кредитов</x:v>
      </x:c>
      <x:c r="D1003" s="73" t="str">
        <x:v>Краткосрочная аренда</x:v>
      </x:c>
      <x:c r="E1003" s="74" t="n">
        <x:v>23002</x:v>
      </x:c>
      <x:c r="F1003" s="73" t="str">
        <x:v>YDEX_2026H1.pdf</x:v>
      </x:c>
      <x:c r="G1003" s="73" t="n">
        <x:v>4</x:v>
      </x:c>
      <x:c r="H1003" s="73" t="str">
        <x:v>Состав и сумма сверены с раскрытием компании</x:v>
      </x:c>
      <x:c r="I1003" s="69"/>
      <x:c r="J1003" s="69"/>
      <x:c r="K1003" s="69"/>
    </x:row>
    <x:row r="1004" ht="15" hidden="0" customHeight="1">
      <x:c r="A1004" t="str">
        <x:v>YDEX</x:v>
      </x:c>
      <x:c r="B1004" t="str">
        <x:v>1П2026</x:v>
      </x:c>
      <x:c r="C1004" s="73" t="str">
        <x:v>Обязательства по аренде вне кредитов</x:v>
      </x:c>
      <x:c r="D1004" s="73" t="str">
        <x:v>Долгосрочная аренда</x:v>
      </x:c>
      <x:c r="E1004" s="74" t="n">
        <x:v>69695</x:v>
      </x:c>
      <x:c r="F1004" s="73" t="str">
        <x:v>YDEX_2026H1.pdf</x:v>
      </x:c>
      <x:c r="G1004" s="73" t="n">
        <x:v>4</x:v>
      </x:c>
      <x:c r="H1004" s="73" t="str">
        <x:v>Состав и сумма сверены с раскрытием компании</x:v>
      </x:c>
      <x:c r="I1004" s="69"/>
      <x:c r="J1004" s="69"/>
      <x:c r="K1004" s="69"/>
    </x:row>
    <x:row r="1005" ht="26.399999618530273" hidden="0" customHeight="1">
      <x:c r="A1005" s="60" t="str">
        <x:v>YDEX</x:v>
      </x:c>
      <x:c r="B1005" s="60" t="str">
        <x:v>1П2026</x:v>
      </x:c>
      <x:c r="C1005" s="76" t="str">
        <x:v>Обязательства по аренде вне кредитов</x:v>
      </x:c>
      <x:c r="D1005" s="76" t="str">
        <x:v>ИТОГО — расчет</x:v>
      </x:c>
      <x:c r="E1005" s="77" t="n">
        <x:f>SUM(E1003:E1004)</x:f>
        <x:v>92697</x:v>
      </x:c>
      <x:c r="F1005" s="76" t="str">
        <x:v>YDEX_2026H1.pdf</x:v>
      </x:c>
      <x:c r="G1005" s="76" t="n">
        <x:v>4</x:v>
      </x:c>
      <x:c r="H1005" s="76"/>
      <x:c r="I1005" s="71" t="n">
        <x:v>92697</x:v>
      </x:c>
      <x:c r="J1005" s="71" t="n">
        <x:f>E1005-I1005</x:f>
        <x:v>0</x:v>
      </x:c>
      <x:c r="K1005" s="71" t="n">
        <x:f>SUM(E1003:E1004)</x:f>
        <x:v>92697</x:v>
      </x:c>
    </x:row>
    <x:row r="1006" ht="15" hidden="0" customHeight="1">
      <x:c r="C1006" s="73"/>
      <x:c r="D1006" s="73"/>
      <x:c r="E1006" s="74"/>
      <x:c r="F1006" s="73"/>
      <x:c r="G1006" s="73"/>
      <x:c r="H1006" s="73"/>
      <x:c r="I1006" s="69"/>
      <x:c r="J1006" s="69"/>
      <x:c r="K1006" s="69"/>
    </x:row>
    <x:row r="1007" ht="15" hidden="0" customHeight="1">
      <x:c r="A1007" t="str">
        <x:v>YDEX</x:v>
      </x:c>
      <x:c r="B1007" t="str">
        <x:v>1П2026</x:v>
      </x:c>
      <x:c r="C1007" s="73" t="str">
        <x:v>ЧД IFRS16: кредиты + аренда − деньги</x:v>
      </x:c>
      <x:c r="D1007" s="73" t="str">
        <x:v>Краткосрочные кредиты и займы</x:v>
      </x:c>
      <x:c r="E1007" s="74" t="n">
        <x:v>71828</x:v>
      </x:c>
      <x:c r="F1007" s="73" t="str">
        <x:v>YDEX_2026H1.pdf</x:v>
      </x:c>
      <x:c r="G1007" s="73" t="n">
        <x:v>4</x:v>
      </x:c>
      <x:c r="H1007" s="73" t="str">
        <x:v>Состав и сумма сверены с раскрытием компании</x:v>
      </x:c>
      <x:c r="I1007" s="69"/>
      <x:c r="J1007" s="69"/>
      <x:c r="K1007" s="69"/>
    </x:row>
    <x:row r="1008" ht="15" hidden="0" customHeight="1">
      <x:c r="A1008" t="str">
        <x:v>YDEX</x:v>
      </x:c>
      <x:c r="B1008" t="str">
        <x:v>1П2026</x:v>
      </x:c>
      <x:c r="C1008" s="73" t="str">
        <x:v>ЧД IFRS16: кредиты + аренда − деньги</x:v>
      </x:c>
      <x:c r="D1008" s="73" t="str">
        <x:v>Долгосрочные кредиты и займы</x:v>
      </x:c>
      <x:c r="E1008" s="74" t="n">
        <x:v>205474</x:v>
      </x:c>
      <x:c r="F1008" s="73" t="str">
        <x:v>YDEX_2026H1.pdf</x:v>
      </x:c>
      <x:c r="G1008" s="73" t="n">
        <x:v>4</x:v>
      </x:c>
      <x:c r="H1008" s="73" t="str">
        <x:v>Состав и сумма сверены с раскрытием компании</x:v>
      </x:c>
      <x:c r="I1008" s="69"/>
      <x:c r="J1008" s="69"/>
      <x:c r="K1008" s="69"/>
    </x:row>
    <x:row r="1009" ht="15" hidden="0" customHeight="1">
      <x:c r="A1009" t="str">
        <x:v>YDEX</x:v>
      </x:c>
      <x:c r="B1009" t="str">
        <x:v>1П2026</x:v>
      </x:c>
      <x:c r="C1009" s="73" t="str">
        <x:v>ЧД IFRS16: кредиты + аренда − деньги</x:v>
      </x:c>
      <x:c r="D1009" s="73" t="str">
        <x:v>Минус денежные средства</x:v>
      </x:c>
      <x:c r="E1009" s="74" t="n">
        <x:v>-296024</x:v>
      </x:c>
      <x:c r="F1009" s="73" t="str">
        <x:v>YDEX_2026H1.pdf</x:v>
      </x:c>
      <x:c r="G1009" s="73" t="n">
        <x:v>4</x:v>
      </x:c>
      <x:c r="H1009" s="73" t="str">
        <x:v>Состав и сумма сверены с раскрытием компании</x:v>
      </x:c>
      <x:c r="I1009" s="69"/>
      <x:c r="J1009" s="69"/>
      <x:c r="K1009" s="69"/>
    </x:row>
    <x:row r="1010" ht="15" hidden="0" customHeight="1">
      <x:c r="A1010" t="str">
        <x:v>YDEX</x:v>
      </x:c>
      <x:c r="B1010" t="str">
        <x:v>1П2026</x:v>
      </x:c>
      <x:c r="C1010" s="73" t="str">
        <x:v>ЧД IFRS16: кредиты + аренда − деньги</x:v>
      </x:c>
      <x:c r="D1010" s="73" t="str">
        <x:v>Краткосрочная аренда</x:v>
      </x:c>
      <x:c r="E1010" s="74" t="n">
        <x:v>23002</x:v>
      </x:c>
      <x:c r="F1010" s="73" t="str">
        <x:v>YDEX_2026H1.pdf</x:v>
      </x:c>
      <x:c r="G1010" s="73" t="n">
        <x:v>4</x:v>
      </x:c>
      <x:c r="H1010" s="73" t="str">
        <x:v>Состав и сумма сверены с раскрытием компании</x:v>
      </x:c>
      <x:c r="I1010" s="69"/>
      <x:c r="J1010" s="69"/>
      <x:c r="K1010" s="69"/>
    </x:row>
    <x:row r="1011" ht="15" hidden="0" customHeight="1">
      <x:c r="A1011" t="str">
        <x:v>YDEX</x:v>
      </x:c>
      <x:c r="B1011" t="str">
        <x:v>1П2026</x:v>
      </x:c>
      <x:c r="C1011" s="73" t="str">
        <x:v>ЧД IFRS16: кредиты + аренда − деньги</x:v>
      </x:c>
      <x:c r="D1011" s="73" t="str">
        <x:v>Долгосрочная аренда</x:v>
      </x:c>
      <x:c r="E1011" s="74" t="n">
        <x:v>69695</x:v>
      </x:c>
      <x:c r="F1011" s="73" t="str">
        <x:v>YDEX_2026H1.pdf</x:v>
      </x:c>
      <x:c r="G1011" s="73" t="n">
        <x:v>4</x:v>
      </x:c>
      <x:c r="H1011" s="73" t="str">
        <x:v>Состав и сумма сверены с раскрытием компании</x:v>
      </x:c>
      <x:c r="I1011" s="69"/>
      <x:c r="J1011" s="69"/>
      <x:c r="K1011" s="69"/>
    </x:row>
    <x:row r="1012" ht="15" hidden="0" customHeight="1">
      <x:c r="A1012" s="60" t="str">
        <x:v>YDEX</x:v>
      </x:c>
      <x:c r="B1012" s="60" t="str">
        <x:v>1П2026</x:v>
      </x:c>
      <x:c r="C1012" s="76" t="str">
        <x:v>ЧД IFRS16: кредиты + аренда − деньги</x:v>
      </x:c>
      <x:c r="D1012" s="76" t="str">
        <x:v>ИТОГО — расчет</x:v>
      </x:c>
      <x:c r="E1012" s="77" t="n">
        <x:f>SUM(E1007:E1011)</x:f>
        <x:v>73975</x:v>
      </x:c>
      <x:c r="F1012" s="76" t="str">
        <x:v>YDEX_2026H1.pdf</x:v>
      </x:c>
      <x:c r="G1012" s="76" t="n">
        <x:v>4</x:v>
      </x:c>
      <x:c r="H1012" s="76"/>
      <x:c r="I1012" s="71"/>
      <x:c r="J1012" s="71"/>
      <x:c r="K1012" s="71" t="n">
        <x:f>SUM(E1007:E1009)</x:f>
        <x:v>-18722</x:v>
      </x:c>
    </x:row>
    <x:row r="1013" ht="15" hidden="0" customHeight="1">
      <x:c r="C1013" s="73"/>
      <x:c r="D1013" s="73"/>
      <x:c r="E1013" s="74"/>
      <x:c r="F1013" s="73"/>
      <x:c r="G1013" s="73"/>
      <x:c r="H1013" s="73"/>
      <x:c r="I1013" s="69"/>
      <x:c r="J1013" s="69"/>
      <x:c r="K1013" s="69"/>
    </x:row>
    <x:row r="1014" ht="15" hidden="0" customHeight="1">
      <x:c r="A1014" t="str">
        <x:v>LENT</x:v>
      </x:c>
      <x:c r="B1014" t="str">
        <x:v>2025</x:v>
      </x:c>
      <x:c r="C1014" s="73" t="str">
        <x:v>Обязательства по аренде вне кредитов</x:v>
      </x:c>
      <x:c r="D1014" s="73" t="str">
        <x:v>Краткосрочная аренда</x:v>
      </x:c>
      <x:c r="E1014" s="74" t="n">
        <x:v>14880.654</x:v>
      </x:c>
      <x:c r="F1014" s="73" t="str">
        <x:v>LENT_2026H1.pdf</x:v>
      </x:c>
      <x:c r="G1014" s="73" t="n">
        <x:v>6</x:v>
      </x:c>
      <x:c r="H1014" s="73" t="str">
        <x:v>Состав и сумма сверены с раскрытием компании</x:v>
      </x:c>
      <x:c r="I1014" s="69"/>
      <x:c r="J1014" s="69"/>
      <x:c r="K1014" s="69"/>
    </x:row>
    <x:row r="1015" ht="15" hidden="0" customHeight="1">
      <x:c r="A1015" t="str">
        <x:v>LENT</x:v>
      </x:c>
      <x:c r="B1015" t="str">
        <x:v>2025</x:v>
      </x:c>
      <x:c r="C1015" s="73" t="str">
        <x:v>Обязательства по аренде вне кредитов</x:v>
      </x:c>
      <x:c r="D1015" s="73" t="str">
        <x:v>Долгосрочная аренда</x:v>
      </x:c>
      <x:c r="E1015" s="74" t="n">
        <x:v>104632.227</x:v>
      </x:c>
      <x:c r="F1015" s="73" t="str">
        <x:v>LENT_2026H1.pdf</x:v>
      </x:c>
      <x:c r="G1015" s="73" t="n">
        <x:v>6</x:v>
      </x:c>
      <x:c r="H1015" s="73" t="str">
        <x:v>Состав и сумма сверены с раскрытием компании</x:v>
      </x:c>
      <x:c r="I1015" s="69"/>
      <x:c r="J1015" s="69"/>
      <x:c r="K1015" s="69"/>
    </x:row>
    <x:row r="1016" ht="26.399999618530273" hidden="0" customHeight="1">
      <x:c r="A1016" s="60" t="str">
        <x:v>LENT</x:v>
      </x:c>
      <x:c r="B1016" s="60" t="str">
        <x:v>2025</x:v>
      </x:c>
      <x:c r="C1016" s="76" t="str">
        <x:v>Обязательства по аренде вне кредитов</x:v>
      </x:c>
      <x:c r="D1016" s="76" t="str">
        <x:v>ИТОГО — расчет</x:v>
      </x:c>
      <x:c r="E1016" s="77" t="n">
        <x:f>SUM(E1014:E1015)</x:f>
        <x:v>119512.881</x:v>
      </x:c>
      <x:c r="F1016" s="76" t="str">
        <x:v>LENT_2026H1.pdf</x:v>
      </x:c>
      <x:c r="G1016" s="76" t="n">
        <x:v>6</x:v>
      </x:c>
      <x:c r="H1016" s="76"/>
      <x:c r="I1016" s="71" t="n">
        <x:v>119512.881</x:v>
      </x:c>
      <x:c r="J1016" s="71" t="n">
        <x:f>E1016-I1016</x:f>
        <x:v>0</x:v>
      </x:c>
      <x:c r="K1016" s="71" t="n">
        <x:f>SUM(E1014:E1015)</x:f>
        <x:v>119512.881</x:v>
      </x:c>
    </x:row>
    <x:row r="1017" ht="15" hidden="0" customHeight="1">
      <x:c r="C1017" s="73"/>
      <x:c r="D1017" s="73"/>
      <x:c r="E1017" s="74"/>
      <x:c r="F1017" s="73"/>
      <x:c r="G1017" s="73"/>
      <x:c r="H1017" s="73"/>
      <x:c r="I1017" s="69"/>
      <x:c r="J1017" s="69"/>
      <x:c r="K1017" s="69"/>
    </x:row>
    <x:row r="1018" ht="15" hidden="0" customHeight="1">
      <x:c r="A1018" t="str">
        <x:v>LENT</x:v>
      </x:c>
      <x:c r="B1018" t="str">
        <x:v>2025</x:v>
      </x:c>
      <x:c r="C1018" s="73" t="str">
        <x:v>ЧД IFRS16: кредиты + аренда − деньги</x:v>
      </x:c>
      <x:c r="D1018" s="73" t="str">
        <x:v>Краткосрочные кредиты и займы</x:v>
      </x:c>
      <x:c r="E1018" s="74" t="n">
        <x:v>55440.666</x:v>
      </x:c>
      <x:c r="F1018" s="73" t="str">
        <x:v>LENT_2026H1.pdf</x:v>
      </x:c>
      <x:c r="G1018" s="73" t="n">
        <x:v>6</x:v>
      </x:c>
      <x:c r="H1018" s="73" t="str">
        <x:v>Состав и сумма сверены с раскрытием компании</x:v>
      </x:c>
      <x:c r="I1018" s="69"/>
      <x:c r="J1018" s="69"/>
      <x:c r="K1018" s="69"/>
    </x:row>
    <x:row r="1019" ht="15" hidden="0" customHeight="1">
      <x:c r="A1019" t="str">
        <x:v>LENT</x:v>
      </x:c>
      <x:c r="B1019" t="str">
        <x:v>2025</x:v>
      </x:c>
      <x:c r="C1019" s="73" t="str">
        <x:v>ЧД IFRS16: кредиты + аренда − деньги</x:v>
      </x:c>
      <x:c r="D1019" s="73" t="str">
        <x:v>Долгосрочные кредиты и займы</x:v>
      </x:c>
      <x:c r="E1019" s="74" t="n">
        <x:v>44458.63</x:v>
      </x:c>
      <x:c r="F1019" s="73" t="str">
        <x:v>LENT_2026H1.pdf</x:v>
      </x:c>
      <x:c r="G1019" s="73" t="n">
        <x:v>6</x:v>
      </x:c>
      <x:c r="H1019" s="73" t="str">
        <x:v>Состав и сумма сверены с раскрытием компании</x:v>
      </x:c>
      <x:c r="I1019" s="69"/>
      <x:c r="J1019" s="69"/>
      <x:c r="K1019" s="69"/>
    </x:row>
    <x:row r="1020" ht="15" hidden="0" customHeight="1">
      <x:c r="A1020" t="str">
        <x:v>LENT</x:v>
      </x:c>
      <x:c r="B1020" t="str">
        <x:v>2025</x:v>
      </x:c>
      <x:c r="C1020" s="73" t="str">
        <x:v>ЧД IFRS16: кредиты + аренда − деньги</x:v>
      </x:c>
      <x:c r="D1020" s="73" t="str">
        <x:v>Минус денежные средства</x:v>
      </x:c>
      <x:c r="E1020" s="74" t="n">
        <x:v>-51063.533</x:v>
      </x:c>
      <x:c r="F1020" s="73" t="str">
        <x:v>LENT_2026H1.pdf</x:v>
      </x:c>
      <x:c r="G1020" s="73" t="n">
        <x:v>6</x:v>
      </x:c>
      <x:c r="H1020" s="73" t="str">
        <x:v>Состав и сумма сверены с раскрытием компании</x:v>
      </x:c>
      <x:c r="I1020" s="69"/>
      <x:c r="J1020" s="69"/>
      <x:c r="K1020" s="69"/>
    </x:row>
    <x:row r="1021" ht="15" hidden="0" customHeight="1">
      <x:c r="A1021" t="str">
        <x:v>LENT</x:v>
      </x:c>
      <x:c r="B1021" t="str">
        <x:v>2025</x:v>
      </x:c>
      <x:c r="C1021" s="73" t="str">
        <x:v>ЧД IFRS16: кредиты + аренда − деньги</x:v>
      </x:c>
      <x:c r="D1021" s="73" t="str">
        <x:v>Краткосрочная аренда</x:v>
      </x:c>
      <x:c r="E1021" s="74" t="n">
        <x:v>14880.654</x:v>
      </x:c>
      <x:c r="F1021" s="73" t="str">
        <x:v>LENT_2026H1.pdf</x:v>
      </x:c>
      <x:c r="G1021" s="73" t="n">
        <x:v>6</x:v>
      </x:c>
      <x:c r="H1021" s="73" t="str">
        <x:v>Состав и сумма сверены с раскрытием компании</x:v>
      </x:c>
      <x:c r="I1021" s="69"/>
      <x:c r="J1021" s="69"/>
      <x:c r="K1021" s="69"/>
    </x:row>
    <x:row r="1022" ht="15" hidden="0" customHeight="1">
      <x:c r="A1022" t="str">
        <x:v>LENT</x:v>
      </x:c>
      <x:c r="B1022" t="str">
        <x:v>2025</x:v>
      </x:c>
      <x:c r="C1022" s="73" t="str">
        <x:v>ЧД IFRS16: кредиты + аренда − деньги</x:v>
      </x:c>
      <x:c r="D1022" s="73" t="str">
        <x:v>Долгосрочная аренда</x:v>
      </x:c>
      <x:c r="E1022" s="74" t="n">
        <x:v>104632.227</x:v>
      </x:c>
      <x:c r="F1022" s="73" t="str">
        <x:v>LENT_2026H1.pdf</x:v>
      </x:c>
      <x:c r="G1022" s="73" t="n">
        <x:v>6</x:v>
      </x:c>
      <x:c r="H1022" s="73" t="str">
        <x:v>Состав и сумма сверены с раскрытием компании</x:v>
      </x:c>
      <x:c r="I1022" s="69"/>
      <x:c r="J1022" s="69"/>
      <x:c r="K1022" s="69"/>
    </x:row>
    <x:row r="1023" ht="15" hidden="0" customHeight="1">
      <x:c r="A1023" s="60" t="str">
        <x:v>LENT</x:v>
      </x:c>
      <x:c r="B1023" s="60" t="str">
        <x:v>2025</x:v>
      </x:c>
      <x:c r="C1023" s="76" t="str">
        <x:v>ЧД IFRS16: кредиты + аренда − деньги</x:v>
      </x:c>
      <x:c r="D1023" s="76" t="str">
        <x:v>ИТОГО — расчет</x:v>
      </x:c>
      <x:c r="E1023" s="77" t="n">
        <x:f>SUM(E1018:E1022)</x:f>
        <x:v>168348.644</x:v>
      </x:c>
      <x:c r="F1023" s="76" t="str">
        <x:v>LENT_2026H1.pdf</x:v>
      </x:c>
      <x:c r="G1023" s="76" t="n">
        <x:v>6</x:v>
      </x:c>
      <x:c r="H1023" s="76"/>
      <x:c r="I1023" s="71"/>
      <x:c r="J1023" s="71"/>
      <x:c r="K1023" s="71" t="n">
        <x:f>SUM(E1018:E1020)</x:f>
        <x:v>48835.763</x:v>
      </x:c>
    </x:row>
    <x:row r="1024" ht="15" hidden="0" customHeight="1">
      <x:c r="C1024" s="73"/>
      <x:c r="D1024" s="73"/>
      <x:c r="E1024" s="74"/>
      <x:c r="F1024" s="73"/>
      <x:c r="G1024" s="73"/>
      <x:c r="H1024" s="73"/>
      <x:c r="I1024" s="69"/>
      <x:c r="J1024" s="69"/>
      <x:c r="K1024" s="69"/>
    </x:row>
    <x:row r="1025" ht="15" hidden="0" customHeight="1">
      <x:c r="A1025" t="str">
        <x:v>LENT</x:v>
      </x:c>
      <x:c r="B1025" t="str">
        <x:v>2025</x:v>
      </x:c>
      <x:c r="C1025" s="73" t="str">
        <x:v>Чистый долг без аренды (IAS17)</x:v>
      </x:c>
      <x:c r="D1025" s="73" t="str">
        <x:v>Краткосрочные кредиты и займы</x:v>
      </x:c>
      <x:c r="E1025" s="74" t="n">
        <x:v>55440.666</x:v>
      </x:c>
      <x:c r="F1025" s="73" t="str">
        <x:v>LENT_2026H1.pdf</x:v>
      </x:c>
      <x:c r="G1025" s="73" t="n">
        <x:v>6</x:v>
      </x:c>
      <x:c r="H1025" s="73" t="str">
        <x:v>Состав и сумма сверены с раскрытием компании</x:v>
      </x:c>
      <x:c r="I1025" s="69"/>
      <x:c r="J1025" s="69"/>
      <x:c r="K1025" s="69"/>
    </x:row>
    <x:row r="1026" ht="15" hidden="0" customHeight="1">
      <x:c r="A1026" t="str">
        <x:v>LENT</x:v>
      </x:c>
      <x:c r="B1026" t="str">
        <x:v>2025</x:v>
      </x:c>
      <x:c r="C1026" s="73" t="str">
        <x:v>Чистый долг без аренды (IAS17)</x:v>
      </x:c>
      <x:c r="D1026" s="73" t="str">
        <x:v>Долгосрочные кредиты и займы</x:v>
      </x:c>
      <x:c r="E1026" s="74" t="n">
        <x:v>44458.63</x:v>
      </x:c>
      <x:c r="F1026" s="73" t="str">
        <x:v>LENT_2026H1.pdf</x:v>
      </x:c>
      <x:c r="G1026" s="73" t="n">
        <x:v>6</x:v>
      </x:c>
      <x:c r="H1026" s="73" t="str">
        <x:v>Состав и сумма сверены с раскрытием компании</x:v>
      </x:c>
      <x:c r="I1026" s="69"/>
      <x:c r="J1026" s="69"/>
      <x:c r="K1026" s="69"/>
    </x:row>
    <x:row r="1027" ht="15" hidden="0" customHeight="1">
      <x:c r="A1027" t="str">
        <x:v>LENT</x:v>
      </x:c>
      <x:c r="B1027" t="str">
        <x:v>2025</x:v>
      </x:c>
      <x:c r="C1027" s="73" t="str">
        <x:v>Чистый долг без аренды (IAS17)</x:v>
      </x:c>
      <x:c r="D1027" s="73" t="str">
        <x:v>Минус денежные средства</x:v>
      </x:c>
      <x:c r="E1027" s="74" t="n">
        <x:v>-51063.533</x:v>
      </x:c>
      <x:c r="F1027" s="73" t="str">
        <x:v>LENT_2026H1.pdf</x:v>
      </x:c>
      <x:c r="G1027" s="73" t="n">
        <x:v>6</x:v>
      </x:c>
      <x:c r="H1027" s="73" t="str">
        <x:v>Состав и сумма сверены с раскрытием компании</x:v>
      </x:c>
      <x:c r="I1027" s="69"/>
      <x:c r="J1027" s="69"/>
      <x:c r="K1027" s="69"/>
    </x:row>
    <x:row r="1028" ht="15" hidden="0" customHeight="1">
      <x:c r="A1028" s="60" t="str">
        <x:v>LENT</x:v>
      </x:c>
      <x:c r="B1028" s="60" t="str">
        <x:v>2025</x:v>
      </x:c>
      <x:c r="C1028" s="76" t="str">
        <x:v>Чистый долг без аренды (IAS17)</x:v>
      </x:c>
      <x:c r="D1028" s="76" t="str">
        <x:v>ИТОГО — расчет</x:v>
      </x:c>
      <x:c r="E1028" s="77" t="n">
        <x:f>SUM(E1025:E1027)</x:f>
        <x:v>48835.763</x:v>
      </x:c>
      <x:c r="F1028" s="76" t="str">
        <x:v>LENT_2026H1.pdf</x:v>
      </x:c>
      <x:c r="G1028" s="76" t="n">
        <x:v>6</x:v>
      </x:c>
      <x:c r="H1028" s="76"/>
      <x:c r="I1028" s="71"/>
      <x:c r="J1028" s="71"/>
      <x:c r="K1028" s="71" t="n">
        <x:f>SUM(E1025:E1027)</x:f>
        <x:v>48835.763</x:v>
      </x:c>
    </x:row>
    <x:row r="1029" ht="15" hidden="0" customHeight="1">
      <x:c r="C1029" s="73"/>
      <x:c r="D1029" s="73"/>
      <x:c r="E1029" s="74"/>
      <x:c r="F1029" s="73"/>
      <x:c r="G1029" s="73"/>
      <x:c r="H1029" s="73"/>
      <x:c r="I1029" s="69"/>
      <x:c r="J1029" s="69"/>
      <x:c r="K1029" s="69"/>
    </x:row>
    <x:row r="1030" ht="15" hidden="0" customHeight="1">
      <x:c r="A1030" t="str">
        <x:v>LENT</x:v>
      </x:c>
      <x:c r="B1030" t="str">
        <x:v>1П2026</x:v>
      </x:c>
      <x:c r="C1030" s="73" t="str">
        <x:v>Обязательства по аренде вне кредитов</x:v>
      </x:c>
      <x:c r="D1030" s="73" t="str">
        <x:v>Краткосрочная аренда</x:v>
      </x:c>
      <x:c r="E1030" s="74" t="n">
        <x:v>18497.093</x:v>
      </x:c>
      <x:c r="F1030" s="73" t="str">
        <x:v>LENT_2026H1.pdf</x:v>
      </x:c>
      <x:c r="G1030" s="73" t="n">
        <x:v>6</x:v>
      </x:c>
      <x:c r="H1030" s="73" t="str">
        <x:v>Состав и сумма сверены с раскрытием компании</x:v>
      </x:c>
      <x:c r="I1030" s="69"/>
      <x:c r="J1030" s="69"/>
      <x:c r="K1030" s="69"/>
    </x:row>
    <x:row r="1031" ht="15" hidden="0" customHeight="1">
      <x:c r="A1031" t="str">
        <x:v>LENT</x:v>
      </x:c>
      <x:c r="B1031" t="str">
        <x:v>1П2026</x:v>
      </x:c>
      <x:c r="C1031" s="73" t="str">
        <x:v>Обязательства по аренде вне кредитов</x:v>
      </x:c>
      <x:c r="D1031" s="73" t="str">
        <x:v>Долгосрочная аренда</x:v>
      </x:c>
      <x:c r="E1031" s="74" t="n">
        <x:v>140768.777</x:v>
      </x:c>
      <x:c r="F1031" s="73" t="str">
        <x:v>LENT_2026H1.pdf</x:v>
      </x:c>
      <x:c r="G1031" s="73" t="n">
        <x:v>6</x:v>
      </x:c>
      <x:c r="H1031" s="73" t="str">
        <x:v>Состав и сумма сверены с раскрытием компании</x:v>
      </x:c>
      <x:c r="I1031" s="69"/>
      <x:c r="J1031" s="69"/>
      <x:c r="K1031" s="69"/>
    </x:row>
    <x:row r="1032" ht="26.399999618530273" hidden="0" customHeight="1">
      <x:c r="A1032" s="60" t="str">
        <x:v>LENT</x:v>
      </x:c>
      <x:c r="B1032" s="60" t="str">
        <x:v>1П2026</x:v>
      </x:c>
      <x:c r="C1032" s="76" t="str">
        <x:v>Обязательства по аренде вне кредитов</x:v>
      </x:c>
      <x:c r="D1032" s="76" t="str">
        <x:v>ИТОГО — расчет</x:v>
      </x:c>
      <x:c r="E1032" s="77" t="n">
        <x:f>SUM(E1030:E1031)</x:f>
        <x:v>159265.87</x:v>
      </x:c>
      <x:c r="F1032" s="76" t="str">
        <x:v>LENT_2026H1.pdf</x:v>
      </x:c>
      <x:c r="G1032" s="76" t="n">
        <x:v>6</x:v>
      </x:c>
      <x:c r="H1032" s="76"/>
      <x:c r="I1032" s="71" t="n">
        <x:v>159265.87</x:v>
      </x:c>
      <x:c r="J1032" s="71" t="n">
        <x:f>E1032-I1032</x:f>
        <x:v>0</x:v>
      </x:c>
      <x:c r="K1032" s="71" t="n">
        <x:f>SUM(E1030:E1031)</x:f>
        <x:v>159265.87</x:v>
      </x:c>
    </x:row>
    <x:row r="1033" ht="15" hidden="0" customHeight="1">
      <x:c r="C1033" s="73"/>
      <x:c r="D1033" s="73"/>
      <x:c r="E1033" s="74"/>
      <x:c r="F1033" s="73"/>
      <x:c r="G1033" s="73"/>
      <x:c r="H1033" s="73"/>
      <x:c r="I1033" s="69"/>
      <x:c r="J1033" s="69"/>
      <x:c r="K1033" s="69"/>
    </x:row>
    <x:row r="1034" ht="15" hidden="0" customHeight="1">
      <x:c r="A1034" t="str">
        <x:v>LENT</x:v>
      </x:c>
      <x:c r="B1034" t="str">
        <x:v>1П2026</x:v>
      </x:c>
      <x:c r="C1034" s="73" t="str">
        <x:v>ЧД IFRS16: кредиты + аренда − деньги</x:v>
      </x:c>
      <x:c r="D1034" s="73" t="str">
        <x:v>Краткосрочные кредиты и займы</x:v>
      </x:c>
      <x:c r="E1034" s="74" t="n">
        <x:v>42553.313</x:v>
      </x:c>
      <x:c r="F1034" s="73" t="str">
        <x:v>LENT_2026H1.pdf</x:v>
      </x:c>
      <x:c r="G1034" s="73" t="n">
        <x:v>6</x:v>
      </x:c>
      <x:c r="H1034" s="73" t="str">
        <x:v>Состав и сумма сверены с раскрытием компании</x:v>
      </x:c>
      <x:c r="I1034" s="69"/>
      <x:c r="J1034" s="69"/>
      <x:c r="K1034" s="69"/>
    </x:row>
    <x:row r="1035" ht="15" hidden="0" customHeight="1">
      <x:c r="A1035" t="str">
        <x:v>LENT</x:v>
      </x:c>
      <x:c r="B1035" t="str">
        <x:v>1П2026</x:v>
      </x:c>
      <x:c r="C1035" s="73" t="str">
        <x:v>ЧД IFRS16: кредиты + аренда − деньги</x:v>
      </x:c>
      <x:c r="D1035" s="73" t="str">
        <x:v>Долгосрочные кредиты и займы</x:v>
      </x:c>
      <x:c r="E1035" s="74" t="n">
        <x:v>100030.371</x:v>
      </x:c>
      <x:c r="F1035" s="73" t="str">
        <x:v>LENT_2026H1.pdf</x:v>
      </x:c>
      <x:c r="G1035" s="73" t="n">
        <x:v>6</x:v>
      </x:c>
      <x:c r="H1035" s="73" t="str">
        <x:v>Состав и сумма сверены с раскрытием компании</x:v>
      </x:c>
      <x:c r="I1035" s="69"/>
      <x:c r="J1035" s="69"/>
      <x:c r="K1035" s="69"/>
    </x:row>
    <x:row r="1036" ht="15" hidden="0" customHeight="1">
      <x:c r="A1036" t="str">
        <x:v>LENT</x:v>
      </x:c>
      <x:c r="B1036" t="str">
        <x:v>1П2026</x:v>
      </x:c>
      <x:c r="C1036" s="73" t="str">
        <x:v>ЧД IFRS16: кредиты + аренда − деньги</x:v>
      </x:c>
      <x:c r="D1036" s="73" t="str">
        <x:v>Минус денежные средства</x:v>
      </x:c>
      <x:c r="E1036" s="74" t="n">
        <x:v>-25172.516</x:v>
      </x:c>
      <x:c r="F1036" s="73" t="str">
        <x:v>LENT_2026H1.pdf</x:v>
      </x:c>
      <x:c r="G1036" s="73" t="n">
        <x:v>6</x:v>
      </x:c>
      <x:c r="H1036" s="73" t="str">
        <x:v>Состав и сумма сверены с раскрытием компании</x:v>
      </x:c>
      <x:c r="I1036" s="69"/>
      <x:c r="J1036" s="69"/>
      <x:c r="K1036" s="69"/>
    </x:row>
    <x:row r="1037" ht="15" hidden="0" customHeight="1">
      <x:c r="A1037" t="str">
        <x:v>LENT</x:v>
      </x:c>
      <x:c r="B1037" t="str">
        <x:v>1П2026</x:v>
      </x:c>
      <x:c r="C1037" s="73" t="str">
        <x:v>ЧД IFRS16: кредиты + аренда − деньги</x:v>
      </x:c>
      <x:c r="D1037" s="73" t="str">
        <x:v>Краткосрочная аренда</x:v>
      </x:c>
      <x:c r="E1037" s="74" t="n">
        <x:v>18497.093</x:v>
      </x:c>
      <x:c r="F1037" s="73" t="str">
        <x:v>LENT_2026H1.pdf</x:v>
      </x:c>
      <x:c r="G1037" s="73" t="n">
        <x:v>6</x:v>
      </x:c>
      <x:c r="H1037" s="73" t="str">
        <x:v>Состав и сумма сверены с раскрытием компании</x:v>
      </x:c>
      <x:c r="I1037" s="69"/>
      <x:c r="J1037" s="69"/>
      <x:c r="K1037" s="69"/>
    </x:row>
    <x:row r="1038" ht="15" hidden="0" customHeight="1">
      <x:c r="A1038" t="str">
        <x:v>LENT</x:v>
      </x:c>
      <x:c r="B1038" t="str">
        <x:v>1П2026</x:v>
      </x:c>
      <x:c r="C1038" s="73" t="str">
        <x:v>ЧД IFRS16: кредиты + аренда − деньги</x:v>
      </x:c>
      <x:c r="D1038" s="73" t="str">
        <x:v>Долгосрочная аренда</x:v>
      </x:c>
      <x:c r="E1038" s="74" t="n">
        <x:v>140768.777</x:v>
      </x:c>
      <x:c r="F1038" s="73" t="str">
        <x:v>LENT_2026H1.pdf</x:v>
      </x:c>
      <x:c r="G1038" s="73" t="n">
        <x:v>6</x:v>
      </x:c>
      <x:c r="H1038" s="73" t="str">
        <x:v>Состав и сумма сверены с раскрытием компании</x:v>
      </x:c>
      <x:c r="I1038" s="69"/>
      <x:c r="J1038" s="69"/>
      <x:c r="K1038" s="69"/>
    </x:row>
    <x:row r="1039" ht="15" hidden="0" customHeight="1">
      <x:c r="A1039" s="60" t="str">
        <x:v>LENT</x:v>
      </x:c>
      <x:c r="B1039" s="60" t="str">
        <x:v>1П2026</x:v>
      </x:c>
      <x:c r="C1039" s="76" t="str">
        <x:v>ЧД IFRS16: кредиты + аренда − деньги</x:v>
      </x:c>
      <x:c r="D1039" s="76" t="str">
        <x:v>ИТОГО — расчет</x:v>
      </x:c>
      <x:c r="E1039" s="77" t="n">
        <x:f>SUM(E1034:E1038)</x:f>
        <x:v>276677.038</x:v>
      </x:c>
      <x:c r="F1039" s="76" t="str">
        <x:v>LENT_2026H1.pdf</x:v>
      </x:c>
      <x:c r="G1039" s="76" t="n">
        <x:v>6</x:v>
      </x:c>
      <x:c r="H1039" s="76"/>
      <x:c r="I1039" s="71"/>
      <x:c r="J1039" s="71"/>
      <x:c r="K1039" s="71" t="n">
        <x:f>SUM(E1034:E1036)</x:f>
        <x:v>117411.168</x:v>
      </x:c>
    </x:row>
    <x:row r="1040" ht="15" hidden="0" customHeight="1">
      <x:c r="C1040" s="73"/>
      <x:c r="D1040" s="73"/>
      <x:c r="E1040" s="74"/>
      <x:c r="F1040" s="73"/>
      <x:c r="G1040" s="73"/>
      <x:c r="H1040" s="73"/>
      <x:c r="I1040" s="69"/>
      <x:c r="J1040" s="69"/>
      <x:c r="K1040" s="69"/>
    </x:row>
    <x:row r="1041" ht="15" hidden="0" customHeight="1">
      <x:c r="A1041" t="str">
        <x:v>LENT</x:v>
      </x:c>
      <x:c r="B1041" t="str">
        <x:v>1П2026</x:v>
      </x:c>
      <x:c r="C1041" s="73" t="str">
        <x:v>Чистый долг без аренды (IAS17)</x:v>
      </x:c>
      <x:c r="D1041" s="73" t="str">
        <x:v>Краткосрочные кредиты и займы</x:v>
      </x:c>
      <x:c r="E1041" s="74" t="n">
        <x:v>42553.313</x:v>
      </x:c>
      <x:c r="F1041" s="73" t="str">
        <x:v>LENT_2026H1.pdf</x:v>
      </x:c>
      <x:c r="G1041" s="73" t="n">
        <x:v>6</x:v>
      </x:c>
      <x:c r="H1041" s="73" t="str">
        <x:v>Состав и сумма сверены с раскрытием компании</x:v>
      </x:c>
      <x:c r="I1041" s="69"/>
      <x:c r="J1041" s="69"/>
      <x:c r="K1041" s="69"/>
    </x:row>
    <x:row r="1042" ht="15" hidden="0" customHeight="1">
      <x:c r="A1042" t="str">
        <x:v>LENT</x:v>
      </x:c>
      <x:c r="B1042" t="str">
        <x:v>1П2026</x:v>
      </x:c>
      <x:c r="C1042" s="73" t="str">
        <x:v>Чистый долг без аренды (IAS17)</x:v>
      </x:c>
      <x:c r="D1042" s="73" t="str">
        <x:v>Долгосрочные кредиты и займы</x:v>
      </x:c>
      <x:c r="E1042" s="74" t="n">
        <x:v>100030.371</x:v>
      </x:c>
      <x:c r="F1042" s="73" t="str">
        <x:v>LENT_2026H1.pdf</x:v>
      </x:c>
      <x:c r="G1042" s="73" t="n">
        <x:v>6</x:v>
      </x:c>
      <x:c r="H1042" s="73" t="str">
        <x:v>Состав и сумма сверены с раскрытием компании</x:v>
      </x:c>
      <x:c r="I1042" s="69"/>
      <x:c r="J1042" s="69"/>
      <x:c r="K1042" s="69"/>
    </x:row>
    <x:row r="1043" ht="15" hidden="0" customHeight="1">
      <x:c r="A1043" t="str">
        <x:v>LENT</x:v>
      </x:c>
      <x:c r="B1043" t="str">
        <x:v>1П2026</x:v>
      </x:c>
      <x:c r="C1043" s="73" t="str">
        <x:v>Чистый долг без аренды (IAS17)</x:v>
      </x:c>
      <x:c r="D1043" s="73" t="str">
        <x:v>Минус денежные средства</x:v>
      </x:c>
      <x:c r="E1043" s="74" t="n">
        <x:v>-25172.516</x:v>
      </x:c>
      <x:c r="F1043" s="73" t="str">
        <x:v>LENT_2026H1.pdf</x:v>
      </x:c>
      <x:c r="G1043" s="73" t="n">
        <x:v>6</x:v>
      </x:c>
      <x:c r="H1043" s="73" t="str">
        <x:v>Состав и сумма сверены с раскрытием компании</x:v>
      </x:c>
      <x:c r="I1043" s="69"/>
      <x:c r="J1043" s="69"/>
      <x:c r="K1043" s="69"/>
    </x:row>
    <x:row r="1044" ht="15" hidden="0" customHeight="1">
      <x:c r="A1044" s="60" t="str">
        <x:v>LENT</x:v>
      </x:c>
      <x:c r="B1044" s="60" t="str">
        <x:v>1П2026</x:v>
      </x:c>
      <x:c r="C1044" s="76" t="str">
        <x:v>Чистый долг без аренды (IAS17)</x:v>
      </x:c>
      <x:c r="D1044" s="76" t="str">
        <x:v>ИТОГО — расчет</x:v>
      </x:c>
      <x:c r="E1044" s="77" t="n">
        <x:f>SUM(E1041:E1043)</x:f>
        <x:v>117411.168</x:v>
      </x:c>
      <x:c r="F1044" s="76" t="str">
        <x:v>LENT_2026H1.pdf</x:v>
      </x:c>
      <x:c r="G1044" s="76" t="n">
        <x:v>6</x:v>
      </x:c>
      <x:c r="H1044" s="76"/>
      <x:c r="I1044" s="71"/>
      <x:c r="J1044" s="71"/>
      <x:c r="K1044" s="71" t="n">
        <x:f>SUM(E1041:E1043)</x:f>
        <x:v>117411.168</x:v>
      </x:c>
    </x:row>
    <x:row r="1045" ht="15" hidden="0" customHeight="1">
      <x:c r="C1045" s="73"/>
      <x:c r="D1045" s="73"/>
      <x:c r="E1045" s="74"/>
      <x:c r="F1045" s="73"/>
      <x:c r="G1045" s="73"/>
      <x:c r="H1045" s="73"/>
      <x:c r="I1045" s="69"/>
      <x:c r="J1045" s="69"/>
      <x:c r="K1045" s="69"/>
    </x:row>
    <x:row r="1046" ht="15" hidden="0" customHeight="1">
      <x:c r="A1046" t="str">
        <x:v>UGLD</x:v>
      </x:c>
      <x:c r="B1046" t="str">
        <x:v>2025</x:v>
      </x:c>
      <x:c r="C1046" s="73" t="str">
        <x:v>Обязательства по аренде вне кредитов</x:v>
      </x:c>
      <x:c r="D1046" s="73" t="str">
        <x:v>Краткосрочная аренда</x:v>
      </x:c>
      <x:c r="E1046" s="74" t="n">
        <x:v>3057</x:v>
      </x:c>
      <x:c r="F1046" s="73" t="str">
        <x:v>UGLD_2026H1.pdf</x:v>
      </x:c>
      <x:c r="G1046" s="73" t="n">
        <x:v>7</x:v>
      </x:c>
      <x:c r="H1046" s="73" t="str">
        <x:v>Состав и сумма сверены с раскрытием компании</x:v>
      </x:c>
      <x:c r="I1046" s="69"/>
      <x:c r="J1046" s="69"/>
      <x:c r="K1046" s="69"/>
    </x:row>
    <x:row r="1047" ht="15" hidden="0" customHeight="1">
      <x:c r="A1047" t="str">
        <x:v>UGLD</x:v>
      </x:c>
      <x:c r="B1047" t="str">
        <x:v>2025</x:v>
      </x:c>
      <x:c r="C1047" s="73" t="str">
        <x:v>Обязательства по аренде вне кредитов</x:v>
      </x:c>
      <x:c r="D1047" s="73" t="str">
        <x:v>Долгосрочная аренда</x:v>
      </x:c>
      <x:c r="E1047" s="74" t="n">
        <x:v>2902</x:v>
      </x:c>
      <x:c r="F1047" s="73" t="str">
        <x:v>UGLD_2026H1.pdf</x:v>
      </x:c>
      <x:c r="G1047" s="73" t="n">
        <x:v>7</x:v>
      </x:c>
      <x:c r="H1047" s="73" t="str">
        <x:v>Состав и сумма сверены с раскрытием компании</x:v>
      </x:c>
      <x:c r="I1047" s="69"/>
      <x:c r="J1047" s="69"/>
      <x:c r="K1047" s="69"/>
    </x:row>
    <x:row r="1048" ht="26.399999618530273" hidden="0" customHeight="1">
      <x:c r="A1048" s="60" t="str">
        <x:v>UGLD</x:v>
      </x:c>
      <x:c r="B1048" s="60" t="str">
        <x:v>2025</x:v>
      </x:c>
      <x:c r="C1048" s="76" t="str">
        <x:v>Обязательства по аренде вне кредитов</x:v>
      </x:c>
      <x:c r="D1048" s="76" t="str">
        <x:v>ИТОГО — расчет</x:v>
      </x:c>
      <x:c r="E1048" s="77" t="n">
        <x:f>SUM(E1046:E1047)</x:f>
        <x:v>5959</x:v>
      </x:c>
      <x:c r="F1048" s="76" t="str">
        <x:v>UGLD_2026H1.pdf</x:v>
      </x:c>
      <x:c r="G1048" s="76" t="n">
        <x:v>7</x:v>
      </x:c>
      <x:c r="H1048" s="76"/>
      <x:c r="I1048" s="71" t="n">
        <x:v>5959</x:v>
      </x:c>
      <x:c r="J1048" s="71" t="n">
        <x:f>E1048-I1048</x:f>
        <x:v>0</x:v>
      </x:c>
      <x:c r="K1048" s="71" t="n">
        <x:f>SUM(E1046:E1047)</x:f>
        <x:v>5959</x:v>
      </x:c>
    </x:row>
    <x:row r="1049" ht="15" hidden="0" customHeight="1">
      <x:c r="C1049" s="73"/>
      <x:c r="D1049" s="73"/>
      <x:c r="E1049" s="74"/>
      <x:c r="F1049" s="73"/>
      <x:c r="G1049" s="73"/>
      <x:c r="H1049" s="73"/>
      <x:c r="I1049" s="69"/>
      <x:c r="J1049" s="69"/>
      <x:c r="K1049" s="69"/>
    </x:row>
    <x:row r="1050" ht="15" hidden="0" customHeight="1">
      <x:c r="A1050" t="str">
        <x:v>UGLD</x:v>
      </x:c>
      <x:c r="B1050" t="str">
        <x:v>2025</x:v>
      </x:c>
      <x:c r="C1050" s="73" t="str">
        <x:v>ЧД IFRS16: кредиты + аренда − деньги</x:v>
      </x:c>
      <x:c r="D1050" s="73" t="str">
        <x:v>Краткосрочные кредиты и займы</x:v>
      </x:c>
      <x:c r="E1050" s="74" t="n">
        <x:v>49015</x:v>
      </x:c>
      <x:c r="F1050" s="73" t="str">
        <x:v>UGLD_2026H1.pdf</x:v>
      </x:c>
      <x:c r="G1050" s="73" t="n">
        <x:v>7</x:v>
      </x:c>
      <x:c r="H1050" s="73" t="str">
        <x:v>Состав и сумма сверены с раскрытием компании</x:v>
      </x:c>
      <x:c r="I1050" s="69"/>
      <x:c r="J1050" s="69"/>
      <x:c r="K1050" s="69"/>
    </x:row>
    <x:row r="1051" ht="15" hidden="0" customHeight="1">
      <x:c r="A1051" t="str">
        <x:v>UGLD</x:v>
      </x:c>
      <x:c r="B1051" t="str">
        <x:v>2025</x:v>
      </x:c>
      <x:c r="C1051" s="73" t="str">
        <x:v>ЧД IFRS16: кредиты + аренда − деньги</x:v>
      </x:c>
      <x:c r="D1051" s="73" t="str">
        <x:v>Долгосрочные кредиты и займы</x:v>
      </x:c>
      <x:c r="E1051" s="74" t="n">
        <x:v>12738</x:v>
      </x:c>
      <x:c r="F1051" s="73" t="str">
        <x:v>UGLD_2026H1.pdf</x:v>
      </x:c>
      <x:c r="G1051" s="73" t="n">
        <x:v>7</x:v>
      </x:c>
      <x:c r="H1051" s="73" t="str">
        <x:v>Состав и сумма сверены с раскрытием компании</x:v>
      </x:c>
      <x:c r="I1051" s="69"/>
      <x:c r="J1051" s="69"/>
      <x:c r="K1051" s="69"/>
    </x:row>
    <x:row r="1052" ht="15" hidden="0" customHeight="1">
      <x:c r="A1052" t="str">
        <x:v>UGLD</x:v>
      </x:c>
      <x:c r="B1052" t="str">
        <x:v>2025</x:v>
      </x:c>
      <x:c r="C1052" s="73" t="str">
        <x:v>ЧД IFRS16: кредиты + аренда − деньги</x:v>
      </x:c>
      <x:c r="D1052" s="73" t="str">
        <x:v>Минус денежные средства</x:v>
      </x:c>
      <x:c r="E1052" s="74" t="n">
        <x:v>-2271</x:v>
      </x:c>
      <x:c r="F1052" s="73" t="str">
        <x:v>UGLD_2026H1.pdf</x:v>
      </x:c>
      <x:c r="G1052" s="73" t="n">
        <x:v>7</x:v>
      </x:c>
      <x:c r="H1052" s="73" t="str">
        <x:v>Состав и сумма сверены с раскрытием компании</x:v>
      </x:c>
      <x:c r="I1052" s="69"/>
      <x:c r="J1052" s="69"/>
      <x:c r="K1052" s="69"/>
    </x:row>
    <x:row r="1053" ht="15" hidden="0" customHeight="1">
      <x:c r="A1053" t="str">
        <x:v>UGLD</x:v>
      </x:c>
      <x:c r="B1053" t="str">
        <x:v>2025</x:v>
      </x:c>
      <x:c r="C1053" s="73" t="str">
        <x:v>ЧД IFRS16: кредиты + аренда − деньги</x:v>
      </x:c>
      <x:c r="D1053" s="73" t="str">
        <x:v>Краткосрочная аренда</x:v>
      </x:c>
      <x:c r="E1053" s="74" t="n">
        <x:v>3057</x:v>
      </x:c>
      <x:c r="F1053" s="73" t="str">
        <x:v>UGLD_2026H1.pdf</x:v>
      </x:c>
      <x:c r="G1053" s="73" t="n">
        <x:v>7</x:v>
      </x:c>
      <x:c r="H1053" s="73" t="str">
        <x:v>Состав и сумма сверены с раскрытием компании</x:v>
      </x:c>
      <x:c r="I1053" s="69"/>
      <x:c r="J1053" s="69"/>
      <x:c r="K1053" s="69"/>
    </x:row>
    <x:row r="1054" ht="15" hidden="0" customHeight="1">
      <x:c r="A1054" t="str">
        <x:v>UGLD</x:v>
      </x:c>
      <x:c r="B1054" t="str">
        <x:v>2025</x:v>
      </x:c>
      <x:c r="C1054" s="73" t="str">
        <x:v>ЧД IFRS16: кредиты + аренда − деньги</x:v>
      </x:c>
      <x:c r="D1054" s="73" t="str">
        <x:v>Долгосрочная аренда</x:v>
      </x:c>
      <x:c r="E1054" s="74" t="n">
        <x:v>2902</x:v>
      </x:c>
      <x:c r="F1054" s="73" t="str">
        <x:v>UGLD_2026H1.pdf</x:v>
      </x:c>
      <x:c r="G1054" s="73" t="n">
        <x:v>7</x:v>
      </x:c>
      <x:c r="H1054" s="73" t="str">
        <x:v>Состав и сумма сверены с раскрытием компании</x:v>
      </x:c>
      <x:c r="I1054" s="69"/>
      <x:c r="J1054" s="69"/>
      <x:c r="K1054" s="69"/>
    </x:row>
    <x:row r="1055" ht="15" hidden="0" customHeight="1">
      <x:c r="A1055" t="str">
        <x:v>UGLD</x:v>
      </x:c>
      <x:c r="B1055" t="str">
        <x:v>2025</x:v>
      </x:c>
      <x:c r="C1055" s="73" t="str">
        <x:v>ЧД IFRS16: кредиты + аренда − деньги</x:v>
      </x:c>
      <x:c r="D1055" s="73" t="str">
        <x:v>Облигации</x:v>
      </x:c>
      <x:c r="E1055" s="74" t="n">
        <x:v>18606</x:v>
      </x:c>
      <x:c r="F1055" s="73" t="str">
        <x:v>UGLD_2026H1.pdf</x:v>
      </x:c>
      <x:c r="G1055" s="73" t="n">
        <x:v>7</x:v>
      </x:c>
      <x:c r="H1055" s="73" t="str">
        <x:v>Состав и сумма сверены с раскрытием компании</x:v>
      </x:c>
      <x:c r="I1055" s="69"/>
      <x:c r="J1055" s="69"/>
      <x:c r="K1055" s="69"/>
    </x:row>
    <x:row r="1056" ht="15" hidden="0" customHeight="1">
      <x:c r="A1056" s="60" t="str">
        <x:v>UGLD</x:v>
      </x:c>
      <x:c r="B1056" s="60" t="str">
        <x:v>2025</x:v>
      </x:c>
      <x:c r="C1056" s="76" t="str">
        <x:v>ЧД IFRS16: кредиты + аренда − деньги</x:v>
      </x:c>
      <x:c r="D1056" s="76" t="str">
        <x:v>ИТОГО — расчет</x:v>
      </x:c>
      <x:c r="E1056" s="77" t="n">
        <x:f>SUM(E1050:E1055)</x:f>
        <x:v>84047</x:v>
      </x:c>
      <x:c r="F1056" s="76" t="str">
        <x:v>UGLD_2026H1.pdf</x:v>
      </x:c>
      <x:c r="G1056" s="76" t="n">
        <x:v>7</x:v>
      </x:c>
      <x:c r="H1056" s="76"/>
      <x:c r="I1056" s="71"/>
      <x:c r="J1056" s="71"/>
      <x:c r="K1056" s="71" t="n">
        <x:f>SUM(E1050:E1052)</x:f>
        <x:v>59482</x:v>
      </x:c>
    </x:row>
    <x:row r="1057" ht="15" hidden="0" customHeight="1">
      <x:c r="C1057" s="73"/>
      <x:c r="D1057" s="73"/>
      <x:c r="E1057" s="74"/>
      <x:c r="F1057" s="73"/>
      <x:c r="G1057" s="73"/>
      <x:c r="H1057" s="73"/>
      <x:c r="I1057" s="69"/>
      <x:c r="J1057" s="69"/>
      <x:c r="K1057" s="69"/>
    </x:row>
    <x:row r="1058" ht="15" hidden="0" customHeight="1">
      <x:c r="A1058" t="str">
        <x:v>UGLD</x:v>
      </x:c>
      <x:c r="B1058" t="str">
        <x:v>1П2026</x:v>
      </x:c>
      <x:c r="C1058" s="73" t="str">
        <x:v>Обязательства по аренде вне кредитов</x:v>
      </x:c>
      <x:c r="D1058" s="73" t="str">
        <x:v>Краткосрочная аренда</x:v>
      </x:c>
      <x:c r="E1058" s="74" t="n">
        <x:v>2608</x:v>
      </x:c>
      <x:c r="F1058" s="73" t="str">
        <x:v>UGLD_2026H1.pdf</x:v>
      </x:c>
      <x:c r="G1058" s="73" t="n">
        <x:v>7</x:v>
      </x:c>
      <x:c r="H1058" s="73" t="str">
        <x:v>Состав и сумма сверены с раскрытием компании</x:v>
      </x:c>
      <x:c r="I1058" s="69"/>
      <x:c r="J1058" s="69"/>
      <x:c r="K1058" s="69"/>
    </x:row>
    <x:row r="1059" ht="15" hidden="0" customHeight="1">
      <x:c r="A1059" t="str">
        <x:v>UGLD</x:v>
      </x:c>
      <x:c r="B1059" t="str">
        <x:v>1П2026</x:v>
      </x:c>
      <x:c r="C1059" s="73" t="str">
        <x:v>Обязательства по аренде вне кредитов</x:v>
      </x:c>
      <x:c r="D1059" s="73" t="str">
        <x:v>Долгосрочная аренда</x:v>
      </x:c>
      <x:c r="E1059" s="74" t="n">
        <x:v>1783</x:v>
      </x:c>
      <x:c r="F1059" s="73" t="str">
        <x:v>UGLD_2026H1.pdf</x:v>
      </x:c>
      <x:c r="G1059" s="73" t="n">
        <x:v>7</x:v>
      </x:c>
      <x:c r="H1059" s="73" t="str">
        <x:v>Состав и сумма сверены с раскрытием компании</x:v>
      </x:c>
      <x:c r="I1059" s="69"/>
      <x:c r="J1059" s="69"/>
      <x:c r="K1059" s="69"/>
    </x:row>
    <x:row r="1060" ht="26.399999618530273" hidden="0" customHeight="1">
      <x:c r="A1060" s="60" t="str">
        <x:v>UGLD</x:v>
      </x:c>
      <x:c r="B1060" s="60" t="str">
        <x:v>1П2026</x:v>
      </x:c>
      <x:c r="C1060" s="76" t="str">
        <x:v>Обязательства по аренде вне кредитов</x:v>
      </x:c>
      <x:c r="D1060" s="76" t="str">
        <x:v>ИТОГО — расчет</x:v>
      </x:c>
      <x:c r="E1060" s="77" t="n">
        <x:f>SUM(E1058:E1059)</x:f>
        <x:v>4391</x:v>
      </x:c>
      <x:c r="F1060" s="76" t="str">
        <x:v>UGLD_2026H1.pdf</x:v>
      </x:c>
      <x:c r="G1060" s="76" t="n">
        <x:v>7</x:v>
      </x:c>
      <x:c r="H1060" s="76"/>
      <x:c r="I1060" s="71" t="n">
        <x:v>4391</x:v>
      </x:c>
      <x:c r="J1060" s="71" t="n">
        <x:f>E1060-I1060</x:f>
        <x:v>0</x:v>
      </x:c>
      <x:c r="K1060" s="71" t="n">
        <x:f>SUM(E1058:E1059)</x:f>
        <x:v>4391</x:v>
      </x:c>
    </x:row>
    <x:row r="1061" ht="15" hidden="0" customHeight="1">
      <x:c r="C1061" s="73"/>
      <x:c r="D1061" s="73"/>
      <x:c r="E1061" s="74"/>
      <x:c r="F1061" s="73"/>
      <x:c r="G1061" s="73"/>
      <x:c r="H1061" s="73"/>
      <x:c r="I1061" s="69"/>
      <x:c r="J1061" s="69"/>
      <x:c r="K1061" s="69"/>
    </x:row>
    <x:row r="1062" ht="15" hidden="0" customHeight="1">
      <x:c r="A1062" t="str">
        <x:v>UGLD</x:v>
      </x:c>
      <x:c r="B1062" t="str">
        <x:v>1П2026</x:v>
      </x:c>
      <x:c r="C1062" s="73" t="str">
        <x:v>ЧД IFRS16: кредиты + аренда − деньги</x:v>
      </x:c>
      <x:c r="D1062" s="73" t="str">
        <x:v>Краткосрочные кредиты и займы</x:v>
      </x:c>
      <x:c r="E1062" s="74" t="n">
        <x:v>46899</x:v>
      </x:c>
      <x:c r="F1062" s="73" t="str">
        <x:v>UGLD_2026H1.pdf</x:v>
      </x:c>
      <x:c r="G1062" s="73" t="n">
        <x:v>7</x:v>
      </x:c>
      <x:c r="H1062" s="73" t="str">
        <x:v>Состав и сумма сверены с раскрытием компании</x:v>
      </x:c>
      <x:c r="I1062" s="69"/>
      <x:c r="J1062" s="69"/>
      <x:c r="K1062" s="69"/>
    </x:row>
    <x:row r="1063" ht="15" hidden="0" customHeight="1">
      <x:c r="A1063" t="str">
        <x:v>UGLD</x:v>
      </x:c>
      <x:c r="B1063" t="str">
        <x:v>1П2026</x:v>
      </x:c>
      <x:c r="C1063" s="73" t="str">
        <x:v>ЧД IFRS16: кредиты + аренда − деньги</x:v>
      </x:c>
      <x:c r="D1063" s="73" t="str">
        <x:v>Долгосрочные кредиты и займы</x:v>
      </x:c>
      <x:c r="E1063" s="74" t="n">
        <x:v>3512</x:v>
      </x:c>
      <x:c r="F1063" s="73" t="str">
        <x:v>UGLD_2026H1.pdf</x:v>
      </x:c>
      <x:c r="G1063" s="73" t="n">
        <x:v>7</x:v>
      </x:c>
      <x:c r="H1063" s="73" t="str">
        <x:v>Состав и сумма сверены с раскрытием компании</x:v>
      </x:c>
      <x:c r="I1063" s="69"/>
      <x:c r="J1063" s="69"/>
      <x:c r="K1063" s="69"/>
    </x:row>
    <x:row r="1064" ht="15" hidden="0" customHeight="1">
      <x:c r="A1064" t="str">
        <x:v>UGLD</x:v>
      </x:c>
      <x:c r="B1064" t="str">
        <x:v>1П2026</x:v>
      </x:c>
      <x:c r="C1064" s="73" t="str">
        <x:v>ЧД IFRS16: кредиты + аренда − деньги</x:v>
      </x:c>
      <x:c r="D1064" s="73" t="str">
        <x:v>Минус денежные средства</x:v>
      </x:c>
      <x:c r="E1064" s="74" t="n">
        <x:v>-3862</x:v>
      </x:c>
      <x:c r="F1064" s="73" t="str">
        <x:v>UGLD_2026H1.pdf</x:v>
      </x:c>
      <x:c r="G1064" s="73" t="n">
        <x:v>7</x:v>
      </x:c>
      <x:c r="H1064" s="73" t="str">
        <x:v>Состав и сумма сверены с раскрытием компании</x:v>
      </x:c>
      <x:c r="I1064" s="69"/>
      <x:c r="J1064" s="69"/>
      <x:c r="K1064" s="69"/>
    </x:row>
    <x:row r="1065" ht="15" hidden="0" customHeight="1">
      <x:c r="A1065" t="str">
        <x:v>UGLD</x:v>
      </x:c>
      <x:c r="B1065" t="str">
        <x:v>1П2026</x:v>
      </x:c>
      <x:c r="C1065" s="73" t="str">
        <x:v>ЧД IFRS16: кредиты + аренда − деньги</x:v>
      </x:c>
      <x:c r="D1065" s="73" t="str">
        <x:v>Краткосрочная аренда</x:v>
      </x:c>
      <x:c r="E1065" s="74" t="n">
        <x:v>2608</x:v>
      </x:c>
      <x:c r="F1065" s="73" t="str">
        <x:v>UGLD_2026H1.pdf</x:v>
      </x:c>
      <x:c r="G1065" s="73" t="n">
        <x:v>7</x:v>
      </x:c>
      <x:c r="H1065" s="73" t="str">
        <x:v>Состав и сумма сверены с раскрытием компании</x:v>
      </x:c>
      <x:c r="I1065" s="69"/>
      <x:c r="J1065" s="69"/>
      <x:c r="K1065" s="69"/>
    </x:row>
    <x:row r="1066" ht="15" hidden="0" customHeight="1">
      <x:c r="A1066" t="str">
        <x:v>UGLD</x:v>
      </x:c>
      <x:c r="B1066" t="str">
        <x:v>1П2026</x:v>
      </x:c>
      <x:c r="C1066" s="73" t="str">
        <x:v>ЧД IFRS16: кредиты + аренда − деньги</x:v>
      </x:c>
      <x:c r="D1066" s="73" t="str">
        <x:v>Долгосрочная аренда</x:v>
      </x:c>
      <x:c r="E1066" s="74" t="n">
        <x:v>1783</x:v>
      </x:c>
      <x:c r="F1066" s="73" t="str">
        <x:v>UGLD_2026H1.pdf</x:v>
      </x:c>
      <x:c r="G1066" s="73" t="n">
        <x:v>7</x:v>
      </x:c>
      <x:c r="H1066" s="73" t="str">
        <x:v>Состав и сумма сверены с раскрытием компании</x:v>
      </x:c>
      <x:c r="I1066" s="69"/>
      <x:c r="J1066" s="69"/>
      <x:c r="K1066" s="69"/>
    </x:row>
    <x:row r="1067" ht="15" hidden="0" customHeight="1">
      <x:c r="A1067" t="str">
        <x:v>UGLD</x:v>
      </x:c>
      <x:c r="B1067" t="str">
        <x:v>1П2026</x:v>
      </x:c>
      <x:c r="C1067" s="73" t="str">
        <x:v>ЧД IFRS16: кредиты + аренда − деньги</x:v>
      </x:c>
      <x:c r="D1067" s="73" t="str">
        <x:v>Облигации</x:v>
      </x:c>
      <x:c r="E1067" s="74" t="n">
        <x:v>18492</x:v>
      </x:c>
      <x:c r="F1067" s="73" t="str">
        <x:v>UGLD_2026H1.pdf</x:v>
      </x:c>
      <x:c r="G1067" s="73" t="n">
        <x:v>7</x:v>
      </x:c>
      <x:c r="H1067" s="73" t="str">
        <x:v>Состав и сумма сверены с раскрытием компании</x:v>
      </x:c>
      <x:c r="I1067" s="69"/>
      <x:c r="J1067" s="69"/>
      <x:c r="K1067" s="69"/>
    </x:row>
    <x:row r="1068" ht="15" hidden="0" customHeight="1">
      <x:c r="A1068" s="60" t="str">
        <x:v>UGLD</x:v>
      </x:c>
      <x:c r="B1068" s="60" t="str">
        <x:v>1П2026</x:v>
      </x:c>
      <x:c r="C1068" s="76" t="str">
        <x:v>ЧД IFRS16: кредиты + аренда − деньги</x:v>
      </x:c>
      <x:c r="D1068" s="76" t="str">
        <x:v>ИТОГО — расчет</x:v>
      </x:c>
      <x:c r="E1068" s="77" t="n">
        <x:f>SUM(E1062:E1067)</x:f>
        <x:v>69432</x:v>
      </x:c>
      <x:c r="F1068" s="76" t="str">
        <x:v>UGLD_2026H1.pdf</x:v>
      </x:c>
      <x:c r="G1068" s="76" t="n">
        <x:v>7</x:v>
      </x:c>
      <x:c r="H1068" s="76"/>
      <x:c r="I1068" s="71"/>
      <x:c r="J1068" s="71"/>
      <x:c r="K1068" s="71" t="n">
        <x:f>SUM(E1062:E1064)</x:f>
        <x:v>46549</x:v>
      </x:c>
    </x:row>
    <x:row r="1069" ht="15" hidden="0" customHeight="1">
      <x:c r="C1069" s="73"/>
      <x:c r="D1069" s="73"/>
      <x:c r="E1069" s="74"/>
      <x:c r="F1069" s="73"/>
      <x:c r="G1069" s="73"/>
      <x:c r="H1069" s="73"/>
      <x:c r="I1069" s="69"/>
      <x:c r="J1069" s="69"/>
      <x:c r="K1069" s="69"/>
    </x:row>
    <x:row r="1070" ht="15" hidden="0" customHeight="1">
      <x:c r="A1070" t="str">
        <x:v>MAGN</x:v>
      </x:c>
      <x:c r="B1070" t="str">
        <x:v>2025</x:v>
      </x:c>
      <x:c r="C1070" s="73" t="str">
        <x:v>Обязательства по аренде вне кредитов</x:v>
      </x:c>
      <x:c r="D1070" s="73" t="str">
        <x:v>Краткосрочная аренда</x:v>
      </x:c>
      <x:c r="E1070" s="74" t="n">
        <x:v>407</x:v>
      </x:c>
      <x:c r="F1070" s="73" t="str">
        <x:v>MAGN_2026H1.pdf</x:v>
      </x:c>
      <x:c r="G1070" s="73" t="n">
        <x:v>7</x:v>
      </x:c>
      <x:c r="H1070" s="73" t="str">
        <x:v>Состав и сумма сверены с раскрытием компании</x:v>
      </x:c>
      <x:c r="I1070" s="69"/>
      <x:c r="J1070" s="69"/>
      <x:c r="K1070" s="69"/>
    </x:row>
    <x:row r="1071" ht="15" hidden="0" customHeight="1">
      <x:c r="A1071" t="str">
        <x:v>MAGN</x:v>
      </x:c>
      <x:c r="B1071" t="str">
        <x:v>2025</x:v>
      </x:c>
      <x:c r="C1071" s="73" t="str">
        <x:v>Обязательства по аренде вне кредитов</x:v>
      </x:c>
      <x:c r="D1071" s="73" t="str">
        <x:v>Долгосрочная аренда</x:v>
      </x:c>
      <x:c r="E1071" s="74" t="n">
        <x:v>1763</x:v>
      </x:c>
      <x:c r="F1071" s="73" t="str">
        <x:v>MAGN_2026H1.pdf</x:v>
      </x:c>
      <x:c r="G1071" s="73" t="n">
        <x:v>7</x:v>
      </x:c>
      <x:c r="H1071" s="73" t="str">
        <x:v>Состав и сумма сверены с раскрытием компании</x:v>
      </x:c>
      <x:c r="I1071" s="69"/>
      <x:c r="J1071" s="69"/>
      <x:c r="K1071" s="69"/>
    </x:row>
    <x:row r="1072" ht="26.399999618530273" hidden="0" customHeight="1">
      <x:c r="A1072" s="60" t="str">
        <x:v>MAGN</x:v>
      </x:c>
      <x:c r="B1072" s="60" t="str">
        <x:v>2025</x:v>
      </x:c>
      <x:c r="C1072" s="76" t="str">
        <x:v>Обязательства по аренде вне кредитов</x:v>
      </x:c>
      <x:c r="D1072" s="76" t="str">
        <x:v>ИТОГО — расчет</x:v>
      </x:c>
      <x:c r="E1072" s="77" t="n">
        <x:f>SUM(E1070:E1071)</x:f>
        <x:v>2170</x:v>
      </x:c>
      <x:c r="F1072" s="76" t="str">
        <x:v>MAGN_2026H1.pdf</x:v>
      </x:c>
      <x:c r="G1072" s="76" t="n">
        <x:v>7</x:v>
      </x:c>
      <x:c r="H1072" s="76"/>
      <x:c r="I1072" s="71" t="n">
        <x:v>2170</x:v>
      </x:c>
      <x:c r="J1072" s="71" t="n">
        <x:f>E1072-I1072</x:f>
        <x:v>0</x:v>
      </x:c>
      <x:c r="K1072" s="71" t="n">
        <x:f>SUM(E1070:E1071)</x:f>
        <x:v>2170</x:v>
      </x:c>
    </x:row>
    <x:row r="1073" ht="15" hidden="0" customHeight="1">
      <x:c r="C1073" s="73"/>
      <x:c r="D1073" s="73"/>
      <x:c r="E1073" s="74"/>
      <x:c r="F1073" s="73"/>
      <x:c r="G1073" s="73"/>
      <x:c r="H1073" s="73"/>
      <x:c r="I1073" s="69"/>
      <x:c r="J1073" s="69"/>
      <x:c r="K1073" s="69"/>
    </x:row>
    <x:row r="1074" ht="15" hidden="0" customHeight="1">
      <x:c r="A1074" t="str">
        <x:v>MAGN</x:v>
      </x:c>
      <x:c r="B1074" t="str">
        <x:v>2025</x:v>
      </x:c>
      <x:c r="C1074" s="73" t="str">
        <x:v>ЧД IFRS16: кредиты + аренда − деньги</x:v>
      </x:c>
      <x:c r="D1074" s="73" t="str">
        <x:v>Краткосрочные кредиты и займы</x:v>
      </x:c>
      <x:c r="E1074" s="74" t="n">
        <x:v>22801</x:v>
      </x:c>
      <x:c r="F1074" s="73" t="str">
        <x:v>MAGN_2026H1.pdf</x:v>
      </x:c>
      <x:c r="G1074" s="73" t="n">
        <x:v>7</x:v>
      </x:c>
      <x:c r="H1074" s="73" t="str">
        <x:v>Состав и сумма сверены с раскрытием компании</x:v>
      </x:c>
      <x:c r="I1074" s="69"/>
      <x:c r="J1074" s="69"/>
      <x:c r="K1074" s="69"/>
    </x:row>
    <x:row r="1075" ht="15" hidden="0" customHeight="1">
      <x:c r="A1075" t="str">
        <x:v>MAGN</x:v>
      </x:c>
      <x:c r="B1075" t="str">
        <x:v>2025</x:v>
      </x:c>
      <x:c r="C1075" s="73" t="str">
        <x:v>ЧД IFRS16: кредиты + аренда − деньги</x:v>
      </x:c>
      <x:c r="D1075" s="73" t="str">
        <x:v>Долгосрочные кредиты и займы</x:v>
      </x:c>
      <x:c r="E1075" s="74" t="n">
        <x:v>15513</x:v>
      </x:c>
      <x:c r="F1075" s="73" t="str">
        <x:v>MAGN_2026H1.pdf</x:v>
      </x:c>
      <x:c r="G1075" s="73" t="n">
        <x:v>7</x:v>
      </x:c>
      <x:c r="H1075" s="73" t="str">
        <x:v>Состав и сумма сверены с раскрытием компании</x:v>
      </x:c>
      <x:c r="I1075" s="69"/>
      <x:c r="J1075" s="69"/>
      <x:c r="K1075" s="69"/>
    </x:row>
    <x:row r="1076" ht="15" hidden="0" customHeight="1">
      <x:c r="A1076" t="str">
        <x:v>MAGN</x:v>
      </x:c>
      <x:c r="B1076" t="str">
        <x:v>2025</x:v>
      </x:c>
      <x:c r="C1076" s="73" t="str">
        <x:v>ЧД IFRS16: кредиты + аренда − деньги</x:v>
      </x:c>
      <x:c r="D1076" s="73" t="str">
        <x:v>Минус денежные средства</x:v>
      </x:c>
      <x:c r="E1076" s="74" t="n">
        <x:v>-38107</x:v>
      </x:c>
      <x:c r="F1076" s="73" t="str">
        <x:v>MAGN_2026H1.pdf</x:v>
      </x:c>
      <x:c r="G1076" s="73" t="n">
        <x:v>7</x:v>
      </x:c>
      <x:c r="H1076" s="73" t="str">
        <x:v>Состав и сумма сверены с раскрытием компании</x:v>
      </x:c>
      <x:c r="I1076" s="69"/>
      <x:c r="J1076" s="69"/>
      <x:c r="K1076" s="69"/>
    </x:row>
    <x:row r="1077" ht="15" hidden="0" customHeight="1">
      <x:c r="A1077" t="str">
        <x:v>MAGN</x:v>
      </x:c>
      <x:c r="B1077" t="str">
        <x:v>2025</x:v>
      </x:c>
      <x:c r="C1077" s="73" t="str">
        <x:v>ЧД IFRS16: кредиты + аренда − деньги</x:v>
      </x:c>
      <x:c r="D1077" s="73" t="str">
        <x:v>Краткосрочная аренда</x:v>
      </x:c>
      <x:c r="E1077" s="74" t="n">
        <x:v>407</x:v>
      </x:c>
      <x:c r="F1077" s="73" t="str">
        <x:v>MAGN_2026H1.pdf</x:v>
      </x:c>
      <x:c r="G1077" s="73" t="n">
        <x:v>7</x:v>
      </x:c>
      <x:c r="H1077" s="73" t="str">
        <x:v>Состав и сумма сверены с раскрытием компании</x:v>
      </x:c>
      <x:c r="I1077" s="69"/>
      <x:c r="J1077" s="69"/>
      <x:c r="K1077" s="69"/>
    </x:row>
    <x:row r="1078" ht="15" hidden="0" customHeight="1">
      <x:c r="A1078" t="str">
        <x:v>MAGN</x:v>
      </x:c>
      <x:c r="B1078" t="str">
        <x:v>2025</x:v>
      </x:c>
      <x:c r="C1078" s="73" t="str">
        <x:v>ЧД IFRS16: кредиты + аренда − деньги</x:v>
      </x:c>
      <x:c r="D1078" s="73" t="str">
        <x:v>Долгосрочная аренда</x:v>
      </x:c>
      <x:c r="E1078" s="74" t="n">
        <x:v>1763</x:v>
      </x:c>
      <x:c r="F1078" s="73" t="str">
        <x:v>MAGN_2026H1.pdf</x:v>
      </x:c>
      <x:c r="G1078" s="73" t="n">
        <x:v>7</x:v>
      </x:c>
      <x:c r="H1078" s="73" t="str">
        <x:v>Состав и сумма сверены с раскрытием компании</x:v>
      </x:c>
      <x:c r="I1078" s="69"/>
      <x:c r="J1078" s="69"/>
      <x:c r="K1078" s="69"/>
    </x:row>
    <x:row r="1079" ht="15" hidden="0" customHeight="1">
      <x:c r="A1079" s="60" t="str">
        <x:v>MAGN</x:v>
      </x:c>
      <x:c r="B1079" s="60" t="str">
        <x:v>2025</x:v>
      </x:c>
      <x:c r="C1079" s="76" t="str">
        <x:v>ЧД IFRS16: кредиты + аренда − деньги</x:v>
      </x:c>
      <x:c r="D1079" s="76" t="str">
        <x:v>ИТОГО — расчет</x:v>
      </x:c>
      <x:c r="E1079" s="77" t="n">
        <x:f>SUM(E1074:E1078)</x:f>
        <x:v>2377</x:v>
      </x:c>
      <x:c r="F1079" s="76" t="str">
        <x:v>MAGN_2026H1.pdf</x:v>
      </x:c>
      <x:c r="G1079" s="76" t="n">
        <x:v>7</x:v>
      </x:c>
      <x:c r="H1079" s="76"/>
      <x:c r="I1079" s="71"/>
      <x:c r="J1079" s="71"/>
      <x:c r="K1079" s="71" t="n">
        <x:f>SUM(E1074:E1076)</x:f>
        <x:v>207</x:v>
      </x:c>
    </x:row>
    <x:row r="1080" ht="15" hidden="0" customHeight="1">
      <x:c r="C1080" s="73"/>
      <x:c r="D1080" s="73"/>
      <x:c r="E1080" s="74"/>
      <x:c r="F1080" s="73"/>
      <x:c r="G1080" s="73"/>
      <x:c r="H1080" s="73"/>
      <x:c r="I1080" s="69"/>
      <x:c r="J1080" s="69"/>
      <x:c r="K1080" s="69"/>
    </x:row>
    <x:row r="1081" ht="15" hidden="0" customHeight="1">
      <x:c r="A1081" t="str">
        <x:v>MAGN</x:v>
      </x:c>
      <x:c r="B1081" t="str">
        <x:v>1П2026</x:v>
      </x:c>
      <x:c r="C1081" s="73" t="str">
        <x:v>Обязательства по аренде вне кредитов</x:v>
      </x:c>
      <x:c r="D1081" s="73" t="str">
        <x:v>Краткосрочная аренда</x:v>
      </x:c>
      <x:c r="E1081" s="74" t="n">
        <x:v>421</x:v>
      </x:c>
      <x:c r="F1081" s="73" t="str">
        <x:v>MAGN_2026H1.pdf</x:v>
      </x:c>
      <x:c r="G1081" s="73" t="n">
        <x:v>7</x:v>
      </x:c>
      <x:c r="H1081" s="73" t="str">
        <x:v>Состав и сумма сверены с раскрытием компании</x:v>
      </x:c>
      <x:c r="I1081" s="69"/>
      <x:c r="J1081" s="69"/>
      <x:c r="K1081" s="69"/>
    </x:row>
    <x:row r="1082" ht="15" hidden="0" customHeight="1">
      <x:c r="A1082" t="str">
        <x:v>MAGN</x:v>
      </x:c>
      <x:c r="B1082" t="str">
        <x:v>1П2026</x:v>
      </x:c>
      <x:c r="C1082" s="73" t="str">
        <x:v>Обязательства по аренде вне кредитов</x:v>
      </x:c>
      <x:c r="D1082" s="73" t="str">
        <x:v>Долгосрочная аренда</x:v>
      </x:c>
      <x:c r="E1082" s="74" t="n">
        <x:v>1838</x:v>
      </x:c>
      <x:c r="F1082" s="73" t="str">
        <x:v>MAGN_2026H1.pdf</x:v>
      </x:c>
      <x:c r="G1082" s="73" t="n">
        <x:v>7</x:v>
      </x:c>
      <x:c r="H1082" s="73" t="str">
        <x:v>Состав и сумма сверены с раскрытием компании</x:v>
      </x:c>
      <x:c r="I1082" s="69"/>
      <x:c r="J1082" s="69"/>
      <x:c r="K1082" s="69"/>
    </x:row>
    <x:row r="1083" ht="26.399999618530273" hidden="0" customHeight="1">
      <x:c r="A1083" s="60" t="str">
        <x:v>MAGN</x:v>
      </x:c>
      <x:c r="B1083" s="60" t="str">
        <x:v>1П2026</x:v>
      </x:c>
      <x:c r="C1083" s="76" t="str">
        <x:v>Обязательства по аренде вне кредитов</x:v>
      </x:c>
      <x:c r="D1083" s="76" t="str">
        <x:v>ИТОГО — расчет</x:v>
      </x:c>
      <x:c r="E1083" s="77" t="n">
        <x:f>SUM(E1081:E1082)</x:f>
        <x:v>2259</x:v>
      </x:c>
      <x:c r="F1083" s="76" t="str">
        <x:v>MAGN_2026H1.pdf</x:v>
      </x:c>
      <x:c r="G1083" s="76" t="n">
        <x:v>7</x:v>
      </x:c>
      <x:c r="H1083" s="76"/>
      <x:c r="I1083" s="71" t="n">
        <x:v>2259</x:v>
      </x:c>
      <x:c r="J1083" s="71" t="n">
        <x:f>E1083-I1083</x:f>
        <x:v>0</x:v>
      </x:c>
      <x:c r="K1083" s="71" t="n">
        <x:f>SUM(E1081:E1082)</x:f>
        <x:v>2259</x:v>
      </x:c>
    </x:row>
    <x:row r="1084" ht="15" hidden="0" customHeight="1">
      <x:c r="C1084" s="73"/>
      <x:c r="D1084" s="73"/>
      <x:c r="E1084" s="74"/>
      <x:c r="F1084" s="73"/>
      <x:c r="G1084" s="73"/>
      <x:c r="H1084" s="73"/>
      <x:c r="I1084" s="69"/>
      <x:c r="J1084" s="69"/>
      <x:c r="K1084" s="69"/>
    </x:row>
    <x:row r="1085" ht="15" hidden="0" customHeight="1">
      <x:c r="A1085" t="str">
        <x:v>MAGN</x:v>
      </x:c>
      <x:c r="B1085" t="str">
        <x:v>1П2026</x:v>
      </x:c>
      <x:c r="C1085" s="73" t="str">
        <x:v>ЧД IFRS16: кредиты + аренда − деньги</x:v>
      </x:c>
      <x:c r="D1085" s="73" t="str">
        <x:v>Краткосрочные кредиты и займы</x:v>
      </x:c>
      <x:c r="E1085" s="74" t="n">
        <x:v>31498</x:v>
      </x:c>
      <x:c r="F1085" s="73" t="str">
        <x:v>MAGN_2026H1.pdf</x:v>
      </x:c>
      <x:c r="G1085" s="73" t="n">
        <x:v>7</x:v>
      </x:c>
      <x:c r="H1085" s="73" t="str">
        <x:v>Состав и сумма сверены с раскрытием компании</x:v>
      </x:c>
      <x:c r="I1085" s="69"/>
      <x:c r="J1085" s="69"/>
      <x:c r="K1085" s="69"/>
    </x:row>
    <x:row r="1086" ht="15" hidden="0" customHeight="1">
      <x:c r="A1086" t="str">
        <x:v>MAGN</x:v>
      </x:c>
      <x:c r="B1086" t="str">
        <x:v>1П2026</x:v>
      </x:c>
      <x:c r="C1086" s="73" t="str">
        <x:v>ЧД IFRS16: кредиты + аренда − деньги</x:v>
      </x:c>
      <x:c r="D1086" s="73" t="str">
        <x:v>Долгосрочные кредиты и займы</x:v>
      </x:c>
      <x:c r="E1086" s="74" t="n">
        <x:v>21108</x:v>
      </x:c>
      <x:c r="F1086" s="73" t="str">
        <x:v>MAGN_2026H1.pdf</x:v>
      </x:c>
      <x:c r="G1086" s="73" t="n">
        <x:v>7</x:v>
      </x:c>
      <x:c r="H1086" s="73" t="str">
        <x:v>Состав и сумма сверены с раскрытием компании</x:v>
      </x:c>
      <x:c r="I1086" s="69"/>
      <x:c r="J1086" s="69"/>
      <x:c r="K1086" s="69"/>
    </x:row>
    <x:row r="1087" ht="15" hidden="0" customHeight="1">
      <x:c r="A1087" t="str">
        <x:v>MAGN</x:v>
      </x:c>
      <x:c r="B1087" t="str">
        <x:v>1П2026</x:v>
      </x:c>
      <x:c r="C1087" s="73" t="str">
        <x:v>ЧД IFRS16: кредиты + аренда − деньги</x:v>
      </x:c>
      <x:c r="D1087" s="73" t="str">
        <x:v>Минус денежные средства</x:v>
      </x:c>
      <x:c r="E1087" s="74" t="n">
        <x:v>-19821</x:v>
      </x:c>
      <x:c r="F1087" s="73" t="str">
        <x:v>MAGN_2026H1.pdf</x:v>
      </x:c>
      <x:c r="G1087" s="73" t="n">
        <x:v>7</x:v>
      </x:c>
      <x:c r="H1087" s="73" t="str">
        <x:v>Состав и сумма сверены с раскрытием компании</x:v>
      </x:c>
      <x:c r="I1087" s="69"/>
      <x:c r="J1087" s="69"/>
      <x:c r="K1087" s="69"/>
    </x:row>
    <x:row r="1088" ht="15" hidden="0" customHeight="1">
      <x:c r="A1088" t="str">
        <x:v>MAGN</x:v>
      </x:c>
      <x:c r="B1088" t="str">
        <x:v>1П2026</x:v>
      </x:c>
      <x:c r="C1088" s="73" t="str">
        <x:v>ЧД IFRS16: кредиты + аренда − деньги</x:v>
      </x:c>
      <x:c r="D1088" s="73" t="str">
        <x:v>Краткосрочная аренда</x:v>
      </x:c>
      <x:c r="E1088" s="74" t="n">
        <x:v>421</x:v>
      </x:c>
      <x:c r="F1088" s="73" t="str">
        <x:v>MAGN_2026H1.pdf</x:v>
      </x:c>
      <x:c r="G1088" s="73" t="n">
        <x:v>7</x:v>
      </x:c>
      <x:c r="H1088" s="73" t="str">
        <x:v>Состав и сумма сверены с раскрытием компании</x:v>
      </x:c>
      <x:c r="I1088" s="69"/>
      <x:c r="J1088" s="69"/>
      <x:c r="K1088" s="69"/>
    </x:row>
    <x:row r="1089" ht="15" hidden="0" customHeight="1">
      <x:c r="A1089" t="str">
        <x:v>MAGN</x:v>
      </x:c>
      <x:c r="B1089" t="str">
        <x:v>1П2026</x:v>
      </x:c>
      <x:c r="C1089" s="73" t="str">
        <x:v>ЧД IFRS16: кредиты + аренда − деньги</x:v>
      </x:c>
      <x:c r="D1089" s="73" t="str">
        <x:v>Долгосрочная аренда</x:v>
      </x:c>
      <x:c r="E1089" s="74" t="n">
        <x:v>1838</x:v>
      </x:c>
      <x:c r="F1089" s="73" t="str">
        <x:v>MAGN_2026H1.pdf</x:v>
      </x:c>
      <x:c r="G1089" s="73" t="n">
        <x:v>7</x:v>
      </x:c>
      <x:c r="H1089" s="73" t="str">
        <x:v>Состав и сумма сверены с раскрытием компании</x:v>
      </x:c>
      <x:c r="I1089" s="69"/>
      <x:c r="J1089" s="69"/>
      <x:c r="K1089" s="69"/>
    </x:row>
    <x:row r="1090" ht="15" hidden="0" customHeight="1">
      <x:c r="A1090" s="60" t="str">
        <x:v>MAGN</x:v>
      </x:c>
      <x:c r="B1090" s="60" t="str">
        <x:v>1П2026</x:v>
      </x:c>
      <x:c r="C1090" s="76" t="str">
        <x:v>ЧД IFRS16: кредиты + аренда − деньги</x:v>
      </x:c>
      <x:c r="D1090" s="76" t="str">
        <x:v>ИТОГО — расчет</x:v>
      </x:c>
      <x:c r="E1090" s="77" t="n">
        <x:f>SUM(E1085:E1089)</x:f>
        <x:v>35044</x:v>
      </x:c>
      <x:c r="F1090" s="76" t="str">
        <x:v>MAGN_2026H1.pdf</x:v>
      </x:c>
      <x:c r="G1090" s="76" t="n">
        <x:v>7</x:v>
      </x:c>
      <x:c r="H1090" s="76"/>
      <x:c r="I1090" s="71"/>
      <x:c r="J1090" s="71"/>
      <x:c r="K1090" s="71" t="n">
        <x:f>SUM(E1085:E1087)</x:f>
        <x:v>32785</x:v>
      </x:c>
    </x:row>
    <x:row r="1091" ht="15" hidden="0" customHeight="1">
      <x:c r="C1091" s="73"/>
      <x:c r="D1091" s="73"/>
      <x:c r="E1091" s="74"/>
      <x:c r="F1091" s="73"/>
      <x:c r="G1091" s="73"/>
      <x:c r="H1091" s="73"/>
      <x:c r="I1091" s="69"/>
      <x:c r="J1091" s="69"/>
      <x:c r="K1091" s="69"/>
    </x:row>
    <x:row r="1092" ht="15" hidden="0" customHeight="1">
      <x:c r="A1092" t="str">
        <x:v>HEAD</x:v>
      </x:c>
      <x:c r="B1092" t="str">
        <x:v>2025</x:v>
      </x:c>
      <x:c r="C1092" s="73" t="str">
        <x:v>Обязательства по аренде вне кредитов</x:v>
      </x:c>
      <x:c r="D1092" s="73" t="str">
        <x:v>Краткосрочная аренда</x:v>
      </x:c>
      <x:c r="E1092" s="74" t="n">
        <x:v>629.092</x:v>
      </x:c>
      <x:c r="F1092" s="73" t="str">
        <x:v>HEAD_2026H1.pdf</x:v>
      </x:c>
      <x:c r="G1092" s="73" t="n">
        <x:v>5</x:v>
      </x:c>
      <x:c r="H1092" s="73" t="str">
        <x:v>Состав и сумма сверены с раскрытием компании</x:v>
      </x:c>
      <x:c r="I1092" s="69"/>
      <x:c r="J1092" s="69"/>
      <x:c r="K1092" s="69"/>
    </x:row>
    <x:row r="1093" ht="15" hidden="0" customHeight="1">
      <x:c r="A1093" t="str">
        <x:v>HEAD</x:v>
      </x:c>
      <x:c r="B1093" t="str">
        <x:v>2025</x:v>
      </x:c>
      <x:c r="C1093" s="73" t="str">
        <x:v>Обязательства по аренде вне кредитов</x:v>
      </x:c>
      <x:c r="D1093" s="73" t="str">
        <x:v>Долгосрочная аренда</x:v>
      </x:c>
      <x:c r="E1093" s="74" t="n">
        <x:v>2501.935</x:v>
      </x:c>
      <x:c r="F1093" s="73" t="str">
        <x:v>HEAD_2026H1.pdf</x:v>
      </x:c>
      <x:c r="G1093" s="73" t="n">
        <x:v>5</x:v>
      </x:c>
      <x:c r="H1093" s="73" t="str">
        <x:v>Состав и сумма сверены с раскрытием компании</x:v>
      </x:c>
      <x:c r="I1093" s="69"/>
      <x:c r="J1093" s="69"/>
      <x:c r="K1093" s="69"/>
    </x:row>
    <x:row r="1094" ht="26.399999618530273" hidden="0" customHeight="1">
      <x:c r="A1094" s="60" t="str">
        <x:v>HEAD</x:v>
      </x:c>
      <x:c r="B1094" s="60" t="str">
        <x:v>2025</x:v>
      </x:c>
      <x:c r="C1094" s="76" t="str">
        <x:v>Обязательства по аренде вне кредитов</x:v>
      </x:c>
      <x:c r="D1094" s="76" t="str">
        <x:v>ИТОГО — расчет</x:v>
      </x:c>
      <x:c r="E1094" s="77" t="n">
        <x:f>SUM(E1092:E1093)</x:f>
        <x:v>3131.027</x:v>
      </x:c>
      <x:c r="F1094" s="76" t="str">
        <x:v>HEAD_2026H1.pdf</x:v>
      </x:c>
      <x:c r="G1094" s="76" t="n">
        <x:v>5</x:v>
      </x:c>
      <x:c r="H1094" s="76"/>
      <x:c r="I1094" s="71" t="n">
        <x:v>3131.027</x:v>
      </x:c>
      <x:c r="J1094" s="71" t="n">
        <x:f>E1094-I1094</x:f>
        <x:v>0</x:v>
      </x:c>
      <x:c r="K1094" s="71" t="n">
        <x:f>SUM(E1092:E1093)</x:f>
        <x:v>3131.027</x:v>
      </x:c>
    </x:row>
    <x:row r="1095" ht="15" hidden="0" customHeight="1">
      <x:c r="C1095" s="73"/>
      <x:c r="D1095" s="73"/>
      <x:c r="E1095" s="74"/>
      <x:c r="F1095" s="73"/>
      <x:c r="G1095" s="73"/>
      <x:c r="H1095" s="73"/>
      <x:c r="I1095" s="69"/>
      <x:c r="J1095" s="69"/>
      <x:c r="K1095" s="69"/>
    </x:row>
    <x:row r="1096" ht="15" hidden="0" customHeight="1">
      <x:c r="A1096" t="str">
        <x:v>HEAD</x:v>
      </x:c>
      <x:c r="B1096" t="str">
        <x:v>2025</x:v>
      </x:c>
      <x:c r="C1096" s="73" t="str">
        <x:v>ЧД IFRS16: кредиты + аренда − деньги</x:v>
      </x:c>
      <x:c r="D1096" s="73" t="str">
        <x:v>Краткосрочные кредиты и займы</x:v>
      </x:c>
      <x:c r="E1096" s="74" t="n">
        <x:v>4.507</x:v>
      </x:c>
      <x:c r="F1096" s="73" t="str">
        <x:v>HEAD_2026H1.pdf</x:v>
      </x:c>
      <x:c r="G1096" s="73" t="n">
        <x:v>5</x:v>
      </x:c>
      <x:c r="H1096" s="73" t="str">
        <x:v>Состав и сумма сверены с раскрытием компании</x:v>
      </x:c>
      <x:c r="I1096" s="69"/>
      <x:c r="J1096" s="69"/>
      <x:c r="K1096" s="69"/>
    </x:row>
    <x:row r="1097" ht="15" hidden="0" customHeight="1">
      <x:c r="A1097" t="str">
        <x:v>HEAD</x:v>
      </x:c>
      <x:c r="B1097" t="str">
        <x:v>2025</x:v>
      </x:c>
      <x:c r="C1097" s="73" t="str">
        <x:v>ЧД IFRS16: кредиты + аренда − деньги</x:v>
      </x:c>
      <x:c r="D1097" s="73" t="str">
        <x:v>Долгосрочные кредиты и займы</x:v>
      </x:c>
      <x:c r="E1097" s="74" t="n">
        <x:v>0</x:v>
      </x:c>
      <x:c r="F1097" s="73" t="str">
        <x:v>HEAD_2026H1.pdf</x:v>
      </x:c>
      <x:c r="G1097" s="73" t="n">
        <x:v>5</x:v>
      </x:c>
      <x:c r="H1097" s="73" t="str">
        <x:v>Состав и сумма сверены с раскрытием компании</x:v>
      </x:c>
      <x:c r="I1097" s="69"/>
      <x:c r="J1097" s="69"/>
      <x:c r="K1097" s="69"/>
    </x:row>
    <x:row r="1098" ht="15" hidden="0" customHeight="1">
      <x:c r="A1098" t="str">
        <x:v>HEAD</x:v>
      </x:c>
      <x:c r="B1098" t="str">
        <x:v>2025</x:v>
      </x:c>
      <x:c r="C1098" s="73" t="str">
        <x:v>ЧД IFRS16: кредиты + аренда − деньги</x:v>
      </x:c>
      <x:c r="D1098" s="73" t="str">
        <x:v>Минус денежные средства</x:v>
      </x:c>
      <x:c r="E1098" s="74" t="n">
        <x:v>-14501.243</x:v>
      </x:c>
      <x:c r="F1098" s="73" t="str">
        <x:v>HEAD_2026H1.pdf</x:v>
      </x:c>
      <x:c r="G1098" s="73" t="n">
        <x:v>5</x:v>
      </x:c>
      <x:c r="H1098" s="73" t="str">
        <x:v>Состав и сумма сверены с раскрытием компании</x:v>
      </x:c>
      <x:c r="I1098" s="69"/>
      <x:c r="J1098" s="69"/>
      <x:c r="K1098" s="69"/>
    </x:row>
    <x:row r="1099" ht="15" hidden="0" customHeight="1">
      <x:c r="A1099" t="str">
        <x:v>HEAD</x:v>
      </x:c>
      <x:c r="B1099" t="str">
        <x:v>2025</x:v>
      </x:c>
      <x:c r="C1099" s="73" t="str">
        <x:v>ЧД IFRS16: кредиты + аренда − деньги</x:v>
      </x:c>
      <x:c r="D1099" s="73" t="str">
        <x:v>Краткосрочная аренда</x:v>
      </x:c>
      <x:c r="E1099" s="74" t="n">
        <x:v>629.092</x:v>
      </x:c>
      <x:c r="F1099" s="73" t="str">
        <x:v>HEAD_2026H1.pdf</x:v>
      </x:c>
      <x:c r="G1099" s="73" t="n">
        <x:v>5</x:v>
      </x:c>
      <x:c r="H1099" s="73" t="str">
        <x:v>Состав и сумма сверены с раскрытием компании</x:v>
      </x:c>
      <x:c r="I1099" s="69"/>
      <x:c r="J1099" s="69"/>
      <x:c r="K1099" s="69"/>
    </x:row>
    <x:row r="1100" ht="15" hidden="0" customHeight="1">
      <x:c r="A1100" t="str">
        <x:v>HEAD</x:v>
      </x:c>
      <x:c r="B1100" t="str">
        <x:v>2025</x:v>
      </x:c>
      <x:c r="C1100" s="73" t="str">
        <x:v>ЧД IFRS16: кредиты + аренда − деньги</x:v>
      </x:c>
      <x:c r="D1100" s="73" t="str">
        <x:v>Долгосрочная аренда</x:v>
      </x:c>
      <x:c r="E1100" s="74" t="n">
        <x:v>2501.935</x:v>
      </x:c>
      <x:c r="F1100" s="73" t="str">
        <x:v>HEAD_2026H1.pdf</x:v>
      </x:c>
      <x:c r="G1100" s="73" t="n">
        <x:v>5</x:v>
      </x:c>
      <x:c r="H1100" s="73" t="str">
        <x:v>Состав и сумма сверены с раскрытием компании</x:v>
      </x:c>
      <x:c r="I1100" s="69"/>
      <x:c r="J1100" s="69"/>
      <x:c r="K1100" s="69"/>
    </x:row>
    <x:row r="1101" ht="15" hidden="0" customHeight="1">
      <x:c r="A1101" s="60" t="str">
        <x:v>HEAD</x:v>
      </x:c>
      <x:c r="B1101" s="60" t="str">
        <x:v>2025</x:v>
      </x:c>
      <x:c r="C1101" s="76" t="str">
        <x:v>ЧД IFRS16: кредиты + аренда − деньги</x:v>
      </x:c>
      <x:c r="D1101" s="76" t="str">
        <x:v>ИТОГО — расчет</x:v>
      </x:c>
      <x:c r="E1101" s="77" t="n">
        <x:f>SUM(E1096:E1100)-E1337</x:f>
        <x:v>-11555.709</x:v>
      </x:c>
      <x:c r="F1101" s="76" t="str">
        <x:v>HEAD_2026H1.pdf</x:v>
      </x:c>
      <x:c r="G1101" s="76" t="n">
        <x:v>5</x:v>
      </x:c>
      <x:c r="H1101" s="76" t="str">
        <x:v>Кредиты и займы + аренда − деньги − краткосрочные инвестиции</x:v>
      </x:c>
      <x:c r="I1101" s="71"/>
      <x:c r="J1101" s="71"/>
      <x:c r="K1101" s="71" t="n">
        <x:f>SUM(E1096:E1098)</x:f>
        <x:v>-14496.736</x:v>
      </x:c>
    </x:row>
    <x:row r="1102" ht="15" hidden="0" customHeight="1">
      <x:c r="C1102" s="73"/>
      <x:c r="D1102" s="73"/>
      <x:c r="E1102" s="74"/>
      <x:c r="F1102" s="73"/>
      <x:c r="G1102" s="73"/>
      <x:c r="H1102" s="73"/>
      <x:c r="I1102" s="69"/>
      <x:c r="J1102" s="69"/>
      <x:c r="K1102" s="69"/>
    </x:row>
    <x:row r="1103" ht="15" hidden="0" customHeight="1">
      <x:c r="A1103" t="str">
        <x:v>HEAD</x:v>
      </x:c>
      <x:c r="B1103" t="str">
        <x:v>1П2026</x:v>
      </x:c>
      <x:c r="C1103" s="73" t="str">
        <x:v>Обязательства по аренде вне кредитов</x:v>
      </x:c>
      <x:c r="D1103" s="73" t="str">
        <x:v>Краткосрочная аренда</x:v>
      </x:c>
      <x:c r="E1103" s="74" t="n">
        <x:v>655.805</x:v>
      </x:c>
      <x:c r="F1103" s="73" t="str">
        <x:v>HEAD_2026H1.pdf</x:v>
      </x:c>
      <x:c r="G1103" s="73" t="n">
        <x:v>5</x:v>
      </x:c>
      <x:c r="H1103" s="73" t="str">
        <x:v>Состав и сумма сверены с раскрытием компании</x:v>
      </x:c>
      <x:c r="I1103" s="69"/>
      <x:c r="J1103" s="69"/>
      <x:c r="K1103" s="69"/>
    </x:row>
    <x:row r="1104" ht="15" hidden="0" customHeight="1">
      <x:c r="A1104" t="str">
        <x:v>HEAD</x:v>
      </x:c>
      <x:c r="B1104" t="str">
        <x:v>1П2026</x:v>
      </x:c>
      <x:c r="C1104" s="73" t="str">
        <x:v>Обязательства по аренде вне кредитов</x:v>
      </x:c>
      <x:c r="D1104" s="73" t="str">
        <x:v>Долгосрочная аренда</x:v>
      </x:c>
      <x:c r="E1104" s="74" t="n">
        <x:v>2576.87</x:v>
      </x:c>
      <x:c r="F1104" s="73" t="str">
        <x:v>HEAD_2026H1.pdf</x:v>
      </x:c>
      <x:c r="G1104" s="73" t="n">
        <x:v>5</x:v>
      </x:c>
      <x:c r="H1104" s="73" t="str">
        <x:v>Состав и сумма сверены с раскрытием компании</x:v>
      </x:c>
      <x:c r="I1104" s="69"/>
      <x:c r="J1104" s="69"/>
      <x:c r="K1104" s="69"/>
    </x:row>
    <x:row r="1105" ht="26.399999618530273" hidden="0" customHeight="1">
      <x:c r="A1105" s="60" t="str">
        <x:v>HEAD</x:v>
      </x:c>
      <x:c r="B1105" s="60" t="str">
        <x:v>1П2026</x:v>
      </x:c>
      <x:c r="C1105" s="76" t="str">
        <x:v>Обязательства по аренде вне кредитов</x:v>
      </x:c>
      <x:c r="D1105" s="76" t="str">
        <x:v>ИТОГО — расчет</x:v>
      </x:c>
      <x:c r="E1105" s="77" t="n">
        <x:f>SUM(E1103:E1104)</x:f>
        <x:v>3232.6749999999997</x:v>
      </x:c>
      <x:c r="F1105" s="76" t="str">
        <x:v>HEAD_2026H1.pdf</x:v>
      </x:c>
      <x:c r="G1105" s="76" t="n">
        <x:v>5</x:v>
      </x:c>
      <x:c r="H1105" s="76"/>
      <x:c r="I1105" s="71" t="n">
        <x:v>3232.6749999999997</x:v>
      </x:c>
      <x:c r="J1105" s="71" t="n">
        <x:f>E1105-I1105</x:f>
        <x:v>0</x:v>
      </x:c>
      <x:c r="K1105" s="71" t="n">
        <x:f>SUM(E1103:E1104)</x:f>
        <x:v>3232.6749999999997</x:v>
      </x:c>
    </x:row>
    <x:row r="1106" ht="15" hidden="0" customHeight="1">
      <x:c r="C1106" s="73"/>
      <x:c r="D1106" s="73"/>
      <x:c r="E1106" s="74"/>
      <x:c r="F1106" s="73"/>
      <x:c r="G1106" s="73"/>
      <x:c r="H1106" s="73"/>
      <x:c r="I1106" s="69"/>
      <x:c r="J1106" s="69"/>
      <x:c r="K1106" s="69"/>
    </x:row>
    <x:row r="1107" ht="15" hidden="0" customHeight="1">
      <x:c r="A1107" t="str">
        <x:v>HEAD</x:v>
      </x:c>
      <x:c r="B1107" t="str">
        <x:v>1П2026</x:v>
      </x:c>
      <x:c r="C1107" s="73" t="str">
        <x:v>ЧД IFRS16: кредиты + аренда − деньги</x:v>
      </x:c>
      <x:c r="D1107" s="73" t="str">
        <x:v>Краткосрочные кредиты и займы</x:v>
      </x:c>
      <x:c r="E1107" s="74" t="n">
        <x:v>0</x:v>
      </x:c>
      <x:c r="F1107" s="73" t="str">
        <x:v>HEAD_2026H1.pdf</x:v>
      </x:c>
      <x:c r="G1107" s="73" t="n">
        <x:v>5</x:v>
      </x:c>
      <x:c r="H1107" s="73" t="str">
        <x:v>Состав и сумма сверены с раскрытием компании</x:v>
      </x:c>
      <x:c r="I1107" s="69"/>
      <x:c r="J1107" s="69"/>
      <x:c r="K1107" s="69"/>
    </x:row>
    <x:row r="1108" ht="15" hidden="0" customHeight="1">
      <x:c r="A1108" t="str">
        <x:v>HEAD</x:v>
      </x:c>
      <x:c r="B1108" t="str">
        <x:v>1П2026</x:v>
      </x:c>
      <x:c r="C1108" s="73" t="str">
        <x:v>ЧД IFRS16: кредиты + аренда − деньги</x:v>
      </x:c>
      <x:c r="D1108" s="73" t="str">
        <x:v>Долгосрочные кредиты и займы</x:v>
      </x:c>
      <x:c r="E1108" s="74" t="n">
        <x:v>0</x:v>
      </x:c>
      <x:c r="F1108" s="73" t="str">
        <x:v>HEAD_2026H1.pdf</x:v>
      </x:c>
      <x:c r="G1108" s="73" t="n">
        <x:v>5</x:v>
      </x:c>
      <x:c r="H1108" s="73" t="str">
        <x:v>Состав и сумма сверены с раскрытием компании</x:v>
      </x:c>
      <x:c r="I1108" s="69"/>
      <x:c r="J1108" s="69"/>
      <x:c r="K1108" s="69"/>
    </x:row>
    <x:row r="1109" ht="15" hidden="0" customHeight="1">
      <x:c r="A1109" t="str">
        <x:v>HEAD</x:v>
      </x:c>
      <x:c r="B1109" t="str">
        <x:v>1П2026</x:v>
      </x:c>
      <x:c r="C1109" s="73" t="str">
        <x:v>ЧД IFRS16: кредиты + аренда − деньги</x:v>
      </x:c>
      <x:c r="D1109" s="73" t="str">
        <x:v>Минус денежные средства</x:v>
      </x:c>
      <x:c r="E1109" s="74" t="n">
        <x:v>-7788.118</x:v>
      </x:c>
      <x:c r="F1109" s="73" t="str">
        <x:v>HEAD_2026H1.pdf</x:v>
      </x:c>
      <x:c r="G1109" s="73" t="n">
        <x:v>5</x:v>
      </x:c>
      <x:c r="H1109" s="73" t="str">
        <x:v>Состав и сумма сверены с раскрытием компании</x:v>
      </x:c>
      <x:c r="I1109" s="69"/>
      <x:c r="J1109" s="69"/>
      <x:c r="K1109" s="69"/>
    </x:row>
    <x:row r="1110" ht="15" hidden="0" customHeight="1">
      <x:c r="A1110" t="str">
        <x:v>HEAD</x:v>
      </x:c>
      <x:c r="B1110" t="str">
        <x:v>1П2026</x:v>
      </x:c>
      <x:c r="C1110" s="73" t="str">
        <x:v>ЧД IFRS16: кредиты + аренда − деньги</x:v>
      </x:c>
      <x:c r="D1110" s="73" t="str">
        <x:v>Краткосрочная аренда</x:v>
      </x:c>
      <x:c r="E1110" s="74" t="n">
        <x:v>655.805</x:v>
      </x:c>
      <x:c r="F1110" s="73" t="str">
        <x:v>HEAD_2026H1.pdf</x:v>
      </x:c>
      <x:c r="G1110" s="73" t="n">
        <x:v>5</x:v>
      </x:c>
      <x:c r="H1110" s="73" t="str">
        <x:v>Состав и сумма сверены с раскрытием компании</x:v>
      </x:c>
      <x:c r="I1110" s="69"/>
      <x:c r="J1110" s="69"/>
      <x:c r="K1110" s="69"/>
    </x:row>
    <x:row r="1111" ht="15" hidden="0" customHeight="1">
      <x:c r="A1111" t="str">
        <x:v>HEAD</x:v>
      </x:c>
      <x:c r="B1111" t="str">
        <x:v>1П2026</x:v>
      </x:c>
      <x:c r="C1111" s="73" t="str">
        <x:v>ЧД IFRS16: кредиты + аренда − деньги</x:v>
      </x:c>
      <x:c r="D1111" s="73" t="str">
        <x:v>Долгосрочная аренда</x:v>
      </x:c>
      <x:c r="E1111" s="74" t="n">
        <x:v>2576.87</x:v>
      </x:c>
      <x:c r="F1111" s="73" t="str">
        <x:v>HEAD_2026H1.pdf</x:v>
      </x:c>
      <x:c r="G1111" s="73" t="n">
        <x:v>5</x:v>
      </x:c>
      <x:c r="H1111" s="73" t="str">
        <x:v>Состав и сумма сверены с раскрытием компании</x:v>
      </x:c>
      <x:c r="I1111" s="69"/>
      <x:c r="J1111" s="69"/>
      <x:c r="K1111" s="69"/>
    </x:row>
    <x:row r="1112" ht="15" hidden="0" customHeight="1">
      <x:c r="A1112" s="60" t="str">
        <x:v>HEAD</x:v>
      </x:c>
      <x:c r="B1112" s="60" t="str">
        <x:v>1П2026</x:v>
      </x:c>
      <x:c r="C1112" s="76" t="str">
        <x:v>ЧД IFRS16: кредиты + аренда − деньги</x:v>
      </x:c>
      <x:c r="D1112" s="76" t="str">
        <x:v>ИТОГО — расчет</x:v>
      </x:c>
      <x:c r="E1112" s="77" t="n">
        <x:f>SUM(E1107:E1111)-E1346</x:f>
        <x:v>-4755.443</x:v>
      </x:c>
      <x:c r="F1112" s="76" t="str">
        <x:v>HEAD_2026H1.pdf</x:v>
      </x:c>
      <x:c r="G1112" s="76" t="n">
        <x:v>5</x:v>
      </x:c>
      <x:c r="H1112" s="76" t="str">
        <x:v>Кредиты и займы + аренда − деньги − краткосрочные инвестиции</x:v>
      </x:c>
      <x:c r="I1112" s="71"/>
      <x:c r="J1112" s="71"/>
      <x:c r="K1112" s="71" t="n">
        <x:f>SUM(E1107:E1109)</x:f>
        <x:v>-7788.118</x:v>
      </x:c>
    </x:row>
    <x:row r="1113" ht="15" hidden="0" customHeight="1">
      <x:c r="C1113" s="73"/>
      <x:c r="D1113" s="73"/>
      <x:c r="E1113" s="74"/>
      <x:c r="F1113" s="73"/>
      <x:c r="G1113" s="73"/>
      <x:c r="H1113" s="73"/>
      <x:c r="I1113" s="69"/>
      <x:c r="J1113" s="69"/>
      <x:c r="K1113" s="69"/>
    </x:row>
    <x:row r="1114" ht="26.399999618530273" hidden="0" customHeight="1">
      <x:c r="A1114" t="str">
        <x:v>T</x:v>
      </x:c>
      <x:c r="B1114" t="str">
        <x:v>1П2025</x:v>
      </x:c>
      <x:c r="C1114" s="73" t="str">
        <x:v>EBITDA компании: проценты только нефинансовых компаний</x:v>
      </x:c>
      <x:c r="D1114" s="73" t="str">
        <x:v>Прибыль группы</x:v>
      </x:c>
      <x:c r="E1114" s="74" t="n">
        <x:v>80200</x:v>
      </x:c>
      <x:c r="F1114" s="73" t="str">
        <x:v>T_2026H1.pdf</x:v>
      </x:c>
      <x:c r="G1114" s="73" t="n">
        <x:v>28</x:v>
      </x:c>
      <x:c r="H1114" s="73" t="str">
        <x:v>Состав и сумма сверены с раскрытием компании</x:v>
      </x:c>
      <x:c r="I1114" s="69"/>
      <x:c r="J1114" s="69"/>
      <x:c r="K1114" s="69"/>
    </x:row>
    <x:row r="1115" ht="26.399999618530273" hidden="0" customHeight="1">
      <x:c r="A1115" t="str">
        <x:v>T</x:v>
      </x:c>
      <x:c r="B1115" t="str">
        <x:v>1П2025</x:v>
      </x:c>
      <x:c r="C1115" s="73" t="str">
        <x:v>EBITDA компании: проценты только нефинансовых компаний</x:v>
      </x:c>
      <x:c r="D1115" s="73" t="str">
        <x:v>Налог на прибыль</x:v>
      </x:c>
      <x:c r="E1115" s="74" t="n">
        <x:v>26500</x:v>
      </x:c>
      <x:c r="F1115" s="73" t="str">
        <x:v>T_2026H1.pdf</x:v>
      </x:c>
      <x:c r="G1115" s="73" t="n">
        <x:v>28</x:v>
      </x:c>
      <x:c r="H1115" s="73" t="str">
        <x:v>Состав и сумма сверены с раскрытием компании</x:v>
      </x:c>
      <x:c r="I1115" s="69"/>
      <x:c r="J1115" s="69"/>
      <x:c r="K1115" s="69"/>
    </x:row>
    <x:row r="1116" ht="26.399999618530273" hidden="0" customHeight="1">
      <x:c r="A1116" t="str">
        <x:v>T</x:v>
      </x:c>
      <x:c r="B1116" t="str">
        <x:v>1П2025</x:v>
      </x:c>
      <x:c r="C1116" s="73" t="str">
        <x:v>EBITDA компании: проценты только нефинансовых компаний</x:v>
      </x:c>
      <x:c r="D1116" s="73" t="str">
        <x:v>Проценты нефинансовых компаний</x:v>
      </x:c>
      <x:c r="E1116" s="74" t="n">
        <x:v>3400</x:v>
      </x:c>
      <x:c r="F1116" s="73" t="str">
        <x:v>T_2026H1.pdf</x:v>
      </x:c>
      <x:c r="G1116" s="73" t="n">
        <x:v>28</x:v>
      </x:c>
      <x:c r="H1116" s="73" t="str">
        <x:v>Состав и сумма сверены с раскрытием компании</x:v>
      </x:c>
      <x:c r="I1116" s="69"/>
      <x:c r="J1116" s="69"/>
      <x:c r="K1116" s="69"/>
    </x:row>
    <x:row r="1117" ht="26.399999618530273" hidden="0" customHeight="1">
      <x:c r="A1117" t="str">
        <x:v>T</x:v>
      </x:c>
      <x:c r="B1117" t="str">
        <x:v>1П2025</x:v>
      </x:c>
      <x:c r="C1117" s="73" t="str">
        <x:v>EBITDA компании: проценты только нефинансовых компаний</x:v>
      </x:c>
      <x:c r="D1117" s="73" t="str">
        <x:v>Амортизация</x:v>
      </x:c>
      <x:c r="E1117" s="74" t="n">
        <x:v>19700</x:v>
      </x:c>
      <x:c r="F1117" s="73" t="str">
        <x:v>T_2026H1.pdf</x:v>
      </x:c>
      <x:c r="G1117" s="73" t="n">
        <x:v>28</x:v>
      </x:c>
      <x:c r="H1117" s="73" t="str">
        <x:v>Состав и сумма сверены с раскрытием компании</x:v>
      </x:c>
      <x:c r="I1117" s="69"/>
      <x:c r="J1117" s="69"/>
      <x:c r="K1117" s="69"/>
    </x:row>
    <x:row r="1118" ht="26.399999618530273" hidden="0" customHeight="1">
      <x:c r="A1118" t="str">
        <x:v>T</x:v>
      </x:c>
      <x:c r="B1118" t="str">
        <x:v>1П2025</x:v>
      </x:c>
      <x:c r="C1118" s="73" t="str">
        <x:v>EBITDA компании: проценты только нефинансовых компаний</x:v>
      </x:c>
      <x:c r="D1118" s="73" t="str">
        <x:v>Расходы финансовой аренды</x:v>
      </x:c>
      <x:c r="E1118" s="74" t="n">
        <x:v>1800</x:v>
      </x:c>
      <x:c r="F1118" s="73" t="str">
        <x:v>T_2026H1.pdf</x:v>
      </x:c>
      <x:c r="G1118" s="73" t="n">
        <x:v>28</x:v>
      </x:c>
      <x:c r="H1118" s="73" t="str">
        <x:v>Состав и сумма сверены с раскрытием компании</x:v>
      </x:c>
      <x:c r="I1118" s="69"/>
      <x:c r="J1118" s="69"/>
      <x:c r="K1118" s="69"/>
    </x:row>
    <x:row r="1119" ht="26.399999618530273" hidden="0" customHeight="1">
      <x:c r="A1119" s="60" t="str">
        <x:v>T</x:v>
      </x:c>
      <x:c r="B1119" s="60" t="str">
        <x:v>1П2025</x:v>
      </x:c>
      <x:c r="C1119" s="76" t="str">
        <x:v>EBITDA компании: проценты только нефинансовых компаний</x:v>
      </x:c>
      <x:c r="D1119" s="76" t="str">
        <x:v>ИТОГО — расчет</x:v>
      </x:c>
      <x:c r="E1119" s="77" t="n">
        <x:f>SUM(E1114:E1118)</x:f>
        <x:v>131600</x:v>
      </x:c>
      <x:c r="F1119" s="76" t="str">
        <x:v>T_2026H1.pdf</x:v>
      </x:c>
      <x:c r="G1119" s="76" t="n">
        <x:v>28</x:v>
      </x:c>
      <x:c r="H1119" s="76"/>
      <x:c r="I1119" s="71" t="n">
        <x:v>131600</x:v>
      </x:c>
      <x:c r="J1119" s="71" t="n">
        <x:f>E1119-I1119</x:f>
        <x:v>0</x:v>
      </x:c>
      <x:c r="K1119" s="71" t="n">
        <x:f>SUM(E1114:E1118)</x:f>
        <x:v>131600</x:v>
      </x:c>
    </x:row>
    <x:row r="1120" ht="15" hidden="0" customHeight="1">
      <x:c r="C1120" s="73"/>
      <x:c r="D1120" s="73"/>
      <x:c r="E1120" s="74"/>
      <x:c r="F1120" s="73"/>
      <x:c r="G1120" s="73"/>
      <x:c r="H1120" s="73"/>
      <x:c r="I1120" s="69"/>
      <x:c r="J1120" s="69"/>
      <x:c r="K1120" s="69"/>
    </x:row>
    <x:row r="1121" ht="26.399999618530273" hidden="0" customHeight="1">
      <x:c r="A1121" t="str">
        <x:v>T</x:v>
      </x:c>
      <x:c r="B1121" t="str">
        <x:v>1П2026</x:v>
      </x:c>
      <x:c r="C1121" s="73" t="str">
        <x:v>EBITDA компании: проценты только нефинансовых компаний</x:v>
      </x:c>
      <x:c r="D1121" s="73" t="str">
        <x:v>Прибыль группы</x:v>
      </x:c>
      <x:c r="E1121" s="74" t="n">
        <x:v>74500</x:v>
      </x:c>
      <x:c r="F1121" s="73" t="str">
        <x:v>T_2026H1.pdf</x:v>
      </x:c>
      <x:c r="G1121" s="73" t="n">
        <x:v>28</x:v>
      </x:c>
      <x:c r="H1121" s="73" t="str">
        <x:v>Состав и сумма сверены с раскрытием компании</x:v>
      </x:c>
      <x:c r="I1121" s="69"/>
      <x:c r="J1121" s="69"/>
      <x:c r="K1121" s="69"/>
    </x:row>
    <x:row r="1122" ht="26.399999618530273" hidden="0" customHeight="1">
      <x:c r="A1122" t="str">
        <x:v>T</x:v>
      </x:c>
      <x:c r="B1122" t="str">
        <x:v>1П2026</x:v>
      </x:c>
      <x:c r="C1122" s="73" t="str">
        <x:v>EBITDA компании: проценты только нефинансовых компаний</x:v>
      </x:c>
      <x:c r="D1122" s="73" t="str">
        <x:v>Налог на прибыль</x:v>
      </x:c>
      <x:c r="E1122" s="74" t="n">
        <x:v>23100</x:v>
      </x:c>
      <x:c r="F1122" s="73" t="str">
        <x:v>T_2026H1.pdf</x:v>
      </x:c>
      <x:c r="G1122" s="73" t="n">
        <x:v>28</x:v>
      </x:c>
      <x:c r="H1122" s="73" t="str">
        <x:v>Состав и сумма сверены с раскрытием компании</x:v>
      </x:c>
      <x:c r="I1122" s="69"/>
      <x:c r="J1122" s="69"/>
      <x:c r="K1122" s="69"/>
    </x:row>
    <x:row r="1123" ht="26.399999618530273" hidden="0" customHeight="1">
      <x:c r="A1123" t="str">
        <x:v>T</x:v>
      </x:c>
      <x:c r="B1123" t="str">
        <x:v>1П2026</x:v>
      </x:c>
      <x:c r="C1123" s="73" t="str">
        <x:v>EBITDA компании: проценты только нефинансовых компаний</x:v>
      </x:c>
      <x:c r="D1123" s="73" t="str">
        <x:v>Проценты нефинансовых компаний</x:v>
      </x:c>
      <x:c r="E1123" s="74" t="n">
        <x:v>13400</x:v>
      </x:c>
      <x:c r="F1123" s="73" t="str">
        <x:v>T_2026H1.pdf</x:v>
      </x:c>
      <x:c r="G1123" s="73" t="n">
        <x:v>28</x:v>
      </x:c>
      <x:c r="H1123" s="73" t="str">
        <x:v>Состав и сумма сверены с раскрытием компании</x:v>
      </x:c>
      <x:c r="I1123" s="69"/>
      <x:c r="J1123" s="69"/>
      <x:c r="K1123" s="69"/>
    </x:row>
    <x:row r="1124" ht="26.399999618530273" hidden="0" customHeight="1">
      <x:c r="A1124" t="str">
        <x:v>T</x:v>
      </x:c>
      <x:c r="B1124" t="str">
        <x:v>1П2026</x:v>
      </x:c>
      <x:c r="C1124" s="73" t="str">
        <x:v>EBITDA компании: проценты только нефинансовых компаний</x:v>
      </x:c>
      <x:c r="D1124" s="73" t="str">
        <x:v>Амортизация</x:v>
      </x:c>
      <x:c r="E1124" s="74" t="n">
        <x:v>25200</x:v>
      </x:c>
      <x:c r="F1124" s="73" t="str">
        <x:v>T_2026H1.pdf</x:v>
      </x:c>
      <x:c r="G1124" s="73" t="n">
        <x:v>28</x:v>
      </x:c>
      <x:c r="H1124" s="73" t="str">
        <x:v>Состав и сумма сверены с раскрытием компании</x:v>
      </x:c>
      <x:c r="I1124" s="69"/>
      <x:c r="J1124" s="69"/>
      <x:c r="K1124" s="69"/>
    </x:row>
    <x:row r="1125" ht="26.399999618530273" hidden="0" customHeight="1">
      <x:c r="A1125" t="str">
        <x:v>T</x:v>
      </x:c>
      <x:c r="B1125" t="str">
        <x:v>1П2026</x:v>
      </x:c>
      <x:c r="C1125" s="73" t="str">
        <x:v>EBITDA компании: проценты только нефинансовых компаний</x:v>
      </x:c>
      <x:c r="D1125" s="73" t="str">
        <x:v>Расходы финансовой аренды</x:v>
      </x:c>
      <x:c r="E1125" s="74" t="n">
        <x:v>2200</x:v>
      </x:c>
      <x:c r="F1125" s="73" t="str">
        <x:v>T_2026H1.pdf</x:v>
      </x:c>
      <x:c r="G1125" s="73" t="n">
        <x:v>28</x:v>
      </x:c>
      <x:c r="H1125" s="73" t="str">
        <x:v>Состав и сумма сверены с раскрытием компании</x:v>
      </x:c>
      <x:c r="I1125" s="69"/>
      <x:c r="J1125" s="69"/>
      <x:c r="K1125" s="69"/>
    </x:row>
    <x:row r="1126" ht="26.399999618530273" hidden="0" customHeight="1">
      <x:c r="A1126" s="60" t="str">
        <x:v>T</x:v>
      </x:c>
      <x:c r="B1126" s="60" t="str">
        <x:v>1П2026</x:v>
      </x:c>
      <x:c r="C1126" s="76" t="str">
        <x:v>EBITDA компании: проценты только нефинансовых компаний</x:v>
      </x:c>
      <x:c r="D1126" s="76" t="str">
        <x:v>ИТОГО — расчет</x:v>
      </x:c>
      <x:c r="E1126" s="77" t="n">
        <x:f>SUM(E1121:E1125)</x:f>
        <x:v>138400</x:v>
      </x:c>
      <x:c r="F1126" s="76" t="str">
        <x:v>T_2026H1.pdf</x:v>
      </x:c>
      <x:c r="G1126" s="76" t="n">
        <x:v>28</x:v>
      </x:c>
      <x:c r="H1126" s="76"/>
      <x:c r="I1126" s="71" t="n">
        <x:v>138400</x:v>
      </x:c>
      <x:c r="J1126" s="71" t="n">
        <x:f>E1126-I1126</x:f>
        <x:v>0</x:v>
      </x:c>
      <x:c r="K1126" s="71" t="n">
        <x:f>SUM(E1121:E1125)</x:f>
        <x:v>138400</x:v>
      </x:c>
    </x:row>
    <x:row r="1127" ht="15" hidden="0" customHeight="1">
      <x:c r="C1127" s="73"/>
      <x:c r="D1127" s="73"/>
      <x:c r="E1127" s="74"/>
      <x:c r="F1127" s="73"/>
      <x:c r="G1127" s="73"/>
      <x:c r="H1127" s="73"/>
      <x:c r="I1127" s="69"/>
      <x:c r="J1127" s="69"/>
      <x:c r="K1127" s="69"/>
    </x:row>
    <x:row r="1128" ht="15" hidden="0" customHeight="1">
      <x:c r="A1128" t="str">
        <x:v>T</x:v>
      </x:c>
      <x:c r="B1128" t="str">
        <x:v>1П2025</x:v>
      </x:c>
      <x:c r="C1128" s="73" t="str">
        <x:v>Скорр. EBITDA компании</x:v>
      </x:c>
      <x:c r="D1128" s="73" t="str">
        <x:v>EBITDA компании</x:v>
      </x:c>
      <x:c r="E1128" s="74" t="n">
        <x:v>131600</x:v>
      </x:c>
      <x:c r="F1128" s="73" t="str">
        <x:v>T_2026H1.pdf</x:v>
      </x:c>
      <x:c r="G1128" s="73" t="n">
        <x:v>28</x:v>
      </x:c>
      <x:c r="H1128" s="73" t="str">
        <x:v>Состав и сумма сверены с раскрытием компании</x:v>
      </x:c>
      <x:c r="I1128" s="69"/>
      <x:c r="J1128" s="69"/>
      <x:c r="K1128" s="69"/>
    </x:row>
    <x:row r="1129" ht="15" hidden="0" customHeight="1">
      <x:c r="A1129" t="str">
        <x:v>T</x:v>
      </x:c>
      <x:c r="B1129" t="str">
        <x:v>1П2025</x:v>
      </x:c>
      <x:c r="C1129" s="73" t="str">
        <x:v>Скорр. EBITDA компании</x:v>
      </x:c>
      <x:c r="D1129" s="73" t="str">
        <x:v>Вознаграждения акциями</x:v>
      </x:c>
      <x:c r="E1129" s="74" t="n">
        <x:v>10300</x:v>
      </x:c>
      <x:c r="F1129" s="73" t="str">
        <x:v>T_2026H1.pdf</x:v>
      </x:c>
      <x:c r="G1129" s="73" t="n">
        <x:v>28</x:v>
      </x:c>
      <x:c r="H1129" s="73" t="str">
        <x:v>Состав и сумма сверены с раскрытием компании</x:v>
      </x:c>
      <x:c r="I1129" s="69"/>
      <x:c r="J1129" s="69"/>
      <x:c r="K1129" s="69"/>
    </x:row>
    <x:row r="1130" ht="15" hidden="0" customHeight="1">
      <x:c r="A1130" t="str">
        <x:v>T</x:v>
      </x:c>
      <x:c r="B1130" t="str">
        <x:v>1П2025</x:v>
      </x:c>
      <x:c r="C1130" s="73" t="str">
        <x:v>Скорр. EBITDA компании</x:v>
      </x:c>
      <x:c r="D1130" s="73" t="str">
        <x:v>Переоценка инвестиций в Яндекс</x:v>
      </x:c>
      <x:c r="E1130" s="74" t="n">
        <x:v>-5700</x:v>
      </x:c>
      <x:c r="F1130" s="73" t="str">
        <x:v>T_2026H1.pdf</x:v>
      </x:c>
      <x:c r="G1130" s="73" t="n">
        <x:v>28</x:v>
      </x:c>
      <x:c r="H1130" s="73" t="str">
        <x:v>Состав и сумма сверены с раскрытием компании</x:v>
      </x:c>
      <x:c r="I1130" s="69"/>
      <x:c r="J1130" s="69"/>
      <x:c r="K1130" s="69"/>
    </x:row>
    <x:row r="1131" ht="15" hidden="0" customHeight="1">
      <x:c r="A1131" s="60" t="str">
        <x:v>T</x:v>
      </x:c>
      <x:c r="B1131" s="60" t="str">
        <x:v>1П2025</x:v>
      </x:c>
      <x:c r="C1131" s="76" t="str">
        <x:v>Скорр. EBITDA компании</x:v>
      </x:c>
      <x:c r="D1131" s="76" t="str">
        <x:v>ИТОГО — расчет</x:v>
      </x:c>
      <x:c r="E1131" s="77" t="n">
        <x:f>SUM(E1128:E1130)</x:f>
        <x:v>136200</x:v>
      </x:c>
      <x:c r="F1131" s="76" t="str">
        <x:v>T_2026H1.pdf</x:v>
      </x:c>
      <x:c r="G1131" s="76" t="n">
        <x:v>28</x:v>
      </x:c>
      <x:c r="H1131" s="76"/>
      <x:c r="I1131" s="71" t="n">
        <x:v>136200</x:v>
      </x:c>
      <x:c r="J1131" s="71" t="n">
        <x:f>E1131-I1131</x:f>
        <x:v>0</x:v>
      </x:c>
      <x:c r="K1131" s="71" t="n">
        <x:f>SUM(E1128:E1128)</x:f>
        <x:v>131600</x:v>
      </x:c>
    </x:row>
    <x:row r="1132" ht="15" hidden="0" customHeight="1">
      <x:c r="C1132" s="73"/>
      <x:c r="D1132" s="73"/>
      <x:c r="E1132" s="74"/>
      <x:c r="F1132" s="73"/>
      <x:c r="G1132" s="73"/>
      <x:c r="H1132" s="73"/>
      <x:c r="I1132" s="69"/>
      <x:c r="J1132" s="69"/>
      <x:c r="K1132" s="69"/>
    </x:row>
    <x:row r="1133" ht="15" hidden="0" customHeight="1">
      <x:c r="A1133" t="str">
        <x:v>T</x:v>
      </x:c>
      <x:c r="B1133" t="str">
        <x:v>1П2026</x:v>
      </x:c>
      <x:c r="C1133" s="73" t="str">
        <x:v>Скорр. EBITDA компании</x:v>
      </x:c>
      <x:c r="D1133" s="73" t="str">
        <x:v>EBITDA компании</x:v>
      </x:c>
      <x:c r="E1133" s="74" t="n">
        <x:v>138400</x:v>
      </x:c>
      <x:c r="F1133" s="73" t="str">
        <x:v>T_2026H1.pdf</x:v>
      </x:c>
      <x:c r="G1133" s="73" t="n">
        <x:v>28</x:v>
      </x:c>
      <x:c r="H1133" s="73" t="str">
        <x:v>Состав и сумма сверены с раскрытием компании</x:v>
      </x:c>
      <x:c r="I1133" s="69"/>
      <x:c r="J1133" s="69"/>
      <x:c r="K1133" s="69"/>
    </x:row>
    <x:row r="1134" ht="15" hidden="0" customHeight="1">
      <x:c r="A1134" t="str">
        <x:v>T</x:v>
      </x:c>
      <x:c r="B1134" t="str">
        <x:v>1П2026</x:v>
      </x:c>
      <x:c r="C1134" s="73" t="str">
        <x:v>Скорр. EBITDA компании</x:v>
      </x:c>
      <x:c r="D1134" s="73" t="str">
        <x:v>Вознаграждения акциями</x:v>
      </x:c>
      <x:c r="E1134" s="74" t="n">
        <x:v>10900</x:v>
      </x:c>
      <x:c r="F1134" s="73" t="str">
        <x:v>T_2026H1.pdf</x:v>
      </x:c>
      <x:c r="G1134" s="73" t="n">
        <x:v>28</x:v>
      </x:c>
      <x:c r="H1134" s="73" t="str">
        <x:v>Состав и сумма сверены с раскрытием компании</x:v>
      </x:c>
      <x:c r="I1134" s="69"/>
      <x:c r="J1134" s="69"/>
      <x:c r="K1134" s="69"/>
    </x:row>
    <x:row r="1135" ht="15" hidden="0" customHeight="1">
      <x:c r="A1135" t="str">
        <x:v>T</x:v>
      </x:c>
      <x:c r="B1135" t="str">
        <x:v>1П2026</x:v>
      </x:c>
      <x:c r="C1135" s="73" t="str">
        <x:v>Скорр. EBITDA компании</x:v>
      </x:c>
      <x:c r="D1135" s="73" t="str">
        <x:v>Переоценка инвестиций в Яндекс</x:v>
      </x:c>
      <x:c r="E1135" s="74" t="n">
        <x:v>35200</x:v>
      </x:c>
      <x:c r="F1135" s="73" t="str">
        <x:v>T_2026H1.pdf</x:v>
      </x:c>
      <x:c r="G1135" s="73" t="n">
        <x:v>28</x:v>
      </x:c>
      <x:c r="H1135" s="73" t="str">
        <x:v>Состав и сумма сверены с раскрытием компании</x:v>
      </x:c>
      <x:c r="I1135" s="69"/>
      <x:c r="J1135" s="69"/>
      <x:c r="K1135" s="69"/>
    </x:row>
    <x:row r="1136" ht="15" hidden="0" customHeight="1">
      <x:c r="A1136" s="60" t="str">
        <x:v>T</x:v>
      </x:c>
      <x:c r="B1136" s="60" t="str">
        <x:v>1П2026</x:v>
      </x:c>
      <x:c r="C1136" s="76" t="str">
        <x:v>Скорр. EBITDA компании</x:v>
      </x:c>
      <x:c r="D1136" s="76" t="str">
        <x:v>ИТОГО — расчет</x:v>
      </x:c>
      <x:c r="E1136" s="77" t="n">
        <x:f>SUM(E1133:E1135)</x:f>
        <x:v>184500</x:v>
      </x:c>
      <x:c r="F1136" s="76" t="str">
        <x:v>T_2026H1.pdf</x:v>
      </x:c>
      <x:c r="G1136" s="76" t="n">
        <x:v>28</x:v>
      </x:c>
      <x:c r="H1136" s="76"/>
      <x:c r="I1136" s="71" t="n">
        <x:v>184500</x:v>
      </x:c>
      <x:c r="J1136" s="71" t="n">
        <x:f>E1136-I1136</x:f>
        <x:v>0</x:v>
      </x:c>
      <x:c r="K1136" s="71" t="n">
        <x:f>SUM(E1133:E1133)</x:f>
        <x:v>138400</x:v>
      </x:c>
    </x:row>
    <x:row r="1137" ht="15" hidden="0" customHeight="1">
      <x:c r="C1137" s="73"/>
      <x:c r="D1137" s="73"/>
      <x:c r="E1137" s="74"/>
      <x:c r="F1137" s="73"/>
      <x:c r="G1137" s="73"/>
      <x:c r="H1137" s="73"/>
      <x:c r="I1137" s="69"/>
      <x:c r="J1137" s="69"/>
      <x:c r="K1137" s="69"/>
    </x:row>
    <x:row r="1138" ht="26.399999618530273" hidden="0" customHeight="1">
      <x:c r="A1138" t="str">
        <x:v>UGLD</x:v>
      </x:c>
      <x:c r="B1138" t="str">
        <x:v>2025</x:v>
      </x:c>
      <x:c r="C1138" s="73" t="str">
        <x:v>Чистая величина заемных средств компании</x:v>
      </x:c>
      <x:c r="D1138" s="73" t="str">
        <x:v>Кредиты в расчете компании</x:v>
      </x:c>
      <x:c r="E1138" s="74" t="n">
        <x:v>61553</x:v>
      </x:c>
      <x:c r="F1138" s="73" t="str">
        <x:v>UGLD_2026H1.pdf</x:v>
      </x:c>
      <x:c r="G1138" s="73" t="n">
        <x:v>31</x:v>
      </x:c>
      <x:c r="H1138" s="73" t="str">
        <x:v>Состав и сумма сверены с раскрытием компании</x:v>
      </x:c>
      <x:c r="I1138" s="69"/>
      <x:c r="J1138" s="69"/>
      <x:c r="K1138" s="69"/>
    </x:row>
    <x:row r="1139" ht="26.399999618530273" hidden="0" customHeight="1">
      <x:c r="A1139" t="str">
        <x:v>UGLD</x:v>
      </x:c>
      <x:c r="B1139" t="str">
        <x:v>2025</x:v>
      </x:c>
      <x:c r="C1139" s="73" t="str">
        <x:v>Чистая величина заемных средств компании</x:v>
      </x:c>
      <x:c r="D1139" s="73" t="str">
        <x:v>Облигации</x:v>
      </x:c>
      <x:c r="E1139" s="74" t="n">
        <x:v>18606</x:v>
      </x:c>
      <x:c r="F1139" s="73" t="str">
        <x:v>UGLD_2026H1.pdf</x:v>
      </x:c>
      <x:c r="G1139" s="73" t="n">
        <x:v>31</x:v>
      </x:c>
      <x:c r="H1139" s="73" t="str">
        <x:v>Состав и сумма сверены с раскрытием компании</x:v>
      </x:c>
      <x:c r="I1139" s="69"/>
      <x:c r="J1139" s="69"/>
      <x:c r="K1139" s="69"/>
    </x:row>
    <x:row r="1140" ht="26.399999618530273" hidden="0" customHeight="1">
      <x:c r="A1140" t="str">
        <x:v>UGLD</x:v>
      </x:c>
      <x:c r="B1140" t="str">
        <x:v>2025</x:v>
      </x:c>
      <x:c r="C1140" s="73" t="str">
        <x:v>Чистая величина заемных средств компании</x:v>
      </x:c>
      <x:c r="D1140" s="73" t="str">
        <x:v>Обязательства по аренде</x:v>
      </x:c>
      <x:c r="E1140" s="74" t="n">
        <x:v>5959</x:v>
      </x:c>
      <x:c r="F1140" s="73" t="str">
        <x:v>UGLD_2026H1.pdf</x:v>
      </x:c>
      <x:c r="G1140" s="73" t="n">
        <x:v>31</x:v>
      </x:c>
      <x:c r="H1140" s="73" t="str">
        <x:v>Состав и сумма сверены с раскрытием компании</x:v>
      </x:c>
      <x:c r="I1140" s="69"/>
      <x:c r="J1140" s="69"/>
      <x:c r="K1140" s="69"/>
    </x:row>
    <x:row r="1141" ht="26.399999618530273" hidden="0" customHeight="1">
      <x:c r="A1141" t="str">
        <x:v>UGLD</x:v>
      </x:c>
      <x:c r="B1141" t="str">
        <x:v>2025</x:v>
      </x:c>
      <x:c r="C1141" s="73" t="str">
        <x:v>Чистая величина заемных средств компании</x:v>
      </x:c>
      <x:c r="D1141" s="73" t="str">
        <x:v>Минус денежные средства</x:v>
      </x:c>
      <x:c r="E1141" s="74" t="n">
        <x:v>-2271</x:v>
      </x:c>
      <x:c r="F1141" s="73" t="str">
        <x:v>UGLD_2026H1.pdf</x:v>
      </x:c>
      <x:c r="G1141" s="73" t="n">
        <x:v>31</x:v>
      </x:c>
      <x:c r="H1141" s="73" t="str">
        <x:v>Состав и сумма сверены с раскрытием компании</x:v>
      </x:c>
      <x:c r="I1141" s="69"/>
      <x:c r="J1141" s="69"/>
      <x:c r="K1141" s="69"/>
    </x:row>
    <x:row r="1142" ht="26.399999618530273" hidden="0" customHeight="1">
      <x:c r="A1142" s="60" t="str">
        <x:v>UGLD</x:v>
      </x:c>
      <x:c r="B1142" s="60" t="str">
        <x:v>2025</x:v>
      </x:c>
      <x:c r="C1142" s="76" t="str">
        <x:v>Чистая величина заемных средств компании</x:v>
      </x:c>
      <x:c r="D1142" s="76" t="str">
        <x:v>ИТОГО — расчет</x:v>
      </x:c>
      <x:c r="E1142" s="77" t="n">
        <x:f>SUM(E1138:E1141)</x:f>
        <x:v>83847</x:v>
      </x:c>
      <x:c r="F1142" s="76" t="str">
        <x:v>UGLD_2026H1.pdf</x:v>
      </x:c>
      <x:c r="G1142" s="76" t="n">
        <x:v>31</x:v>
      </x:c>
      <x:c r="H1142" s="76"/>
      <x:c r="I1142" s="71" t="n">
        <x:v>83847</x:v>
      </x:c>
      <x:c r="J1142" s="71" t="n">
        <x:f>E1142-I1142</x:f>
        <x:v>0</x:v>
      </x:c>
      <x:c r="K1142" s="71" t="n">
        <x:f>SUM(E1138:E1141)</x:f>
        <x:v>83847</x:v>
      </x:c>
    </x:row>
    <x:row r="1143" ht="15" hidden="0" customHeight="1">
      <x:c r="C1143" s="73"/>
      <x:c r="D1143" s="73"/>
      <x:c r="E1143" s="74"/>
      <x:c r="F1143" s="73"/>
      <x:c r="G1143" s="73"/>
      <x:c r="H1143" s="73"/>
      <x:c r="I1143" s="69"/>
      <x:c r="J1143" s="69"/>
      <x:c r="K1143" s="69"/>
    </x:row>
    <x:row r="1144" ht="26.399999618530273" hidden="0" customHeight="1">
      <x:c r="A1144" t="str">
        <x:v>UGLD</x:v>
      </x:c>
      <x:c r="B1144" t="str">
        <x:v>1П2026</x:v>
      </x:c>
      <x:c r="C1144" s="73" t="str">
        <x:v>Чистая величина заемных средств компании</x:v>
      </x:c>
      <x:c r="D1144" s="73" t="str">
        <x:v>Кредиты в расчете компании</x:v>
      </x:c>
      <x:c r="E1144" s="74" t="n">
        <x:v>50211</x:v>
      </x:c>
      <x:c r="F1144" s="73" t="str">
        <x:v>UGLD_2026H1.pdf</x:v>
      </x:c>
      <x:c r="G1144" s="73" t="n">
        <x:v>31</x:v>
      </x:c>
      <x:c r="H1144" s="73" t="str">
        <x:v>Состав и сумма сверены с раскрытием компании</x:v>
      </x:c>
      <x:c r="I1144" s="69"/>
      <x:c r="J1144" s="69"/>
      <x:c r="K1144" s="69"/>
    </x:row>
    <x:row r="1145" ht="26.399999618530273" hidden="0" customHeight="1">
      <x:c r="A1145" t="str">
        <x:v>UGLD</x:v>
      </x:c>
      <x:c r="B1145" t="str">
        <x:v>1П2026</x:v>
      </x:c>
      <x:c r="C1145" s="73" t="str">
        <x:v>Чистая величина заемных средств компании</x:v>
      </x:c>
      <x:c r="D1145" s="73" t="str">
        <x:v>Облигации</x:v>
      </x:c>
      <x:c r="E1145" s="74" t="n">
        <x:v>18492</x:v>
      </x:c>
      <x:c r="F1145" s="73" t="str">
        <x:v>UGLD_2026H1.pdf</x:v>
      </x:c>
      <x:c r="G1145" s="73" t="n">
        <x:v>31</x:v>
      </x:c>
      <x:c r="H1145" s="73" t="str">
        <x:v>Состав и сумма сверены с раскрытием компании</x:v>
      </x:c>
      <x:c r="I1145" s="69"/>
      <x:c r="J1145" s="69"/>
      <x:c r="K1145" s="69"/>
    </x:row>
    <x:row r="1146" ht="26.399999618530273" hidden="0" customHeight="1">
      <x:c r="A1146" t="str">
        <x:v>UGLD</x:v>
      </x:c>
      <x:c r="B1146" t="str">
        <x:v>1П2026</x:v>
      </x:c>
      <x:c r="C1146" s="73" t="str">
        <x:v>Чистая величина заемных средств компании</x:v>
      </x:c>
      <x:c r="D1146" s="73" t="str">
        <x:v>Обязательства по аренде</x:v>
      </x:c>
      <x:c r="E1146" s="74" t="n">
        <x:v>4391</x:v>
      </x:c>
      <x:c r="F1146" s="73" t="str">
        <x:v>UGLD_2026H1.pdf</x:v>
      </x:c>
      <x:c r="G1146" s="73" t="n">
        <x:v>31</x:v>
      </x:c>
      <x:c r="H1146" s="73" t="str">
        <x:v>Состав и сумма сверены с раскрытием компании</x:v>
      </x:c>
      <x:c r="I1146" s="69"/>
      <x:c r="J1146" s="69"/>
      <x:c r="K1146" s="69"/>
    </x:row>
    <x:row r="1147" ht="26.399999618530273" hidden="0" customHeight="1">
      <x:c r="A1147" t="str">
        <x:v>UGLD</x:v>
      </x:c>
      <x:c r="B1147" t="str">
        <x:v>1П2026</x:v>
      </x:c>
      <x:c r="C1147" s="73" t="str">
        <x:v>Чистая величина заемных средств компании</x:v>
      </x:c>
      <x:c r="D1147" s="73" t="str">
        <x:v>Минус денежные средства</x:v>
      </x:c>
      <x:c r="E1147" s="74" t="n">
        <x:v>-3862</x:v>
      </x:c>
      <x:c r="F1147" s="73" t="str">
        <x:v>UGLD_2026H1.pdf</x:v>
      </x:c>
      <x:c r="G1147" s="73" t="n">
        <x:v>31</x:v>
      </x:c>
      <x:c r="H1147" s="73" t="str">
        <x:v>Состав и сумма сверены с раскрытием компании</x:v>
      </x:c>
      <x:c r="I1147" s="69"/>
      <x:c r="J1147" s="69"/>
      <x:c r="K1147" s="69"/>
    </x:row>
    <x:row r="1148" ht="26.399999618530273" hidden="0" customHeight="1">
      <x:c r="A1148" s="60" t="str">
        <x:v>UGLD</x:v>
      </x:c>
      <x:c r="B1148" s="60" t="str">
        <x:v>1П2026</x:v>
      </x:c>
      <x:c r="C1148" s="76" t="str">
        <x:v>Чистая величина заемных средств компании</x:v>
      </x:c>
      <x:c r="D1148" s="76" t="str">
        <x:v>ИТОГО — расчет</x:v>
      </x:c>
      <x:c r="E1148" s="77" t="n">
        <x:f>SUM(E1144:E1147)</x:f>
        <x:v>69232</x:v>
      </x:c>
      <x:c r="F1148" s="76" t="str">
        <x:v>UGLD_2026H1.pdf</x:v>
      </x:c>
      <x:c r="G1148" s="76" t="n">
        <x:v>31</x:v>
      </x:c>
      <x:c r="H1148" s="76"/>
      <x:c r="I1148" s="71" t="n">
        <x:v>69232</x:v>
      </x:c>
      <x:c r="J1148" s="71" t="n">
        <x:f>E1148-I1148</x:f>
        <x:v>0</x:v>
      </x:c>
      <x:c r="K1148" s="71" t="n">
        <x:f>SUM(E1144:E1147)</x:f>
        <x:v>69232</x:v>
      </x:c>
    </x:row>
    <x:row r="1149" ht="15" hidden="0" customHeight="1">
      <x:c r="C1149" s="73"/>
      <x:c r="D1149" s="73"/>
      <x:c r="E1149" s="74"/>
      <x:c r="F1149" s="73"/>
      <x:c r="G1149" s="73"/>
      <x:c r="H1149" s="73"/>
      <x:c r="I1149" s="69"/>
      <x:c r="J1149" s="69"/>
      <x:c r="K1149" s="69"/>
    </x:row>
    <x:row r="1150" ht="26.399999618530273" hidden="0" customHeight="1">
      <x:c r="A1150" t="str">
        <x:v>MAGN</x:v>
      </x:c>
      <x:c r="B1150" t="str">
        <x:v>2025</x:v>
      </x:c>
      <x:c r="C1150" s="73" t="str">
        <x:v>Чистый долг компании с вычетом банковских депозитов</x:v>
      </x:c>
      <x:c r="D1150" s="73" t="str">
        <x:v>Кредиты и займы</x:v>
      </x:c>
      <x:c r="E1150" s="74" t="n">
        <x:v>38314</x:v>
      </x:c>
      <x:c r="F1150" s="73" t="str">
        <x:v>MAGN_2026H1.pdf</x:v>
      </x:c>
      <x:c r="G1150" s="73" t="n">
        <x:v>19</x:v>
      </x:c>
      <x:c r="H1150" s="73" t="str">
        <x:v>Состав и сумма сверены с раскрытием компании</x:v>
      </x:c>
      <x:c r="I1150" s="69"/>
      <x:c r="J1150" s="69"/>
      <x:c r="K1150" s="69"/>
    </x:row>
    <x:row r="1151" ht="26.399999618530273" hidden="0" customHeight="1">
      <x:c r="A1151" t="str">
        <x:v>MAGN</x:v>
      </x:c>
      <x:c r="B1151" t="str">
        <x:v>2025</x:v>
      </x:c>
      <x:c r="C1151" s="73" t="str">
        <x:v>Чистый долг компании с вычетом банковских депозитов</x:v>
      </x:c>
      <x:c r="D1151" s="73" t="str">
        <x:v>Обязательства по аренде</x:v>
      </x:c>
      <x:c r="E1151" s="74" t="n">
        <x:v>2170</x:v>
      </x:c>
      <x:c r="F1151" s="73" t="str">
        <x:v>MAGN_2026H1.pdf</x:v>
      </x:c>
      <x:c r="G1151" s="73" t="n">
        <x:v>19</x:v>
      </x:c>
      <x:c r="H1151" s="73" t="str">
        <x:v>Состав и сумма сверены с раскрытием компании</x:v>
      </x:c>
      <x:c r="I1151" s="69"/>
      <x:c r="J1151" s="69"/>
      <x:c r="K1151" s="69"/>
    </x:row>
    <x:row r="1152" ht="26.399999618530273" hidden="0" customHeight="1">
      <x:c r="A1152" t="str">
        <x:v>MAGN</x:v>
      </x:c>
      <x:c r="B1152" t="str">
        <x:v>2025</x:v>
      </x:c>
      <x:c r="C1152" s="73" t="str">
        <x:v>Чистый долг компании с вычетом банковских депозитов</x:v>
      </x:c>
      <x:c r="D1152" s="73" t="str">
        <x:v>Минус денежные средства</x:v>
      </x:c>
      <x:c r="E1152" s="74" t="n">
        <x:v>-38107</x:v>
      </x:c>
      <x:c r="F1152" s="73" t="str">
        <x:v>MAGN_2026H1.pdf</x:v>
      </x:c>
      <x:c r="G1152" s="73" t="n">
        <x:v>19</x:v>
      </x:c>
      <x:c r="H1152" s="73" t="str">
        <x:v>Состав и сумма сверены с раскрытием компании</x:v>
      </x:c>
      <x:c r="I1152" s="69"/>
      <x:c r="J1152" s="69"/>
      <x:c r="K1152" s="69"/>
    </x:row>
    <x:row r="1153" ht="26.399999618530273" hidden="0" customHeight="1">
      <x:c r="A1153" t="str">
        <x:v>MAGN</x:v>
      </x:c>
      <x:c r="B1153" t="str">
        <x:v>2025</x:v>
      </x:c>
      <x:c r="C1153" s="73" t="str">
        <x:v>Чистый долг компании с вычетом банковских депозитов</x:v>
      </x:c>
      <x:c r="D1153" s="73" t="str">
        <x:v>Минус банковские депозиты</x:v>
      </x:c>
      <x:c r="E1153" s="74" t="n">
        <x:v>-82300</x:v>
      </x:c>
      <x:c r="F1153" s="73" t="str">
        <x:v>MAGN_2026H1.pdf</x:v>
      </x:c>
      <x:c r="G1153" s="73" t="n">
        <x:v>19</x:v>
      </x:c>
      <x:c r="H1153" s="73" t="str">
        <x:v>Состав и сумма сверены с раскрытием компании</x:v>
      </x:c>
      <x:c r="I1153" s="69"/>
      <x:c r="J1153" s="69"/>
      <x:c r="K1153" s="69"/>
    </x:row>
    <x:row r="1154" ht="26.399999618530273" hidden="0" customHeight="1">
      <x:c r="A1154" s="60" t="str">
        <x:v>MAGN</x:v>
      </x:c>
      <x:c r="B1154" s="60" t="str">
        <x:v>2025</x:v>
      </x:c>
      <x:c r="C1154" s="76" t="str">
        <x:v>Чистый долг компании с вычетом банковских депозитов</x:v>
      </x:c>
      <x:c r="D1154" s="76" t="str">
        <x:v>ИТОГО — расчет</x:v>
      </x:c>
      <x:c r="E1154" s="77" t="n">
        <x:f>SUM(E1150:E1153)</x:f>
        <x:v>-79923</x:v>
      </x:c>
      <x:c r="F1154" s="76" t="str">
        <x:v>MAGN_2026H1.pdf</x:v>
      </x:c>
      <x:c r="G1154" s="76" t="n">
        <x:v>19</x:v>
      </x:c>
      <x:c r="H1154" s="76"/>
      <x:c r="I1154" s="71" t="n">
        <x:v>-79923</x:v>
      </x:c>
      <x:c r="J1154" s="71" t="n">
        <x:f>E1154-I1154</x:f>
        <x:v>0</x:v>
      </x:c>
      <x:c r="K1154" s="71" t="n">
        <x:f>SUM(E1150:E1152)</x:f>
        <x:v>2377</x:v>
      </x:c>
    </x:row>
    <x:row r="1155" ht="15" hidden="0" customHeight="1">
      <x:c r="C1155" s="73"/>
      <x:c r="D1155" s="73"/>
      <x:c r="E1155" s="74"/>
      <x:c r="F1155" s="73"/>
      <x:c r="G1155" s="73"/>
      <x:c r="H1155" s="73"/>
      <x:c r="I1155" s="69"/>
      <x:c r="J1155" s="69"/>
      <x:c r="K1155" s="69"/>
    </x:row>
    <x:row r="1156" ht="26.399999618530273" hidden="0" customHeight="1">
      <x:c r="A1156" t="str">
        <x:v>MAGN</x:v>
      </x:c>
      <x:c r="B1156" t="str">
        <x:v>1П2026</x:v>
      </x:c>
      <x:c r="C1156" s="73" t="str">
        <x:v>Чистый долг компании с вычетом банковских депозитов</x:v>
      </x:c>
      <x:c r="D1156" s="73" t="str">
        <x:v>Кредиты и займы</x:v>
      </x:c>
      <x:c r="E1156" s="74" t="n">
        <x:v>52606</x:v>
      </x:c>
      <x:c r="F1156" s="73" t="str">
        <x:v>MAGN_2026H1.pdf</x:v>
      </x:c>
      <x:c r="G1156" s="73" t="n">
        <x:v>19</x:v>
      </x:c>
      <x:c r="H1156" s="73" t="str">
        <x:v>Состав и сумма сверены с раскрытием компании</x:v>
      </x:c>
      <x:c r="I1156" s="69"/>
      <x:c r="J1156" s="69"/>
      <x:c r="K1156" s="69"/>
    </x:row>
    <x:row r="1157" ht="26.399999618530273" hidden="0" customHeight="1">
      <x:c r="A1157" t="str">
        <x:v>MAGN</x:v>
      </x:c>
      <x:c r="B1157" t="str">
        <x:v>1П2026</x:v>
      </x:c>
      <x:c r="C1157" s="73" t="str">
        <x:v>Чистый долг компании с вычетом банковских депозитов</x:v>
      </x:c>
      <x:c r="D1157" s="73" t="str">
        <x:v>Обязательства по аренде</x:v>
      </x:c>
      <x:c r="E1157" s="74" t="n">
        <x:v>2259</x:v>
      </x:c>
      <x:c r="F1157" s="73" t="str">
        <x:v>MAGN_2026H1.pdf</x:v>
      </x:c>
      <x:c r="G1157" s="73" t="n">
        <x:v>19</x:v>
      </x:c>
      <x:c r="H1157" s="73" t="str">
        <x:v>Состав и сумма сверены с раскрытием компании</x:v>
      </x:c>
      <x:c r="I1157" s="69"/>
      <x:c r="J1157" s="69"/>
      <x:c r="K1157" s="69"/>
    </x:row>
    <x:row r="1158" ht="26.399999618530273" hidden="0" customHeight="1">
      <x:c r="A1158" t="str">
        <x:v>MAGN</x:v>
      </x:c>
      <x:c r="B1158" t="str">
        <x:v>1П2026</x:v>
      </x:c>
      <x:c r="C1158" s="73" t="str">
        <x:v>Чистый долг компании с вычетом банковских депозитов</x:v>
      </x:c>
      <x:c r="D1158" s="73" t="str">
        <x:v>Минус денежные средства</x:v>
      </x:c>
      <x:c r="E1158" s="74" t="n">
        <x:v>-19821</x:v>
      </x:c>
      <x:c r="F1158" s="73" t="str">
        <x:v>MAGN_2026H1.pdf</x:v>
      </x:c>
      <x:c r="G1158" s="73" t="n">
        <x:v>19</x:v>
      </x:c>
      <x:c r="H1158" s="73" t="str">
        <x:v>Состав и сумма сверены с раскрытием компании</x:v>
      </x:c>
      <x:c r="I1158" s="69"/>
      <x:c r="J1158" s="69"/>
      <x:c r="K1158" s="69"/>
    </x:row>
    <x:row r="1159" ht="26.399999618530273" hidden="0" customHeight="1">
      <x:c r="A1159" t="str">
        <x:v>MAGN</x:v>
      </x:c>
      <x:c r="B1159" t="str">
        <x:v>1П2026</x:v>
      </x:c>
      <x:c r="C1159" s="73" t="str">
        <x:v>Чистый долг компании с вычетом банковских депозитов</x:v>
      </x:c>
      <x:c r="D1159" s="73" t="str">
        <x:v>Минус банковские депозиты</x:v>
      </x:c>
      <x:c r="E1159" s="74" t="n">
        <x:v>-115776</x:v>
      </x:c>
      <x:c r="F1159" s="73" t="str">
        <x:v>MAGN_2026H1.pdf</x:v>
      </x:c>
      <x:c r="G1159" s="73" t="n">
        <x:v>19</x:v>
      </x:c>
      <x:c r="H1159" s="73" t="str">
        <x:v>Состав и сумма сверены с раскрытием компании</x:v>
      </x:c>
      <x:c r="I1159" s="69"/>
      <x:c r="J1159" s="69"/>
      <x:c r="K1159" s="69"/>
    </x:row>
    <x:row r="1160" ht="26.399999618530273" hidden="0" customHeight="1">
      <x:c r="A1160" s="60" t="str">
        <x:v>MAGN</x:v>
      </x:c>
      <x:c r="B1160" s="60" t="str">
        <x:v>1П2026</x:v>
      </x:c>
      <x:c r="C1160" s="76" t="str">
        <x:v>Чистый долг компании с вычетом банковских депозитов</x:v>
      </x:c>
      <x:c r="D1160" s="76" t="str">
        <x:v>ИТОГО — расчет</x:v>
      </x:c>
      <x:c r="E1160" s="77" t="n">
        <x:f>SUM(E1156:E1159)</x:f>
        <x:v>-80732</x:v>
      </x:c>
      <x:c r="F1160" s="76" t="str">
        <x:v>MAGN_2026H1.pdf</x:v>
      </x:c>
      <x:c r="G1160" s="76" t="n">
        <x:v>19</x:v>
      </x:c>
      <x:c r="H1160" s="76"/>
      <x:c r="I1160" s="71" t="n">
        <x:v>-80732</x:v>
      </x:c>
      <x:c r="J1160" s="71" t="n">
        <x:f>E1160-I1160</x:f>
        <x:v>0</x:v>
      </x:c>
      <x:c r="K1160" s="71" t="n">
        <x:f>SUM(E1156:E1158)</x:f>
        <x:v>35044</x:v>
      </x:c>
    </x:row>
    <x:row r="1161" ht="15" hidden="0" customHeight="1">
      <x:c r="C1161" s="73"/>
      <x:c r="D1161" s="73"/>
      <x:c r="E1161" s="74"/>
      <x:c r="F1161" s="73"/>
      <x:c r="G1161" s="73"/>
      <x:c r="H1161" s="73"/>
      <x:c r="I1161" s="69"/>
      <x:c r="J1161" s="69"/>
      <x:c r="K1161" s="69"/>
    </x:row>
    <x:row r="1162" ht="26.399999618530273" hidden="0" customHeight="1">
      <x:c r="A1162" t="str">
        <x:v>NLMK</x:v>
      </x:c>
      <x:c r="B1162" t="str">
        <x:v>1П2025</x:v>
      </x:c>
      <x:c r="C1162" s="73" t="str">
        <x:v>Капитал акционеров: общий капитал минус НКД</x:v>
      </x:c>
      <x:c r="D1162" s="73" t="str">
        <x:v>Общий капитал</x:v>
      </x:c>
      <x:c r="E1162" s="74" t="n">
        <x:v>865738</x:v>
      </x:c>
      <x:c r="F1162" s="73" t="str">
        <x:v>NLMK_2026H1.pdf</x:v>
      </x:c>
      <x:c r="G1162" s="73" t="n">
        <x:v>8</x:v>
      </x:c>
      <x:c r="H1162" s="73" t="str">
        <x:v>Состав и сумма сверены с раскрытием компании</x:v>
      </x:c>
      <x:c r="I1162" s="69"/>
      <x:c r="J1162" s="69"/>
      <x:c r="K1162" s="69"/>
    </x:row>
    <x:row r="1163" ht="26.399999618530273" hidden="0" customHeight="1">
      <x:c r="A1163" t="str">
        <x:v>NLMK</x:v>
      </x:c>
      <x:c r="B1163" t="str">
        <x:v>1П2025</x:v>
      </x:c>
      <x:c r="C1163" s="73" t="str">
        <x:v>Капитал акционеров: общий капитал минус НКД</x:v>
      </x:c>
      <x:c r="D1163" s="73" t="str">
        <x:v>Минус неконтролирующие доли</x:v>
      </x:c>
      <x:c r="E1163" s="74" t="n">
        <x:v>-325</x:v>
      </x:c>
      <x:c r="F1163" s="73" t="str">
        <x:v>NLMK_2026H1.pdf</x:v>
      </x:c>
      <x:c r="G1163" s="73" t="n">
        <x:v>8</x:v>
      </x:c>
      <x:c r="H1163" s="73" t="str">
        <x:v>Состав и сумма сверены с раскрытием компании</x:v>
      </x:c>
      <x:c r="I1163" s="69"/>
      <x:c r="J1163" s="69"/>
      <x:c r="K1163" s="69"/>
    </x:row>
    <x:row r="1164" ht="26.399999618530273" hidden="0" customHeight="1">
      <x:c r="A1164" s="60" t="str">
        <x:v>NLMK</x:v>
      </x:c>
      <x:c r="B1164" s="60" t="str">
        <x:v>1П2025</x:v>
      </x:c>
      <x:c r="C1164" s="76" t="str">
        <x:v>Капитал акционеров: общий капитал минус НКД</x:v>
      </x:c>
      <x:c r="D1164" s="76" t="str">
        <x:v>ИТОГО — расчет</x:v>
      </x:c>
      <x:c r="E1164" s="77" t="n">
        <x:f>SUM(E1162:E1163)</x:f>
        <x:v>865413</x:v>
      </x:c>
      <x:c r="F1164" s="76" t="str">
        <x:v>NLMK_2026H1.pdf</x:v>
      </x:c>
      <x:c r="G1164" s="76" t="n">
        <x:v>8</x:v>
      </x:c>
      <x:c r="H1164" s="76"/>
      <x:c r="I1164" s="71" t="n">
        <x:v>865413</x:v>
      </x:c>
      <x:c r="J1164" s="71" t="n">
        <x:f>E1164-I1164</x:f>
        <x:v>0</x:v>
      </x:c>
      <x:c r="K1164" s="71" t="n">
        <x:f>SUM(E1162:E1163)</x:f>
        <x:v>865413</x:v>
      </x:c>
    </x:row>
    <x:row r="1165" ht="15" hidden="0" customHeight="1">
      <x:c r="C1165" s="73"/>
      <x:c r="D1165" s="73"/>
      <x:c r="E1165" s="74"/>
      <x:c r="F1165" s="73"/>
      <x:c r="G1165" s="73"/>
      <x:c r="H1165" s="73"/>
      <x:c r="I1165" s="69"/>
      <x:c r="J1165" s="69"/>
      <x:c r="K1165" s="69"/>
    </x:row>
    <x:row r="1166" ht="26.399999618530273" hidden="0" customHeight="1">
      <x:c r="A1166" t="str">
        <x:v>CNRU</x:v>
      </x:c>
      <x:c r="B1166" t="str">
        <x:v>1П2025</x:v>
      </x:c>
      <x:c r="C1166" s="73" t="str">
        <x:v>Капитал акционеров: общий капитал минус НКД</x:v>
      </x:c>
      <x:c r="D1166" s="73" t="str">
        <x:v>Общий капитал</x:v>
      </x:c>
      <x:c r="E1166" s="74" t="n">
        <x:v>10996</x:v>
      </x:c>
      <x:c r="F1166" s="73" t="str">
        <x:v>CNRU_2026H1.pdf</x:v>
      </x:c>
      <x:c r="G1166" s="73" t="n">
        <x:v>6</x:v>
      </x:c>
      <x:c r="H1166" s="73" t="str">
        <x:v>Состав и сумма сверены с раскрытием компании</x:v>
      </x:c>
      <x:c r="I1166" s="69"/>
      <x:c r="J1166" s="69"/>
      <x:c r="K1166" s="69"/>
    </x:row>
    <x:row r="1167" ht="26.399999618530273" hidden="0" customHeight="1">
      <x:c r="A1167" t="str">
        <x:v>CNRU</x:v>
      </x:c>
      <x:c r="B1167" t="str">
        <x:v>1П2025</x:v>
      </x:c>
      <x:c r="C1167" s="73" t="str">
        <x:v>Капитал акционеров: общий капитал минус НКД</x:v>
      </x:c>
      <x:c r="D1167" s="73" t="str">
        <x:v>Минус неконтролирующие доли</x:v>
      </x:c>
      <x:c r="E1167" s="74" t="n">
        <x:v>-625</x:v>
      </x:c>
      <x:c r="F1167" s="73" t="str">
        <x:v>CNRU_2026H1.pdf</x:v>
      </x:c>
      <x:c r="G1167" s="73" t="n">
        <x:v>6</x:v>
      </x:c>
      <x:c r="H1167" s="73" t="str">
        <x:v>Состав и сумма сверены с раскрытием компании</x:v>
      </x:c>
      <x:c r="I1167" s="69"/>
      <x:c r="J1167" s="69"/>
      <x:c r="K1167" s="69"/>
    </x:row>
    <x:row r="1168" ht="26.399999618530273" hidden="0" customHeight="1">
      <x:c r="A1168" s="60" t="str">
        <x:v>CNRU</x:v>
      </x:c>
      <x:c r="B1168" s="60" t="str">
        <x:v>1П2025</x:v>
      </x:c>
      <x:c r="C1168" s="76" t="str">
        <x:v>Капитал акционеров: общий капитал минус НКД</x:v>
      </x:c>
      <x:c r="D1168" s="76" t="str">
        <x:v>ИТОГО — расчет</x:v>
      </x:c>
      <x:c r="E1168" s="77" t="n">
        <x:f>SUM(E1166:E1167)</x:f>
        <x:v>10371</x:v>
      </x:c>
      <x:c r="F1168" s="76" t="str">
        <x:v>CNRU_2026H1.pdf</x:v>
      </x:c>
      <x:c r="G1168" s="76" t="n">
        <x:v>6</x:v>
      </x:c>
      <x:c r="H1168" s="76"/>
      <x:c r="I1168" s="71" t="n">
        <x:v>10371</x:v>
      </x:c>
      <x:c r="J1168" s="71" t="n">
        <x:f>E1168-I1168</x:f>
        <x:v>0</x:v>
      </x:c>
      <x:c r="K1168" s="71" t="n">
        <x:f>SUM(E1166:E1167)</x:f>
        <x:v>10371</x:v>
      </x:c>
    </x:row>
    <x:row r="1169" ht="15" hidden="0" customHeight="1">
      <x:c r="C1169" s="73"/>
      <x:c r="D1169" s="73"/>
      <x:c r="E1169" s="74"/>
      <x:c r="F1169" s="73"/>
      <x:c r="G1169" s="73"/>
      <x:c r="H1169" s="73"/>
      <x:c r="I1169" s="69"/>
      <x:c r="J1169" s="69"/>
      <x:c r="K1169" s="69"/>
    </x:row>
    <x:row r="1170" ht="26.399999618530273" hidden="0" customHeight="1">
      <x:c r="A1170" t="str">
        <x:v>CNRU</x:v>
      </x:c>
      <x:c r="B1170" t="str">
        <x:v>1П2025</x:v>
      </x:c>
      <x:c r="C1170" s="73" t="str">
        <x:v>Скорр. EBITDA по методологии компании</x:v>
      </x:c>
      <x:c r="D1170" s="73" t="str">
        <x:v>Прибыль до налогообложения</x:v>
      </x:c>
      <x:c r="E1170" s="74" t="n">
        <x:v>1530</x:v>
      </x:c>
      <x:c r="F1170" s="73" t="str">
        <x:v>CNRU_2026H1.pdf</x:v>
      </x:c>
      <x:c r="G1170" s="73" t="n">
        <x:v>12</x:v>
      </x:c>
      <x:c r="H1170" s="73" t="str">
        <x:v>Состав и сумма сверены с раскрытием компании</x:v>
      </x:c>
      <x:c r="I1170" s="69"/>
      <x:c r="J1170" s="69"/>
      <x:c r="K1170" s="69"/>
    </x:row>
    <x:row r="1171" ht="26.399999618530273" hidden="0" customHeight="1">
      <x:c r="A1171" t="str">
        <x:v>CNRU</x:v>
      </x:c>
      <x:c r="B1171" t="str">
        <x:v>1П2025</x:v>
      </x:c>
      <x:c r="C1171" s="73" t="str">
        <x:v>Скорр. EBITDA по методологии компании</x:v>
      </x:c>
      <x:c r="D1171" s="73" t="str">
        <x:v>Амортизация</x:v>
      </x:c>
      <x:c r="E1171" s="74" t="n">
        <x:v>191</x:v>
      </x:c>
      <x:c r="F1171" s="73" t="str">
        <x:v>CNRU_2026H1.pdf</x:v>
      </x:c>
      <x:c r="G1171" s="73" t="n">
        <x:v>12</x:v>
      </x:c>
      <x:c r="H1171" s="73" t="str">
        <x:v>Состав и сумма сверены с раскрытием компании</x:v>
      </x:c>
      <x:c r="I1171" s="69"/>
      <x:c r="J1171" s="69"/>
      <x:c r="K1171" s="69"/>
    </x:row>
    <x:row r="1172" ht="26.399999618530273" hidden="0" customHeight="1">
      <x:c r="A1172" t="str">
        <x:v>CNRU</x:v>
      </x:c>
      <x:c r="B1172" t="str">
        <x:v>1П2025</x:v>
      </x:c>
      <x:c r="C1172" s="73" t="str">
        <x:v>Скорр. EBITDA по методологии компании</x:v>
      </x:c>
      <x:c r="D1172" s="73" t="str">
        <x:v>Минус финансовые доходы, нетто</x:v>
      </x:c>
      <x:c r="E1172" s="74" t="n">
        <x:v>-918</x:v>
      </x:c>
      <x:c r="F1172" s="73" t="str">
        <x:v>CNRU_2026H1.pdf</x:v>
      </x:c>
      <x:c r="G1172" s="73" t="n">
        <x:v>12</x:v>
      </x:c>
      <x:c r="H1172" s="73" t="str">
        <x:v>Состав и сумма сверены с раскрытием компании</x:v>
      </x:c>
      <x:c r="I1172" s="69"/>
      <x:c r="J1172" s="69"/>
      <x:c r="K1172" s="69"/>
    </x:row>
    <x:row r="1173" ht="26.399999618530273" hidden="0" customHeight="1">
      <x:c r="A1173" t="str">
        <x:v>CNRU</x:v>
      </x:c>
      <x:c r="B1173" t="str">
        <x:v>1П2025</x:v>
      </x:c>
      <x:c r="C1173" s="73" t="str">
        <x:v>Скорр. EBITDA по методологии компании</x:v>
      </x:c>
      <x:c r="D1173" s="73" t="str">
        <x:v>Курсовые убытки</x:v>
      </x:c>
      <x:c r="E1173" s="74" t="n">
        <x:v>577</x:v>
      </x:c>
      <x:c r="F1173" s="73" t="str">
        <x:v>CNRU_2026H1.pdf</x:v>
      </x:c>
      <x:c r="G1173" s="73" t="n">
        <x:v>12</x:v>
      </x:c>
      <x:c r="H1173" s="73" t="str">
        <x:v>Состав и сумма сверены с раскрытием компании</x:v>
      </x:c>
      <x:c r="I1173" s="69"/>
      <x:c r="J1173" s="69"/>
      <x:c r="K1173" s="69"/>
    </x:row>
    <x:row r="1174" ht="26.399999618530273" hidden="0" customHeight="1">
      <x:c r="A1174" t="str">
        <x:v>CNRU</x:v>
      </x:c>
      <x:c r="B1174" t="str">
        <x:v>1П2025</x:v>
      </x:c>
      <x:c r="C1174" s="73" t="str">
        <x:v>Скорр. EBITDA по методологии компании</x:v>
      </x:c>
      <x:c r="D1174" s="73" t="str">
        <x:v>Расходы на реструктуризацию</x:v>
      </x:c>
      <x:c r="E1174" s="74" t="n">
        <x:v>150</x:v>
      </x:c>
      <x:c r="F1174" s="73" t="str">
        <x:v>CNRU_2026H1.pdf</x:v>
      </x:c>
      <x:c r="G1174" s="73" t="n">
        <x:v>12</x:v>
      </x:c>
      <x:c r="H1174" s="73" t="str">
        <x:v>Состав и сумма сверены с раскрытием компании</x:v>
      </x:c>
      <x:c r="I1174" s="69"/>
      <x:c r="J1174" s="69"/>
      <x:c r="K1174" s="69"/>
    </x:row>
    <x:row r="1175" ht="26.399999618530273" hidden="0" customHeight="1">
      <x:c r="A1175" t="str">
        <x:v>CNRU</x:v>
      </x:c>
      <x:c r="B1175" t="str">
        <x:v>1П2025</x:v>
      </x:c>
      <x:c r="C1175" s="73" t="str">
        <x:v>Скорр. EBITDA по методологии компании</x:v>
      </x:c>
      <x:c r="D1175" s="73" t="str">
        <x:v>Вознаграждения акциями</x:v>
      </x:c>
      <x:c r="E1175" s="74" t="n">
        <x:v>88</x:v>
      </x:c>
      <x:c r="F1175" s="73" t="str">
        <x:v>CNRU_2026H1.pdf</x:v>
      </x:c>
      <x:c r="G1175" s="73" t="n">
        <x:v>12</x:v>
      </x:c>
      <x:c r="H1175" s="73" t="str">
        <x:v>Состав и сумма сверены с раскрытием компании</x:v>
      </x:c>
      <x:c r="I1175" s="69"/>
      <x:c r="J1175" s="69"/>
      <x:c r="K1175" s="69"/>
    </x:row>
    <x:row r="1176" ht="26.399999618530273" hidden="0" customHeight="1">
      <x:c r="A1176" s="60" t="str">
        <x:v>CNRU</x:v>
      </x:c>
      <x:c r="B1176" s="60" t="str">
        <x:v>1П2025</x:v>
      </x:c>
      <x:c r="C1176" s="76" t="str">
        <x:v>Скорр. EBITDA по методологии компании</x:v>
      </x:c>
      <x:c r="D1176" s="76" t="str">
        <x:v>ИТОГО — расчет</x:v>
      </x:c>
      <x:c r="E1176" s="77" t="n">
        <x:f>SUM(E1170:E1175)</x:f>
        <x:v>1618</x:v>
      </x:c>
      <x:c r="F1176" s="76" t="str">
        <x:v>CNRU_2026H1.pdf</x:v>
      </x:c>
      <x:c r="G1176" s="76" t="n">
        <x:v>12</x:v>
      </x:c>
      <x:c r="H1176" s="76"/>
      <x:c r="I1176" s="71" t="n">
        <x:v>1618</x:v>
      </x:c>
      <x:c r="J1176" s="71" t="n">
        <x:f>E1176-I1176</x:f>
        <x:v>0</x:v>
      </x:c>
      <x:c r="K1176" s="71" t="n">
        <x:f>SUM(E1170:E1172)</x:f>
        <x:v>803</x:v>
      </x:c>
    </x:row>
    <x:row r="1177" ht="15" hidden="0" customHeight="1">
      <x:c r="C1177" s="73"/>
      <x:c r="D1177" s="73"/>
      <x:c r="E1177" s="74"/>
      <x:c r="F1177" s="73"/>
      <x:c r="G1177" s="73"/>
      <x:c r="H1177" s="73"/>
      <x:c r="I1177" s="69"/>
      <x:c r="J1177" s="69"/>
      <x:c r="K1177" s="69"/>
    </x:row>
    <x:row r="1178" ht="26.399999618530273" hidden="0" customHeight="1">
      <x:c r="A1178" t="str">
        <x:v>CNRU</x:v>
      </x:c>
      <x:c r="B1178" t="str">
        <x:v>1П2026</x:v>
      </x:c>
      <x:c r="C1178" s="73" t="str">
        <x:v>Скорр. EBITDA по методологии компании</x:v>
      </x:c>
      <x:c r="D1178" s="73" t="str">
        <x:v>Прибыль до налогообложения</x:v>
      </x:c>
      <x:c r="E1178" s="74" t="n">
        <x:v>2810</x:v>
      </x:c>
      <x:c r="F1178" s="73" t="str">
        <x:v>CNRU_2026H1.pdf</x:v>
      </x:c>
      <x:c r="G1178" s="73" t="n">
        <x:v>11</x:v>
      </x:c>
      <x:c r="H1178" s="73" t="str">
        <x:v>Состав и сумма сверены с раскрытием компании</x:v>
      </x:c>
      <x:c r="I1178" s="69"/>
      <x:c r="J1178" s="69"/>
      <x:c r="K1178" s="69"/>
    </x:row>
    <x:row r="1179" ht="26.399999618530273" hidden="0" customHeight="1">
      <x:c r="A1179" t="str">
        <x:v>CNRU</x:v>
      </x:c>
      <x:c r="B1179" t="str">
        <x:v>1П2026</x:v>
      </x:c>
      <x:c r="C1179" s="73" t="str">
        <x:v>Скорр. EBITDA по методологии компании</x:v>
      </x:c>
      <x:c r="D1179" s="73" t="str">
        <x:v>Амортизация</x:v>
      </x:c>
      <x:c r="E1179" s="74" t="n">
        <x:v>176</x:v>
      </x:c>
      <x:c r="F1179" s="73" t="str">
        <x:v>CNRU_2026H1.pdf</x:v>
      </x:c>
      <x:c r="G1179" s="73" t="n">
        <x:v>11</x:v>
      </x:c>
      <x:c r="H1179" s="73" t="str">
        <x:v>Состав и сумма сверены с раскрытием компании</x:v>
      </x:c>
      <x:c r="I1179" s="69"/>
      <x:c r="J1179" s="69"/>
      <x:c r="K1179" s="69"/>
    </x:row>
    <x:row r="1180" ht="26.399999618530273" hidden="0" customHeight="1">
      <x:c r="A1180" t="str">
        <x:v>CNRU</x:v>
      </x:c>
      <x:c r="B1180" t="str">
        <x:v>1П2026</x:v>
      </x:c>
      <x:c r="C1180" s="73" t="str">
        <x:v>Скорр. EBITDA по методологии компании</x:v>
      </x:c>
      <x:c r="D1180" s="73" t="str">
        <x:v>Минус финансовые доходы, нетто</x:v>
      </x:c>
      <x:c r="E1180" s="74" t="n">
        <x:v>-412</x:v>
      </x:c>
      <x:c r="F1180" s="73" t="str">
        <x:v>CNRU_2026H1.pdf</x:v>
      </x:c>
      <x:c r="G1180" s="73" t="n">
        <x:v>11</x:v>
      </x:c>
      <x:c r="H1180" s="73" t="str">
        <x:v>Состав и сумма сверены с раскрытием компании</x:v>
      </x:c>
      <x:c r="I1180" s="69"/>
      <x:c r="J1180" s="69"/>
      <x:c r="K1180" s="69"/>
    </x:row>
    <x:row r="1181" ht="26.399999618530273" hidden="0" customHeight="1">
      <x:c r="A1181" t="str">
        <x:v>CNRU</x:v>
      </x:c>
      <x:c r="B1181" t="str">
        <x:v>1П2026</x:v>
      </x:c>
      <x:c r="C1181" s="73" t="str">
        <x:v>Скорр. EBITDA по методологии компании</x:v>
      </x:c>
      <x:c r="D1181" s="73" t="str">
        <x:v>Курсовые убытки</x:v>
      </x:c>
      <x:c r="E1181" s="74" t="n">
        <x:v>1</x:v>
      </x:c>
      <x:c r="F1181" s="73" t="str">
        <x:v>CNRU_2026H1.pdf</x:v>
      </x:c>
      <x:c r="G1181" s="73" t="n">
        <x:v>11</x:v>
      </x:c>
      <x:c r="H1181" s="73" t="str">
        <x:v>Состав и сумма сверены с раскрытием компании</x:v>
      </x:c>
      <x:c r="I1181" s="69"/>
      <x:c r="J1181" s="69"/>
      <x:c r="K1181" s="69"/>
    </x:row>
    <x:row r="1182" ht="26.399999618530273" hidden="0" customHeight="1">
      <x:c r="A1182" t="str">
        <x:v>CNRU</x:v>
      </x:c>
      <x:c r="B1182" t="str">
        <x:v>1П2026</x:v>
      </x:c>
      <x:c r="C1182" s="73" t="str">
        <x:v>Скорр. EBITDA по методологии компании</x:v>
      </x:c>
      <x:c r="D1182" s="73" t="str">
        <x:v>Расходы на реструктуризацию</x:v>
      </x:c>
      <x:c r="E1182" s="74" t="n">
        <x:v>31</x:v>
      </x:c>
      <x:c r="F1182" s="73" t="str">
        <x:v>CNRU_2026H1.pdf</x:v>
      </x:c>
      <x:c r="G1182" s="73" t="n">
        <x:v>11</x:v>
      </x:c>
      <x:c r="H1182" s="73" t="str">
        <x:v>Состав и сумма сверены с раскрытием компании</x:v>
      </x:c>
      <x:c r="I1182" s="69"/>
      <x:c r="J1182" s="69"/>
      <x:c r="K1182" s="69"/>
    </x:row>
    <x:row r="1183" ht="26.399999618530273" hidden="0" customHeight="1">
      <x:c r="A1183" t="str">
        <x:v>CNRU</x:v>
      </x:c>
      <x:c r="B1183" t="str">
        <x:v>1П2026</x:v>
      </x:c>
      <x:c r="C1183" s="73" t="str">
        <x:v>Скорр. EBITDA по методологии компании</x:v>
      </x:c>
      <x:c r="D1183" s="73" t="str">
        <x:v>Вознаграждения акциями</x:v>
      </x:c>
      <x:c r="E1183" s="74" t="n">
        <x:v>115</x:v>
      </x:c>
      <x:c r="F1183" s="73" t="str">
        <x:v>CNRU_2026H1.pdf</x:v>
      </x:c>
      <x:c r="G1183" s="73" t="n">
        <x:v>11</x:v>
      </x:c>
      <x:c r="H1183" s="73" t="str">
        <x:v>Состав и сумма сверены с раскрытием компании</x:v>
      </x:c>
      <x:c r="I1183" s="69"/>
      <x:c r="J1183" s="69"/>
      <x:c r="K1183" s="69"/>
    </x:row>
    <x:row r="1184" ht="26.399999618530273" hidden="0" customHeight="1">
      <x:c r="A1184" s="60" t="str">
        <x:v>CNRU</x:v>
      </x:c>
      <x:c r="B1184" s="60" t="str">
        <x:v>1П2026</x:v>
      </x:c>
      <x:c r="C1184" s="76" t="str">
        <x:v>Скорр. EBITDA по методологии компании</x:v>
      </x:c>
      <x:c r="D1184" s="76" t="str">
        <x:v>ИТОГО — расчет</x:v>
      </x:c>
      <x:c r="E1184" s="77" t="n">
        <x:f>SUM(E1178:E1183)</x:f>
        <x:v>2721</x:v>
      </x:c>
      <x:c r="F1184" s="76" t="str">
        <x:v>CNRU_2026H1.pdf</x:v>
      </x:c>
      <x:c r="G1184" s="76" t="n">
        <x:v>11</x:v>
      </x:c>
      <x:c r="H1184" s="76"/>
      <x:c r="I1184" s="71" t="n">
        <x:v>2721</x:v>
      </x:c>
      <x:c r="J1184" s="71" t="n">
        <x:f>E1184-I1184</x:f>
        <x:v>0</x:v>
      </x:c>
      <x:c r="K1184" s="71" t="n">
        <x:f>SUM(E1178:E1180)</x:f>
        <x:v>2574</x:v>
      </x:c>
    </x:row>
    <x:row r="1185" ht="15" hidden="0" customHeight="1">
      <x:c r="C1185" s="73"/>
      <x:c r="D1185" s="73"/>
      <x:c r="E1185" s="74"/>
      <x:c r="F1185" s="73"/>
      <x:c r="G1185" s="73"/>
      <x:c r="H1185" s="73"/>
      <x:c r="I1185" s="69"/>
      <x:c r="J1185" s="69"/>
      <x:c r="K1185" s="69"/>
    </x:row>
    <x:row r="1186" ht="26.399999618530273" hidden="0" customHeight="1">
      <x:c r="A1186" t="str">
        <x:v>PHOR</x:v>
      </x:c>
      <x:c r="B1186" t="str">
        <x:v>2025</x:v>
      </x:c>
      <x:c r="C1186" s="73" t="str">
        <x:v>EBITDA: операционная прибыль + амортизация</x:v>
      </x:c>
      <x:c r="D1186" s="73" t="str">
        <x:v>Прибыль от операционной деятельности</x:v>
      </x:c>
      <x:c r="E1186" s="74" t="n">
        <x:v>135605</x:v>
      </x:c>
      <x:c r="F1186" s="73" t="str">
        <x:v>Фосагро_МСФО_2025.pdf</x:v>
      </x:c>
      <x:c r="G1186" s="73" t="n">
        <x:v>10</x:v>
      </x:c>
      <x:c r="H1186" s="73" t="str">
        <x:v>Состав и сумма сверены с раскрытием компании</x:v>
      </x:c>
      <x:c r="I1186" s="69"/>
      <x:c r="J1186" s="69"/>
      <x:c r="K1186" s="69"/>
    </x:row>
    <x:row r="1187" ht="26.399999618530273" hidden="0" customHeight="1">
      <x:c r="A1187" t="str">
        <x:v>PHOR</x:v>
      </x:c>
      <x:c r="B1187" t="str">
        <x:v>2025</x:v>
      </x:c>
      <x:c r="C1187" s="73" t="str">
        <x:v>EBITDA: операционная прибыль + амортизация</x:v>
      </x:c>
      <x:c r="D1187" s="73" t="str">
        <x:v>Амортизация</x:v>
      </x:c>
      <x:c r="E1187" s="74" t="n">
        <x:v>40712</x:v>
      </x:c>
      <x:c r="F1187" s="73" t="str">
        <x:v>Фосагро_МСФО_2025.pdf</x:v>
      </x:c>
      <x:c r="G1187" s="73" t="n">
        <x:v>10</x:v>
      </x:c>
      <x:c r="H1187" s="73" t="str">
        <x:v>Состав и сумма сверены с раскрытием компании</x:v>
      </x:c>
      <x:c r="I1187" s="69"/>
      <x:c r="J1187" s="69"/>
      <x:c r="K1187" s="69"/>
    </x:row>
    <x:row r="1188" ht="26.399999618530273" hidden="0" customHeight="1">
      <x:c r="A1188" s="60" t="str">
        <x:v>PHOR</x:v>
      </x:c>
      <x:c r="B1188" s="60" t="str">
        <x:v>2025</x:v>
      </x:c>
      <x:c r="C1188" s="76" t="str">
        <x:v>EBITDA: операционная прибыль + амортизация</x:v>
      </x:c>
      <x:c r="D1188" s="76" t="str">
        <x:v>ИТОГО — расчет</x:v>
      </x:c>
      <x:c r="E1188" s="77" t="n">
        <x:f>SUM(E1186:E1187)</x:f>
        <x:v>176317</x:v>
      </x:c>
      <x:c r="F1188" s="76" t="str">
        <x:v>Фосагро_МСФО_2025.pdf</x:v>
      </x:c>
      <x:c r="G1188" s="76" t="n">
        <x:v>10</x:v>
      </x:c>
      <x:c r="H1188" s="76"/>
      <x:c r="I1188" s="71" t="n">
        <x:v>176317</x:v>
      </x:c>
      <x:c r="J1188" s="71" t="n">
        <x:f>E1188-I1188</x:f>
        <x:v>0</x:v>
      </x:c>
      <x:c r="K1188" s="71" t="n">
        <x:f>SUM(E1186:E1187)</x:f>
        <x:v>176317</x:v>
      </x:c>
    </x:row>
    <x:row r="1189" ht="15" hidden="0" customHeight="1">
      <x:c r="C1189" s="73"/>
      <x:c r="D1189" s="73"/>
      <x:c r="E1189" s="74"/>
      <x:c r="F1189" s="73"/>
      <x:c r="G1189" s="73"/>
      <x:c r="H1189" s="73"/>
      <x:c r="I1189" s="69"/>
      <x:c r="J1189" s="69"/>
      <x:c r="K1189" s="69"/>
    </x:row>
    <x:row r="1190" ht="26.399999618530273" hidden="0" customHeight="1">
      <x:c r="A1190" t="str">
        <x:v>PHOR</x:v>
      </x:c>
      <x:c r="B1190" t="str">
        <x:v>2025</x:v>
      </x:c>
      <x:c r="C1190" s="73" t="str">
        <x:v>Скорр. EBITDA без операционных курсовых разниц</x:v>
      </x:c>
      <x:c r="D1190" s="73" t="str">
        <x:v>Прибыль от операционной деятельности</x:v>
      </x:c>
      <x:c r="E1190" s="74" t="n">
        <x:v>135605</x:v>
      </x:c>
      <x:c r="F1190" s="73" t="str">
        <x:v>Фосагро_МСФО_2025.pdf</x:v>
      </x:c>
      <x:c r="G1190" s="73" t="n">
        <x:v>10</x:v>
      </x:c>
      <x:c r="H1190" s="73" t="str">
        <x:v>Состав и сумма сверены с раскрытием компании</x:v>
      </x:c>
      <x:c r="I1190" s="69"/>
      <x:c r="J1190" s="69"/>
      <x:c r="K1190" s="69"/>
    </x:row>
    <x:row r="1191" ht="26.399999618530273" hidden="0" customHeight="1">
      <x:c r="A1191" t="str">
        <x:v>PHOR</x:v>
      </x:c>
      <x:c r="B1191" t="str">
        <x:v>2025</x:v>
      </x:c>
      <x:c r="C1191" s="73" t="str">
        <x:v>Скорр. EBITDA без операционных курсовых разниц</x:v>
      </x:c>
      <x:c r="D1191" s="73" t="str">
        <x:v>Амортизация</x:v>
      </x:c>
      <x:c r="E1191" s="74" t="n">
        <x:v>40712</x:v>
      </x:c>
      <x:c r="F1191" s="73" t="str">
        <x:v>Фосагро_МСФО_2025.pdf</x:v>
      </x:c>
      <x:c r="G1191" s="73" t="n">
        <x:v>10</x:v>
      </x:c>
      <x:c r="H1191" s="73" t="str">
        <x:v>Состав и сумма сверены с раскрытием компании</x:v>
      </x:c>
      <x:c r="I1191" s="69"/>
      <x:c r="J1191" s="69"/>
      <x:c r="K1191" s="69"/>
    </x:row>
    <x:row r="1192" ht="26.399999618530273" hidden="0" customHeight="1">
      <x:c r="A1192" t="str">
        <x:v>PHOR</x:v>
      </x:c>
      <x:c r="B1192" t="str">
        <x:v>2025</x:v>
      </x:c>
      <x:c r="C1192" s="73" t="str">
        <x:v>Скорр. EBITDA без операционных курсовых разниц</x:v>
      </x:c>
      <x:c r="D1192" s="73" t="str">
        <x:v>Операционные курсовые убытки</x:v>
      </x:c>
      <x:c r="E1192" s="74" t="n">
        <x:v>23131</x:v>
      </x:c>
      <x:c r="F1192" s="73" t="str">
        <x:v>Фосагро_МСФО_2025.pdf</x:v>
      </x:c>
      <x:c r="G1192" s="73" t="n">
        <x:v>38</x:v>
      </x:c>
      <x:c r="H1192" s="73" t="str">
        <x:v>Состав и сумма сверены с раскрытием компании</x:v>
      </x:c>
      <x:c r="I1192" s="69"/>
      <x:c r="J1192" s="69"/>
      <x:c r="K1192" s="69"/>
    </x:row>
    <x:row r="1193" ht="26.399999618530273" hidden="0" customHeight="1">
      <x:c r="A1193" s="60" t="str">
        <x:v>PHOR</x:v>
      </x:c>
      <x:c r="B1193" s="60" t="str">
        <x:v>2025</x:v>
      </x:c>
      <x:c r="C1193" s="76" t="str">
        <x:v>Скорр. EBITDA без операционных курсовых разниц</x:v>
      </x:c>
      <x:c r="D1193" s="76" t="str">
        <x:v>ИТОГО — расчет</x:v>
      </x:c>
      <x:c r="E1193" s="77" t="n">
        <x:f>SUM(E1190:E1192)</x:f>
        <x:v>199448</x:v>
      </x:c>
      <x:c r="F1193" s="76" t="str">
        <x:v>Фосагро_МСФО_2025.pdf</x:v>
      </x:c>
      <x:c r="G1193" s="76" t="n">
        <x:v>10</x:v>
      </x:c>
      <x:c r="H1193" s="76"/>
      <x:c r="I1193" s="71" t="n">
        <x:v>199448</x:v>
      </x:c>
      <x:c r="J1193" s="71" t="n">
        <x:f>E1193-I1193</x:f>
        <x:v>0</x:v>
      </x:c>
      <x:c r="K1193" s="71" t="n">
        <x:f>SUM(E1190:E1191)</x:f>
        <x:v>176317</x:v>
      </x:c>
    </x:row>
    <x:row r="1194" ht="15" hidden="0" customHeight="1">
      <x:c r="C1194" s="73"/>
      <x:c r="D1194" s="73"/>
      <x:c r="E1194" s="74"/>
      <x:c r="F1194" s="73"/>
      <x:c r="G1194" s="73"/>
      <x:c r="H1194" s="73"/>
      <x:c r="I1194" s="69"/>
      <x:c r="J1194" s="69"/>
      <x:c r="K1194" s="69"/>
    </x:row>
    <x:row r="1195" ht="26.399999618530273" hidden="0" customHeight="1">
      <x:c r="A1195" t="str">
        <x:v>PHOR</x:v>
      </x:c>
      <x:c r="B1195" t="str">
        <x:v>1П2025</x:v>
      </x:c>
      <x:c r="C1195" s="73" t="str">
        <x:v>EBITDA: операционная прибыль + амортизация</x:v>
      </x:c>
      <x:c r="D1195" s="73" t="str">
        <x:v>Прибыль от операционной деятельности</x:v>
      </x:c>
      <x:c r="E1195" s="74" t="n">
        <x:v>74846</x:v>
      </x:c>
      <x:c r="F1195" s="73" t="str">
        <x:v>PHOR_2026H1.pdf</x:v>
      </x:c>
      <x:c r="G1195" s="73" t="n">
        <x:v>7</x:v>
      </x:c>
      <x:c r="H1195" s="73" t="str">
        <x:v>Состав и сумма сверены с раскрытием компании</x:v>
      </x:c>
      <x:c r="I1195" s="69"/>
      <x:c r="J1195" s="69"/>
      <x:c r="K1195" s="69"/>
    </x:row>
    <x:row r="1196" ht="26.399999618530273" hidden="0" customHeight="1">
      <x:c r="A1196" t="str">
        <x:v>PHOR</x:v>
      </x:c>
      <x:c r="B1196" t="str">
        <x:v>1П2025</x:v>
      </x:c>
      <x:c r="C1196" s="73" t="str">
        <x:v>EBITDA: операционная прибыль + амортизация</x:v>
      </x:c>
      <x:c r="D1196" s="73" t="str">
        <x:v>Амортизация</x:v>
      </x:c>
      <x:c r="E1196" s="74" t="n">
        <x:v>19749</x:v>
      </x:c>
      <x:c r="F1196" s="73" t="str">
        <x:v>PHOR_2026H1.pdf</x:v>
      </x:c>
      <x:c r="G1196" s="73" t="n">
        <x:v>7</x:v>
      </x:c>
      <x:c r="H1196" s="73" t="str">
        <x:v>Состав и сумма сверены с раскрытием компании</x:v>
      </x:c>
      <x:c r="I1196" s="69"/>
      <x:c r="J1196" s="69"/>
      <x:c r="K1196" s="69"/>
    </x:row>
    <x:row r="1197" ht="26.399999618530273" hidden="0" customHeight="1">
      <x:c r="A1197" s="60" t="str">
        <x:v>PHOR</x:v>
      </x:c>
      <x:c r="B1197" s="60" t="str">
        <x:v>1П2025</x:v>
      </x:c>
      <x:c r="C1197" s="76" t="str">
        <x:v>EBITDA: операционная прибыль + амортизация</x:v>
      </x:c>
      <x:c r="D1197" s="76" t="str">
        <x:v>ИТОГО — расчет</x:v>
      </x:c>
      <x:c r="E1197" s="77" t="n">
        <x:f>SUM(E1195:E1196)</x:f>
        <x:v>94595</x:v>
      </x:c>
      <x:c r="F1197" s="76" t="str">
        <x:v>PHOR_2026H1.pdf</x:v>
      </x:c>
      <x:c r="G1197" s="76" t="n">
        <x:v>7</x:v>
      </x:c>
      <x:c r="H1197" s="76"/>
      <x:c r="I1197" s="71" t="n">
        <x:v>94595</x:v>
      </x:c>
      <x:c r="J1197" s="71" t="n">
        <x:f>E1197-I1197</x:f>
        <x:v>0</x:v>
      </x:c>
      <x:c r="K1197" s="71" t="n">
        <x:f>SUM(E1195:E1196)</x:f>
        <x:v>94595</x:v>
      </x:c>
    </x:row>
    <x:row r="1198" ht="15" hidden="0" customHeight="1">
      <x:c r="C1198" s="73"/>
      <x:c r="D1198" s="73"/>
      <x:c r="E1198" s="74"/>
      <x:c r="F1198" s="73"/>
      <x:c r="G1198" s="73"/>
      <x:c r="H1198" s="73"/>
      <x:c r="I1198" s="69"/>
      <x:c r="J1198" s="69"/>
      <x:c r="K1198" s="69"/>
    </x:row>
    <x:row r="1199" ht="26.399999618530273" hidden="0" customHeight="1">
      <x:c r="A1199" t="str">
        <x:v>PHOR</x:v>
      </x:c>
      <x:c r="B1199" t="str">
        <x:v>1П2025</x:v>
      </x:c>
      <x:c r="C1199" s="73" t="str">
        <x:v>Скорр. EBITDA без операционных курсовых разниц</x:v>
      </x:c>
      <x:c r="D1199" s="73" t="str">
        <x:v>Прибыль от операционной деятельности</x:v>
      </x:c>
      <x:c r="E1199" s="74" t="n">
        <x:v>74846</x:v>
      </x:c>
      <x:c r="F1199" s="73" t="str">
        <x:v>PHOR_2026H1.pdf</x:v>
      </x:c>
      <x:c r="G1199" s="73" t="n">
        <x:v>7</x:v>
      </x:c>
      <x:c r="H1199" s="73" t="str">
        <x:v>Состав и сумма сверены с раскрытием компании</x:v>
      </x:c>
      <x:c r="I1199" s="69"/>
      <x:c r="J1199" s="69"/>
      <x:c r="K1199" s="69"/>
    </x:row>
    <x:row r="1200" ht="26.399999618530273" hidden="0" customHeight="1">
      <x:c r="A1200" t="str">
        <x:v>PHOR</x:v>
      </x:c>
      <x:c r="B1200" t="str">
        <x:v>1П2025</x:v>
      </x:c>
      <x:c r="C1200" s="73" t="str">
        <x:v>Скорр. EBITDA без операционных курсовых разниц</x:v>
      </x:c>
      <x:c r="D1200" s="73" t="str">
        <x:v>Амортизация</x:v>
      </x:c>
      <x:c r="E1200" s="74" t="n">
        <x:v>19749</x:v>
      </x:c>
      <x:c r="F1200" s="73" t="str">
        <x:v>PHOR_2026H1.pdf</x:v>
      </x:c>
      <x:c r="G1200" s="73" t="n">
        <x:v>7</x:v>
      </x:c>
      <x:c r="H1200" s="73" t="str">
        <x:v>Состав и сумма сверены с раскрытием компании</x:v>
      </x:c>
      <x:c r="I1200" s="69"/>
      <x:c r="J1200" s="69"/>
      <x:c r="K1200" s="69"/>
    </x:row>
    <x:row r="1201" ht="26.399999618530273" hidden="0" customHeight="1">
      <x:c r="A1201" t="str">
        <x:v>PHOR</x:v>
      </x:c>
      <x:c r="B1201" t="str">
        <x:v>1П2025</x:v>
      </x:c>
      <x:c r="C1201" s="73" t="str">
        <x:v>Скорр. EBITDA без операционных курсовых разниц</x:v>
      </x:c>
      <x:c r="D1201" s="73" t="str">
        <x:v>Операционные курсовые убытки</x:v>
      </x:c>
      <x:c r="E1201" s="74" t="n">
        <x:v>20682</x:v>
      </x:c>
      <x:c r="F1201" s="73" t="str">
        <x:v>PHOR_2026H1.pdf</x:v>
      </x:c>
      <x:c r="G1201" s="73" t="n">
        <x:v>5</x:v>
      </x:c>
      <x:c r="H1201" s="73" t="str">
        <x:v>Состав и сумма сверены с раскрытием компании</x:v>
      </x:c>
      <x:c r="I1201" s="69"/>
      <x:c r="J1201" s="69"/>
      <x:c r="K1201" s="69"/>
    </x:row>
    <x:row r="1202" ht="26.399999618530273" hidden="0" customHeight="1">
      <x:c r="A1202" s="60" t="str">
        <x:v>PHOR</x:v>
      </x:c>
      <x:c r="B1202" s="60" t="str">
        <x:v>1П2025</x:v>
      </x:c>
      <x:c r="C1202" s="76" t="str">
        <x:v>Скорр. EBITDA без операционных курсовых разниц</x:v>
      </x:c>
      <x:c r="D1202" s="76" t="str">
        <x:v>ИТОГО — расчет</x:v>
      </x:c>
      <x:c r="E1202" s="77" t="n">
        <x:f>SUM(E1199:E1201)</x:f>
        <x:v>115277</x:v>
      </x:c>
      <x:c r="F1202" s="76" t="str">
        <x:v>PHOR_2026H1.pdf</x:v>
      </x:c>
      <x:c r="G1202" s="76" t="n">
        <x:v>7</x:v>
      </x:c>
      <x:c r="H1202" s="76"/>
      <x:c r="I1202" s="71" t="n">
        <x:v>115277</x:v>
      </x:c>
      <x:c r="J1202" s="71" t="n">
        <x:f>E1202-I1202</x:f>
        <x:v>0</x:v>
      </x:c>
      <x:c r="K1202" s="71" t="n">
        <x:f>SUM(E1199:E1200)</x:f>
        <x:v>94595</x:v>
      </x:c>
    </x:row>
    <x:row r="1203" ht="15" hidden="0" customHeight="1">
      <x:c r="C1203" s="73"/>
      <x:c r="D1203" s="73"/>
      <x:c r="E1203" s="74"/>
      <x:c r="F1203" s="73"/>
      <x:c r="G1203" s="73"/>
      <x:c r="H1203" s="73"/>
      <x:c r="I1203" s="69"/>
      <x:c r="J1203" s="69"/>
      <x:c r="K1203" s="69"/>
    </x:row>
    <x:row r="1204" ht="26.399999618530273" hidden="0" customHeight="1">
      <x:c r="A1204" t="str">
        <x:v>PHOR</x:v>
      </x:c>
      <x:c r="B1204" t="str">
        <x:v>1П2026</x:v>
      </x:c>
      <x:c r="C1204" s="73" t="str">
        <x:v>EBITDA: операционная прибыль + амортизация</x:v>
      </x:c>
      <x:c r="D1204" s="73" t="str">
        <x:v>Прибыль от операционной деятельности</x:v>
      </x:c>
      <x:c r="E1204" s="74" t="n">
        <x:v>37881</x:v>
      </x:c>
      <x:c r="F1204" s="73" t="str">
        <x:v>PHOR_2026H1.pdf</x:v>
      </x:c>
      <x:c r="G1204" s="73" t="n">
        <x:v>7</x:v>
      </x:c>
      <x:c r="H1204" s="73" t="str">
        <x:v>Аналитический расчет по ранее раскрытой методологии; опубликованный итог периода не подтвержден</x:v>
      </x:c>
      <x:c r="I1204" s="69"/>
      <x:c r="J1204" s="69"/>
      <x:c r="K1204" s="69"/>
    </x:row>
    <x:row r="1205" ht="26.399999618530273" hidden="0" customHeight="1">
      <x:c r="A1205" t="str">
        <x:v>PHOR</x:v>
      </x:c>
      <x:c r="B1205" t="str">
        <x:v>1П2026</x:v>
      </x:c>
      <x:c r="C1205" s="73" t="str">
        <x:v>EBITDA: операционная прибыль + амортизация</x:v>
      </x:c>
      <x:c r="D1205" s="73" t="str">
        <x:v>Амортизация</x:v>
      </x:c>
      <x:c r="E1205" s="74" t="n">
        <x:v>22994</x:v>
      </x:c>
      <x:c r="F1205" s="73" t="str">
        <x:v>PHOR_2026H1.pdf</x:v>
      </x:c>
      <x:c r="G1205" s="73" t="n">
        <x:v>7</x:v>
      </x:c>
      <x:c r="H1205" s="73" t="str">
        <x:v>Аналитический расчет по ранее раскрытой методологии; опубликованный итог периода не подтвержден</x:v>
      </x:c>
      <x:c r="I1205" s="69"/>
      <x:c r="J1205" s="69"/>
      <x:c r="K1205" s="69"/>
    </x:row>
    <x:row r="1206" ht="26.399999618530273" hidden="0" customHeight="1">
      <x:c r="A1206" s="60" t="str">
        <x:v>PHOR</x:v>
      </x:c>
      <x:c r="B1206" s="60" t="str">
        <x:v>1П2026</x:v>
      </x:c>
      <x:c r="C1206" s="76" t="str">
        <x:v>EBITDA: операционная прибыль + амортизация</x:v>
      </x:c>
      <x:c r="D1206" s="76" t="str">
        <x:v>ИТОГО — расчет</x:v>
      </x:c>
      <x:c r="E1206" s="77" t="n">
        <x:f>SUM(E1204:E1205)</x:f>
        <x:v>60875</x:v>
      </x:c>
      <x:c r="F1206" s="76" t="str">
        <x:v>PHOR_2026H1.pdf</x:v>
      </x:c>
      <x:c r="G1206" s="76" t="n">
        <x:v>7</x:v>
      </x:c>
      <x:c r="H1206" s="76"/>
      <x:c r="I1206" s="71"/>
      <x:c r="J1206" s="71"/>
      <x:c r="K1206" s="71" t="n">
        <x:f>SUM(E1204:E1205)</x:f>
        <x:v>60875</x:v>
      </x:c>
    </x:row>
    <x:row r="1207" ht="15" hidden="0" customHeight="1">
      <x:c r="C1207" s="73"/>
      <x:c r="D1207" s="73"/>
      <x:c r="E1207" s="74"/>
      <x:c r="F1207" s="73"/>
      <x:c r="G1207" s="73"/>
      <x:c r="H1207" s="73"/>
      <x:c r="I1207" s="69"/>
      <x:c r="J1207" s="69"/>
      <x:c r="K1207" s="69"/>
    </x:row>
    <x:row r="1208" ht="26.399999618530273" hidden="0" customHeight="1">
      <x:c r="A1208" t="str">
        <x:v>PHOR</x:v>
      </x:c>
      <x:c r="B1208" t="str">
        <x:v>1П2026</x:v>
      </x:c>
      <x:c r="C1208" s="73" t="str">
        <x:v>Скорр. EBITDA без операционных курсовых разниц</x:v>
      </x:c>
      <x:c r="D1208" s="73" t="str">
        <x:v>Прибыль от операционной деятельности</x:v>
      </x:c>
      <x:c r="E1208" s="74" t="n">
        <x:v>37881</x:v>
      </x:c>
      <x:c r="F1208" s="73" t="str">
        <x:v>PHOR_2026H1.pdf</x:v>
      </x:c>
      <x:c r="G1208" s="73" t="n">
        <x:v>7</x:v>
      </x:c>
      <x:c r="H1208" s="73" t="str">
        <x:v>Аналитический расчет по ранее раскрытой методологии; опубликованный итог периода не подтвержден</x:v>
      </x:c>
      <x:c r="I1208" s="69"/>
      <x:c r="J1208" s="69"/>
      <x:c r="K1208" s="69"/>
    </x:row>
    <x:row r="1209" ht="26.399999618530273" hidden="0" customHeight="1">
      <x:c r="A1209" t="str">
        <x:v>PHOR</x:v>
      </x:c>
      <x:c r="B1209" t="str">
        <x:v>1П2026</x:v>
      </x:c>
      <x:c r="C1209" s="73" t="str">
        <x:v>Скорр. EBITDA без операционных курсовых разниц</x:v>
      </x:c>
      <x:c r="D1209" s="73" t="str">
        <x:v>Амортизация</x:v>
      </x:c>
      <x:c r="E1209" s="74" t="n">
        <x:v>22994</x:v>
      </x:c>
      <x:c r="F1209" s="73" t="str">
        <x:v>PHOR_2026H1.pdf</x:v>
      </x:c>
      <x:c r="G1209" s="73" t="n">
        <x:v>7</x:v>
      </x:c>
      <x:c r="H1209" s="73" t="str">
        <x:v>Аналитический расчет по ранее раскрытой методологии; опубликованный итог периода не подтвержден</x:v>
      </x:c>
      <x:c r="I1209" s="69"/>
      <x:c r="J1209" s="69"/>
      <x:c r="K1209" s="69"/>
    </x:row>
    <x:row r="1210" ht="26.399999618530273" hidden="0" customHeight="1">
      <x:c r="A1210" t="str">
        <x:v>PHOR</x:v>
      </x:c>
      <x:c r="B1210" t="str">
        <x:v>1П2026</x:v>
      </x:c>
      <x:c r="C1210" s="73" t="str">
        <x:v>Скорр. EBITDA без операционных курсовых разниц</x:v>
      </x:c>
      <x:c r="D1210" s="73" t="str">
        <x:v>Операционные курсовые убытки</x:v>
      </x:c>
      <x:c r="E1210" s="74" t="n">
        <x:v>1524</x:v>
      </x:c>
      <x:c r="F1210" s="73" t="str">
        <x:v>PHOR_2026H1.pdf</x:v>
      </x:c>
      <x:c r="G1210" s="73" t="n">
        <x:v>5</x:v>
      </x:c>
      <x:c r="H1210" s="73" t="str">
        <x:v>Аналитический расчет по ранее раскрытой методологии; опубликованный итог периода не подтвержден</x:v>
      </x:c>
      <x:c r="I1210" s="69"/>
      <x:c r="J1210" s="69"/>
      <x:c r="K1210" s="69"/>
    </x:row>
    <x:row r="1211" ht="26.399999618530273" hidden="0" customHeight="1">
      <x:c r="A1211" s="60" t="str">
        <x:v>PHOR</x:v>
      </x:c>
      <x:c r="B1211" s="60" t="str">
        <x:v>1П2026</x:v>
      </x:c>
      <x:c r="C1211" s="76" t="str">
        <x:v>Скорр. EBITDA без операционных курсовых разниц</x:v>
      </x:c>
      <x:c r="D1211" s="76" t="str">
        <x:v>ИТОГО — расчет</x:v>
      </x:c>
      <x:c r="E1211" s="77" t="n">
        <x:f>SUM(E1208:E1210)</x:f>
        <x:v>62399</x:v>
      </x:c>
      <x:c r="F1211" s="76" t="str">
        <x:v>PHOR_2026H1.pdf</x:v>
      </x:c>
      <x:c r="G1211" s="76" t="n">
        <x:v>7</x:v>
      </x:c>
      <x:c r="H1211" s="76"/>
      <x:c r="I1211" s="71"/>
      <x:c r="J1211" s="71"/>
      <x:c r="K1211" s="71" t="n">
        <x:f>SUM(E1208:E1209)</x:f>
        <x:v>60875</x:v>
      </x:c>
    </x:row>
    <x:row r="1212" ht="15" hidden="0" customHeight="1">
      <x:c r="C1212" s="73"/>
      <x:c r="D1212" s="73"/>
      <x:c r="E1212" s="74"/>
      <x:c r="F1212" s="73"/>
      <x:c r="G1212" s="73"/>
      <x:c r="H1212" s="73"/>
      <x:c r="I1212" s="69"/>
      <x:c r="J1212" s="69"/>
      <x:c r="K1212" s="69"/>
    </x:row>
    <x:row r="1213" ht="15" hidden="0" customHeight="1">
      <x:c r="C1213" s="73"/>
      <x:c r="D1213" s="73"/>
      <x:c r="E1213" s="74"/>
      <x:c r="F1213" s="73"/>
      <x:c r="G1213" s="73"/>
      <x:c r="H1213" s="73"/>
      <x:c r="I1213" s="69"/>
      <x:c r="J1213" s="69"/>
      <x:c r="K1213" s="69"/>
    </x:row>
    <x:row r="1214">
      <x:c r="A1214" t="str">
        <x:v>GAZP</x:v>
      </x:c>
      <x:c r="B1214" t="str">
        <x:v>2025</x:v>
      </x:c>
      <x:c r="C1214" s="73" t="str">
        <x:v>Приведенный EBITDA</x:v>
      </x:c>
      <x:c r="D1214" s="73" t="str">
        <x:v>Операционная прибыль</x:v>
      </x:c>
      <x:c r="E1214" s="74" t="n">
        <x:v>1309766</x:v>
      </x:c>
      <x:c r="F1214" s="73" t="str">
        <x:v>МСФО_Газпром_2025.pdf</x:v>
      </x:c>
      <x:c r="G1214" s="73" t="str">
        <x:v>10</x:v>
      </x:c>
      <x:c r="H1214" s="73" t="str">
        <x:v>Компонент раскрытой методики, определенной на стр. 73</x:v>
      </x:c>
      <x:c r="I1214" s="69"/>
      <x:c r="J1214" s="69"/>
      <x:c r="K1214" s="69"/>
    </x:row>
    <x:row r="1215">
      <x:c r="A1215" t="str">
        <x:v>GAZP</x:v>
      </x:c>
      <x:c r="B1215" t="str">
        <x:v>2025</x:v>
      </x:c>
      <x:c r="C1215" s="73" t="str">
        <x:v>Приведенный EBITDA</x:v>
      </x:c>
      <x:c r="D1215" s="73" t="str">
        <x:v>Амортизация</x:v>
      </x:c>
      <x:c r="E1215" s="74" t="n">
        <x:v>1433790</x:v>
      </x:c>
      <x:c r="F1215" s="73" t="str">
        <x:v>МСФО_Газпром_2025.pdf</x:v>
      </x:c>
      <x:c r="G1215" s="73" t="str">
        <x:v>51</x:v>
      </x:c>
      <x:c r="H1215" s="73" t="str">
        <x:v>Компонент раскрытой методики, определенной на стр. 73</x:v>
      </x:c>
      <x:c r="I1215" s="69"/>
      <x:c r="J1215" s="69"/>
      <x:c r="K1215" s="69"/>
    </x:row>
    <x:row r="1216">
      <x:c r="A1216" t="str">
        <x:v>GAZP</x:v>
      </x:c>
      <x:c r="B1216" t="str">
        <x:v>2025</x:v>
      </x:c>
      <x:c r="C1216" s="73" t="str">
        <x:v>Приведенный EBITDA</x:v>
      </x:c>
      <x:c r="D1216" s="73" t="str">
        <x:v>Убыток от обесценения финансовых активов</x:v>
      </x:c>
      <x:c r="E1216" s="74" t="n">
        <x:v>100873</x:v>
      </x:c>
      <x:c r="F1216" s="73" t="str">
        <x:v>МСФО_Газпром_2025.pdf</x:v>
      </x:c>
      <x:c r="G1216" s="73" t="str">
        <x:v>10</x:v>
      </x:c>
      <x:c r="H1216" s="73" t="str">
        <x:v>Полностью исключается как изменение резервов по дебиторской задолженности</x:v>
      </x:c>
      <x:c r="I1216" s="69"/>
      <x:c r="J1216" s="69"/>
      <x:c r="K1216" s="69"/>
    </x:row>
    <x:row r="1217">
      <x:c r="A1217" t="str">
        <x:v>GAZP</x:v>
      </x:c>
      <x:c r="B1217" t="str">
        <x:v>2025</x:v>
      </x:c>
      <x:c r="C1217" s="73" t="str">
        <x:v>Приведенный EBITDA</x:v>
      </x:c>
      <x:c r="D1217" s="73" t="str">
        <x:v>Исключение: резерв по дебиторской задолженности</x:v>
      </x:c>
      <x:c r="E1217" s="74" t="n">
        <x:v>-100873</x:v>
      </x:c>
      <x:c r="F1217" s="73" t="str">
        <x:v>МСФО_Газпром_2025.pdf</x:v>
      </x:c>
      <x:c r="G1217" s="73" t="str">
        <x:v>35, 42</x:v>
      </x:c>
      <x:c r="H1217" s="73" t="str">
        <x:v>Исключение предусмотрено раскрытой методикой</x:v>
      </x:c>
      <x:c r="I1217" s="69"/>
      <x:c r="J1217" s="69"/>
      <x:c r="K1217" s="69"/>
    </x:row>
    <x:row r="1218">
      <x:c r="A1218" t="str">
        <x:v>GAZP</x:v>
      </x:c>
      <x:c r="B1218" t="str">
        <x:v>2025</x:v>
      </x:c>
      <x:c r="C1218" s="73" t="str">
        <x:v>Приведенный EBITDA</x:v>
      </x:c>
      <x:c r="D1218" s="73" t="str">
        <x:v>Убыток от обесценения нефинансовых активов</x:v>
      </x:c>
      <x:c r="E1218" s="74" t="n">
        <x:v>176019</x:v>
      </x:c>
      <x:c r="F1218" s="73" t="str">
        <x:v>МСФО_Газпром_2025.pdf</x:v>
      </x:c>
      <x:c r="G1218" s="73" t="str">
        <x:v>51</x:v>
      </x:c>
      <x:c r="H1218" s="73" t="str">
        <x:v>Компонент раскрытой методики</x:v>
      </x:c>
      <x:c r="I1218" s="69"/>
      <x:c r="J1218" s="69"/>
      <x:c r="K1218" s="69"/>
    </x:row>
    <x:row r="1219">
      <x:c r="A1219" t="str">
        <x:v>GAZP</x:v>
      </x:c>
      <x:c r="B1219" t="str">
        <x:v>2025</x:v>
      </x:c>
      <x:c r="C1219" s="73" t="str">
        <x:v>Приведенный EBITDA</x:v>
      </x:c>
      <x:c r="D1219" s="73" t="str">
        <x:v>Исключение: резерв по авансам и предоплате</x:v>
      </x:c>
      <x:c r="E1219" s="74" t="n">
        <x:v>-2243</x:v>
      </x:c>
      <x:c r="F1219" s="73" t="str">
        <x:v>МСФО_Газпром_2025.pdf</x:v>
      </x:c>
      <x:c r="G1219" s="73" t="str">
        <x:v>52</x:v>
      </x:c>
      <x:c r="H1219" s="73" t="str">
        <x:v>Исключение предусмотрено раскрытой методикой</x:v>
      </x:c>
      <x:c r="I1219" s="69"/>
      <x:c r="J1219" s="69"/>
      <x:c r="K1219" s="69"/>
    </x:row>
    <x:row r="1220">
      <x:c r="A1220" s="60" t="str">
        <x:v>GAZP</x:v>
      </x:c>
      <x:c r="B1220" s="60" t="str">
        <x:v>2025</x:v>
      </x:c>
      <x:c r="C1220" s="76" t="str">
        <x:v>Приведенный EBITDA</x:v>
      </x:c>
      <x:c r="D1220" s="76" t="str">
        <x:v>ИТОГО — расчет</x:v>
      </x:c>
      <x:c r="E1220" s="77" t="n">
        <x:f>SUM(E1214:E1219)</x:f>
        <x:v>2917332</x:v>
      </x:c>
      <x:c r="F1220" s="76" t="str">
        <x:v>МСФО_Газпром_2025.pdf</x:v>
      </x:c>
      <x:c r="G1220" s="76" t="str">
        <x:v>73-74</x:v>
      </x:c>
      <x:c r="H1220" s="76" t="str">
        <x:v>Совпадает с опубликованным итогом</x:v>
      </x:c>
      <x:c r="I1220" s="71" t="n">
        <x:v>2917332</x:v>
      </x:c>
      <x:c r="J1220" s="71" t="n">
        <x:f>E1220-I1220</x:f>
        <x:v>0</x:v>
      </x:c>
      <x:c r="K1220" s="71" t="n">
        <x:f>SUM(E1214:E1215)</x:f>
        <x:v>2743556</x:v>
      </x:c>
    </x:row>
    <x:row r="1222">
      <x:c r="A1222" t="str">
        <x:v>GAZP</x:v>
      </x:c>
      <x:c r="B1222" t="str">
        <x:v>1П2025</x:v>
      </x:c>
      <x:c r="C1222" s="73" t="str">
        <x:v>Приведенный EBITDA</x:v>
      </x:c>
      <x:c r="D1222" s="73" t="str">
        <x:v>Операционная прибыль</x:v>
      </x:c>
      <x:c r="E1222" s="74" t="n">
        <x:v>823999</x:v>
      </x:c>
      <x:c r="F1222" s="73" t="str">
        <x:v>GAZP_2026H1.pdf</x:v>
      </x:c>
      <x:c r="G1222" s="73" t="str">
        <x:v>6</x:v>
      </x:c>
      <x:c r="H1222" s="73" t="str">
        <x:v>Аналитический расчет по раскрытой методике 2025 года</x:v>
      </x:c>
      <x:c r="I1222" s="69"/>
      <x:c r="J1222" s="69"/>
      <x:c r="K1222" s="69"/>
    </x:row>
    <x:row r="1223">
      <x:c r="A1223" t="str">
        <x:v>GAZP</x:v>
      </x:c>
      <x:c r="B1223" t="str">
        <x:v>1П2025</x:v>
      </x:c>
      <x:c r="C1223" s="73" t="str">
        <x:v>Приведенный EBITDA</x:v>
      </x:c>
      <x:c r="D1223" s="73" t="str">
        <x:v>Амортизация</x:v>
      </x:c>
      <x:c r="E1223" s="74" t="n">
        <x:v>710276</x:v>
      </x:c>
      <x:c r="F1223" s="73" t="str">
        <x:v>GAZP_2026H1.pdf</x:v>
      </x:c>
      <x:c r="G1223" s="73" t="str">
        <x:v>24</x:v>
      </x:c>
      <x:c r="H1223" s="73" t="str">
        <x:v>Аналитический расчет по раскрытой методике 2025 года</x:v>
      </x:c>
      <x:c r="I1223" s="69"/>
      <x:c r="J1223" s="69"/>
      <x:c r="K1223" s="69"/>
    </x:row>
    <x:row r="1224">
      <x:c r="A1224" t="str">
        <x:v>GAZP</x:v>
      </x:c>
      <x:c r="B1224" t="str">
        <x:v>1П2025</x:v>
      </x:c>
      <x:c r="C1224" s="73" t="str">
        <x:v>Приведенный EBITDA</x:v>
      </x:c>
      <x:c r="D1224" s="73" t="str">
        <x:v>Убыток от обесценения финансовых активов</x:v>
      </x:c>
      <x:c r="E1224" s="74" t="n">
        <x:v>5766</x:v>
      </x:c>
      <x:c r="F1224" s="73" t="str">
        <x:v>GAZP_2026H1.pdf</x:v>
      </x:c>
      <x:c r="G1224" s="73" t="str">
        <x:v>6</x:v>
      </x:c>
      <x:c r="H1224" s="73" t="str">
        <x:v>Исключается как изменение резервов по дебиторской задолженности</x:v>
      </x:c>
      <x:c r="I1224" s="69"/>
      <x:c r="J1224" s="69"/>
      <x:c r="K1224" s="69"/>
    </x:row>
    <x:row r="1225">
      <x:c r="A1225" t="str">
        <x:v>GAZP</x:v>
      </x:c>
      <x:c r="B1225" t="str">
        <x:v>1П2025</x:v>
      </x:c>
      <x:c r="C1225" s="73" t="str">
        <x:v>Приведенный EBITDA</x:v>
      </x:c>
      <x:c r="D1225" s="73" t="str">
        <x:v>Исключение: резерв по дебиторской задолженности</x:v>
      </x:c>
      <x:c r="E1225" s="74" t="n">
        <x:v>-5766</x:v>
      </x:c>
      <x:c r="F1225" s="73" t="str">
        <x:v>GAZP_2026H1.pdf</x:v>
      </x:c>
      <x:c r="G1225" s="73" t="str">
        <x:v>6</x:v>
      </x:c>
      <x:c r="H1225" s="73" t="str">
        <x:v>Исключение предусмотрено раскрытой методикой</x:v>
      </x:c>
      <x:c r="I1225" s="69"/>
      <x:c r="J1225" s="69"/>
      <x:c r="K1225" s="69"/>
    </x:row>
    <x:row r="1226">
      <x:c r="A1226" t="str">
        <x:v>GAZP</x:v>
      </x:c>
      <x:c r="B1226" t="str">
        <x:v>1П2025</x:v>
      </x:c>
      <x:c r="C1226" s="73" t="str">
        <x:v>Приведенный EBITDA</x:v>
      </x:c>
      <x:c r="D1226" s="73" t="str">
        <x:v>Убыток от обесценения нефинансовых активов</x:v>
      </x:c>
      <x:c r="E1226" s="74" t="n">
        <x:v>12272</x:v>
      </x:c>
      <x:c r="F1226" s="73" t="str">
        <x:v>GAZP_2026H1.pdf</x:v>
      </x:c>
      <x:c r="G1226" s="73" t="str">
        <x:v>24</x:v>
      </x:c>
      <x:c r="H1226" s="73" t="str">
        <x:v>Компонент раскрытой методики</x:v>
      </x:c>
      <x:c r="I1226" s="69"/>
      <x:c r="J1226" s="69"/>
      <x:c r="K1226" s="69"/>
    </x:row>
    <x:row r="1227">
      <x:c r="A1227" t="str">
        <x:v>GAZP</x:v>
      </x:c>
      <x:c r="B1227" t="str">
        <x:v>1П2025</x:v>
      </x:c>
      <x:c r="C1227" s="73" t="str">
        <x:v>Приведенный EBITDA</x:v>
      </x:c>
      <x:c r="D1227" s="73" t="str">
        <x:v>Исключение: восстановление резерва по авансам</x:v>
      </x:c>
      <x:c r="E1227" s="74" t="n">
        <x:v>40</x:v>
      </x:c>
      <x:c r="F1227" s="73" t="str">
        <x:v>GAZP_2026H1.pdf</x:v>
      </x:c>
      <x:c r="G1227" s="73" t="str">
        <x:v>25</x:v>
      </x:c>
      <x:c r="H1227" s="73" t="str">
        <x:v>Восстановление исключено из корректировки</x:v>
      </x:c>
      <x:c r="I1227" s="69"/>
      <x:c r="J1227" s="69"/>
      <x:c r="K1227" s="69"/>
    </x:row>
    <x:row r="1228">
      <x:c r="A1228" s="60" t="str">
        <x:v>GAZP</x:v>
      </x:c>
      <x:c r="B1228" s="60" t="str">
        <x:v>1П2025</x:v>
      </x:c>
      <x:c r="C1228" s="76" t="str">
        <x:v>Приведенный EBITDA</x:v>
      </x:c>
      <x:c r="D1228" s="76" t="str">
        <x:v>ИТОГО — аналитический расчет</x:v>
      </x:c>
      <x:c r="E1228" s="77" t="n">
        <x:f>SUM(E1222:E1227)</x:f>
        <x:v>1546587</x:v>
      </x:c>
      <x:c r="F1228" s="76" t="str">
        <x:v>GAZP_2026H1.pdf</x:v>
      </x:c>
      <x:c r="G1228" s="76" t="str">
        <x:v>6, 24-25</x:v>
      </x:c>
      <x:c r="H1228" s="76" t="str">
        <x:v>Опубликованный итог периода не раскрыт</x:v>
      </x:c>
      <x:c r="I1228" s="71"/>
      <x:c r="J1228" s="71"/>
      <x:c r="K1228" s="71" t="n">
        <x:f>SUM(E1222:E1223)</x:f>
        <x:v>1534275</x:v>
      </x:c>
    </x:row>
    <x:row r="1230">
      <x:c r="A1230" t="str">
        <x:v>GAZP</x:v>
      </x:c>
      <x:c r="B1230" t="str">
        <x:v>1П2026</x:v>
      </x:c>
      <x:c r="C1230" s="73" t="str">
        <x:v>Приведенный EBITDA</x:v>
      </x:c>
      <x:c r="D1230" s="73" t="str">
        <x:v>Операционная прибыль</x:v>
      </x:c>
      <x:c r="E1230" s="74" t="n">
        <x:v>1195005</x:v>
      </x:c>
      <x:c r="F1230" s="73" t="str">
        <x:v>GAZP_2026H1.pdf</x:v>
      </x:c>
      <x:c r="G1230" s="73" t="str">
        <x:v>6</x:v>
      </x:c>
      <x:c r="H1230" s="73" t="str">
        <x:v>Аналитический расчет по раскрытой методике 2025 года</x:v>
      </x:c>
      <x:c r="I1230" s="69"/>
      <x:c r="J1230" s="69"/>
      <x:c r="K1230" s="69"/>
    </x:row>
    <x:row r="1231">
      <x:c r="A1231" t="str">
        <x:v>GAZP</x:v>
      </x:c>
      <x:c r="B1231" t="str">
        <x:v>1П2026</x:v>
      </x:c>
      <x:c r="C1231" s="73" t="str">
        <x:v>Приведенный EBITDA</x:v>
      </x:c>
      <x:c r="D1231" s="73" t="str">
        <x:v>Амортизация</x:v>
      </x:c>
      <x:c r="E1231" s="74" t="n">
        <x:v>762548</x:v>
      </x:c>
      <x:c r="F1231" s="73" t="str">
        <x:v>GAZP_2026H1.pdf</x:v>
      </x:c>
      <x:c r="G1231" s="73" t="str">
        <x:v>24</x:v>
      </x:c>
      <x:c r="H1231" s="73" t="str">
        <x:v>Аналитический расчет по раскрытой методике 2025 года</x:v>
      </x:c>
      <x:c r="I1231" s="69"/>
      <x:c r="J1231" s="69"/>
      <x:c r="K1231" s="69"/>
    </x:row>
    <x:row r="1232">
      <x:c r="A1232" t="str">
        <x:v>GAZP</x:v>
      </x:c>
      <x:c r="B1232" t="str">
        <x:v>1П2026</x:v>
      </x:c>
      <x:c r="C1232" s="73" t="str">
        <x:v>Приведенный EBITDA</x:v>
      </x:c>
      <x:c r="D1232" s="73" t="str">
        <x:v>Убыток от обесценения финансовых активов</x:v>
      </x:c>
      <x:c r="E1232" s="74" t="n">
        <x:v>26492</x:v>
      </x:c>
      <x:c r="F1232" s="73" t="str">
        <x:v>GAZP_2026H1.pdf</x:v>
      </x:c>
      <x:c r="G1232" s="73" t="str">
        <x:v>6</x:v>
      </x:c>
      <x:c r="H1232" s="73" t="str">
        <x:v>Исключается как изменение резервов по дебиторской задолженности</x:v>
      </x:c>
      <x:c r="I1232" s="69"/>
      <x:c r="J1232" s="69"/>
      <x:c r="K1232" s="69"/>
    </x:row>
    <x:row r="1233">
      <x:c r="A1233" t="str">
        <x:v>GAZP</x:v>
      </x:c>
      <x:c r="B1233" t="str">
        <x:v>1П2026</x:v>
      </x:c>
      <x:c r="C1233" s="73" t="str">
        <x:v>Приведенный EBITDA</x:v>
      </x:c>
      <x:c r="D1233" s="73" t="str">
        <x:v>Исключение: резерв по дебиторской задолженности</x:v>
      </x:c>
      <x:c r="E1233" s="74" t="n">
        <x:v>-26492</x:v>
      </x:c>
      <x:c r="F1233" s="73" t="str">
        <x:v>GAZP_2026H1.pdf</x:v>
      </x:c>
      <x:c r="G1233" s="73" t="str">
        <x:v>6</x:v>
      </x:c>
      <x:c r="H1233" s="73" t="str">
        <x:v>Исключение предусмотрено раскрытой методикой</x:v>
      </x:c>
      <x:c r="I1233" s="69"/>
      <x:c r="J1233" s="69"/>
      <x:c r="K1233" s="69"/>
    </x:row>
    <x:row r="1234">
      <x:c r="A1234" t="str">
        <x:v>GAZP</x:v>
      </x:c>
      <x:c r="B1234" t="str">
        <x:v>1П2026</x:v>
      </x:c>
      <x:c r="C1234" s="73" t="str">
        <x:v>Приведенный EBITDA</x:v>
      </x:c>
      <x:c r="D1234" s="73" t="str">
        <x:v>Убыток от обесценения нефинансовых активов</x:v>
      </x:c>
      <x:c r="E1234" s="74" t="n">
        <x:v>20746</x:v>
      </x:c>
      <x:c r="F1234" s="73" t="str">
        <x:v>GAZP_2026H1.pdf</x:v>
      </x:c>
      <x:c r="G1234" s="73" t="str">
        <x:v>24</x:v>
      </x:c>
      <x:c r="H1234" s="73" t="str">
        <x:v>Компонент раскрытой методики</x:v>
      </x:c>
      <x:c r="I1234" s="69"/>
      <x:c r="J1234" s="69"/>
      <x:c r="K1234" s="69"/>
    </x:row>
    <x:row r="1235">
      <x:c r="A1235" t="str">
        <x:v>GAZP</x:v>
      </x:c>
      <x:c r="B1235" t="str">
        <x:v>1П2026</x:v>
      </x:c>
      <x:c r="C1235" s="73" t="str">
        <x:v>Приведенный EBITDA</x:v>
      </x:c>
      <x:c r="D1235" s="73" t="str">
        <x:v>Исключение: резерв по авансам и предоплате</x:v>
      </x:c>
      <x:c r="E1235" s="74" t="n">
        <x:v>-1553</x:v>
      </x:c>
      <x:c r="F1235" s="73" t="str">
        <x:v>GAZP_2026H1.pdf</x:v>
      </x:c>
      <x:c r="G1235" s="73" t="str">
        <x:v>25</x:v>
      </x:c>
      <x:c r="H1235" s="73" t="str">
        <x:v>Исключение предусмотрено раскрытой методикой</x:v>
      </x:c>
      <x:c r="I1235" s="69"/>
      <x:c r="J1235" s="69"/>
      <x:c r="K1235" s="69"/>
    </x:row>
    <x:row r="1236">
      <x:c r="A1236" s="60" t="str">
        <x:v>GAZP</x:v>
      </x:c>
      <x:c r="B1236" s="60" t="str">
        <x:v>1П2026</x:v>
      </x:c>
      <x:c r="C1236" s="76" t="str">
        <x:v>Приведенный EBITDA</x:v>
      </x:c>
      <x:c r="D1236" s="76" t="str">
        <x:v>ИТОГО — аналитический расчет</x:v>
      </x:c>
      <x:c r="E1236" s="77" t="n">
        <x:f>SUM(E1230:E1235)</x:f>
        <x:v>1976746</x:v>
      </x:c>
      <x:c r="F1236" s="76" t="str">
        <x:v>GAZP_2026H1.pdf</x:v>
      </x:c>
      <x:c r="G1236" s="76" t="str">
        <x:v>6, 24-25</x:v>
      </x:c>
      <x:c r="H1236" s="76" t="str">
        <x:v>Опубликованный итог периода не раскрыт</x:v>
      </x:c>
      <x:c r="I1236" s="71"/>
      <x:c r="J1236" s="71"/>
      <x:c r="K1236" s="71" t="n">
        <x:f>SUM(E1230:E1231)</x:f>
        <x:v>1957553</x:v>
      </x:c>
    </x:row>
    <x:row r="1238">
      <x:c r="A1238" t="str">
        <x:v>GAZP</x:v>
      </x:c>
      <x:c r="B1238" t="str">
        <x:v>1П2026</x:v>
      </x:c>
      <x:c r="C1238" s="73" t="str">
        <x:v>Чистый долг</x:v>
      </x:c>
      <x:c r="D1238" s="73" t="str">
        <x:v>Краткосрочные кредиты и займы</x:v>
      </x:c>
      <x:c r="E1238" s="74" t="n">
        <x:v>1737448</x:v>
      </x:c>
      <x:c r="F1238" s="73" t="str">
        <x:v>GAZP_2026H1.pdf</x:v>
      </x:c>
      <x:c r="G1238" s="73" t="str">
        <x:v>5</x:v>
      </x:c>
      <x:c r="H1238" s="73" t="str">
        <x:v>По раскрытой методике чистого долга Газпрома</x:v>
      </x:c>
      <x:c r="I1238" s="69"/>
      <x:c r="J1238" s="69"/>
      <x:c r="K1238" s="69"/>
    </x:row>
    <x:row r="1239">
      <x:c r="A1239" t="str">
        <x:v>GAZP</x:v>
      </x:c>
      <x:c r="B1239" t="str">
        <x:v>1П2026</x:v>
      </x:c>
      <x:c r="C1239" s="73" t="str">
        <x:v>Чистый долг</x:v>
      </x:c>
      <x:c r="D1239" s="73" t="str">
        <x:v>Долгосрочные кредиты и займы</x:v>
      </x:c>
      <x:c r="E1239" s="74" t="n">
        <x:v>5118041</x:v>
      </x:c>
      <x:c r="F1239" s="73" t="str">
        <x:v>GAZP_2026H1.pdf</x:v>
      </x:c>
      <x:c r="G1239" s="73" t="str">
        <x:v>5</x:v>
      </x:c>
      <x:c r="H1239" s="73" t="str">
        <x:v>По раскрытой методике чистого долга Газпрома</x:v>
      </x:c>
      <x:c r="I1239" s="69"/>
      <x:c r="J1239" s="69"/>
      <x:c r="K1239" s="69"/>
    </x:row>
    <x:row r="1240">
      <x:c r="A1240" t="str">
        <x:v>GAZP</x:v>
      </x:c>
      <x:c r="B1240" t="str">
        <x:v>1П2026</x:v>
      </x:c>
      <x:c r="C1240" s="73" t="str">
        <x:v>Чистый долг</x:v>
      </x:c>
      <x:c r="D1240" s="73" t="str">
        <x:v>Денежные средства и эквиваленты</x:v>
      </x:c>
      <x:c r="E1240" s="74" t="n">
        <x:v>747341</x:v>
      </x:c>
      <x:c r="F1240" s="73" t="str">
        <x:v>GAZP_2026H1.pdf</x:v>
      </x:c>
      <x:c r="G1240" s="73" t="str">
        <x:v>5</x:v>
      </x:c>
      <x:c r="H1240" s="73" t="str">
        <x:v>Вычитается по раскрытой методике</x:v>
      </x:c>
      <x:c r="I1240" s="69"/>
      <x:c r="J1240" s="69"/>
      <x:c r="K1240" s="69"/>
    </x:row>
    <x:row r="1241">
      <x:c r="A1241" s="60" t="str">
        <x:v>GAZP</x:v>
      </x:c>
      <x:c r="B1241" s="60" t="str">
        <x:v>1П2026</x:v>
      </x:c>
      <x:c r="C1241" s="76" t="str">
        <x:v>Чистый долг</x:v>
      </x:c>
      <x:c r="D1241" s="76" t="str">
        <x:v>ИТОГО — аналитический расчет</x:v>
      </x:c>
      <x:c r="E1241" s="77" t="n">
        <x:f>E1238+E1239-E1240</x:f>
        <x:v>6108148</x:v>
      </x:c>
      <x:c r="F1241" s="76" t="str">
        <x:v>GAZP_2026H1.pdf</x:v>
      </x:c>
      <x:c r="G1241" s="76" t="str">
        <x:v>5</x:v>
      </x:c>
      <x:c r="H1241" s="76" t="str">
        <x:v>Опубликованный итог периода не раскрыт</x:v>
      </x:c>
      <x:c r="I1241" s="71"/>
      <x:c r="J1241" s="71"/>
      <x:c r="K1241" s="71"/>
    </x:row>
    <x:row r="1243">
      <x:c r="A1243" t="str">
        <x:v>GAZP</x:v>
      </x:c>
      <x:c r="B1243" t="str">
        <x:v>2025</x:v>
      </x:c>
      <x:c r="C1243" s="73" t="str">
        <x:v>Чистый долг</x:v>
      </x:c>
      <x:c r="D1243" s="73" t="str">
        <x:v>Краткосрочные кредиты и займы</x:v>
      </x:c>
      <x:c r="E1243" s="74" t="n">
        <x:v>1499165</x:v>
      </x:c>
      <x:c r="F1243" s="73" t="str">
        <x:v>МСФО_Газпром_2025.pdf</x:v>
      </x:c>
      <x:c r="G1243" s="73" t="str">
        <x:v>9</x:v>
      </x:c>
      <x:c r="H1243" s="73" t="str">
        <x:v>Компонент опубликованного чистого долга</x:v>
      </x:c>
      <x:c r="I1243" s="69"/>
      <x:c r="J1243" s="69"/>
      <x:c r="K1243" s="69"/>
    </x:row>
    <x:row r="1244">
      <x:c r="A1244" t="str">
        <x:v>GAZP</x:v>
      </x:c>
      <x:c r="B1244" t="str">
        <x:v>2025</x:v>
      </x:c>
      <x:c r="C1244" s="73" t="str">
        <x:v>Чистый долг</x:v>
      </x:c>
      <x:c r="D1244" s="73" t="str">
        <x:v>Долгосрочные кредиты и займы</x:v>
      </x:c>
      <x:c r="E1244" s="74" t="n">
        <x:v>5238487</x:v>
      </x:c>
      <x:c r="F1244" s="73" t="str">
        <x:v>МСФО_Газпром_2025.pdf</x:v>
      </x:c>
      <x:c r="G1244" s="73" t="str">
        <x:v>9</x:v>
      </x:c>
      <x:c r="H1244" s="73" t="str">
        <x:v>Компонент опубликованного чистого долга</x:v>
      </x:c>
      <x:c r="I1244" s="69"/>
      <x:c r="J1244" s="69"/>
      <x:c r="K1244" s="69"/>
    </x:row>
    <x:row r="1245">
      <x:c r="A1245" t="str">
        <x:v>GAZP</x:v>
      </x:c>
      <x:c r="B1245" t="str">
        <x:v>2025</x:v>
      </x:c>
      <x:c r="C1245" s="73" t="str">
        <x:v>Чистый долг</x:v>
      </x:c>
      <x:c r="D1245" s="73" t="str">
        <x:v>Денежные средства и эквиваленты</x:v>
      </x:c>
      <x:c r="E1245" s="74" t="n">
        <x:v>633190</x:v>
      </x:c>
      <x:c r="F1245" s="73" t="str">
        <x:v>МСФО_Газпром_2025.pdf</x:v>
      </x:c>
      <x:c r="G1245" s="73" t="str">
        <x:v>9</x:v>
      </x:c>
      <x:c r="H1245" s="73" t="str">
        <x:v>Вычитается по раскрытой методике</x:v>
      </x:c>
      <x:c r="I1245" s="69"/>
      <x:c r="J1245" s="69"/>
      <x:c r="K1245" s="69"/>
    </x:row>
    <x:row r="1246">
      <x:c r="A1246" s="60" t="str">
        <x:v>GAZP</x:v>
      </x:c>
      <x:c r="B1246" s="60" t="str">
        <x:v>2025</x:v>
      </x:c>
      <x:c r="C1246" s="76" t="str">
        <x:v>Чистый долг</x:v>
      </x:c>
      <x:c r="D1246" s="76" t="str">
        <x:v>ИТОГО — расчет</x:v>
      </x:c>
      <x:c r="E1246" s="77" t="n">
        <x:f>E1243+E1244-E1245</x:f>
        <x:v>6104462</x:v>
      </x:c>
      <x:c r="F1246" s="76" t="str">
        <x:v>МСФО_Газпром_2025.pdf</x:v>
      </x:c>
      <x:c r="G1246" s="76" t="str">
        <x:v>73-74</x:v>
      </x:c>
      <x:c r="H1246" s="76" t="str">
        <x:v>Совпадает с опубликованным итогом</x:v>
      </x:c>
      <x:c r="I1246" s="71" t="n">
        <x:v>6104462</x:v>
      </x:c>
      <x:c r="J1246" s="71" t="n">
        <x:f>E1246-I1246</x:f>
        <x:v>0</x:v>
      </x:c>
      <x:c r="K1246" s="71"/>
    </x:row>
    <x:row r="1248">
      <x:c r="A1248" t="str">
        <x:v>T</x:v>
      </x:c>
      <x:c r="B1248" t="str">
        <x:v>2025</x:v>
      </x:c>
      <x:c r="C1248" s="73" t="str">
        <x:v>EBITDA компании: проценты только нефинансовых компаний</x:v>
      </x:c>
      <x:c r="D1248" s="73" t="str">
        <x:v>Прибыль группы</x:v>
      </x:c>
      <x:c r="E1248" s="74" t="n">
        <x:v>192414</x:v>
      </x:c>
      <x:c r="F1248" s="73" t="str">
        <x:v>Т-Технологии_МСФО_2025.pdf</x:v>
      </x:c>
      <x:c r="G1248" s="73" t="str">
        <x:v>9</x:v>
      </x:c>
      <x:c r="H1248" s="73" t="str">
        <x:v>Аналитический расчет по раскрытой методике 1П2026</x:v>
      </x:c>
      <x:c r="I1248" s="69"/>
      <x:c r="J1248" s="69"/>
      <x:c r="K1248" s="69"/>
    </x:row>
    <x:row r="1249">
      <x:c r="A1249" t="str">
        <x:v>T</x:v>
      </x:c>
      <x:c r="B1249" t="str">
        <x:v>2025</x:v>
      </x:c>
      <x:c r="C1249" s="73" t="str">
        <x:v>EBITDA компании: проценты только нефинансовых компаний</x:v>
      </x:c>
      <x:c r="D1249" s="73" t="str">
        <x:v>Налог на прибыль</x:v>
      </x:c>
      <x:c r="E1249" s="74" t="n">
        <x:v>61016</x:v>
      </x:c>
      <x:c r="F1249" s="73" t="str">
        <x:v>Т-Технологии_МСФО_2025.pdf</x:v>
      </x:c>
      <x:c r="G1249" s="73" t="str">
        <x:v>90</x:v>
      </x:c>
      <x:c r="H1249" s="73" t="str">
        <x:v>Аналитический расчет по раскрытой методике 1П2026</x:v>
      </x:c>
      <x:c r="I1249" s="69"/>
      <x:c r="J1249" s="69"/>
      <x:c r="K1249" s="69"/>
    </x:row>
    <x:row r="1250">
      <x:c r="A1250" t="str">
        <x:v>T</x:v>
      </x:c>
      <x:c r="B1250" t="str">
        <x:v>2025</x:v>
      </x:c>
      <x:c r="C1250" s="73" t="str">
        <x:v>EBITDA компании: проценты только нефинансовых компаний</x:v>
      </x:c>
      <x:c r="D1250" s="73" t="str">
        <x:v>Проценты нефинансовых компаний</x:v>
      </x:c>
      <x:c r="E1250" s="74" t="n">
        <x:v>14167</x:v>
      </x:c>
      <x:c r="F1250" s="73" t="str">
        <x:v>Т-Технологии_МСФО_2025.pdf</x:v>
      </x:c>
      <x:c r="G1250" s="73" t="str">
        <x:v>27</x:v>
      </x:c>
      <x:c r="H1250" s="73" t="str">
        <x:v>Сегмент «Прочие операции»; аналитический расчет по раскрытой методике 1П2026</x:v>
      </x:c>
      <x:c r="I1250" s="69"/>
      <x:c r="J1250" s="69"/>
      <x:c r="K1250" s="69"/>
    </x:row>
    <x:row r="1251">
      <x:c r="A1251" t="str">
        <x:v>T</x:v>
      </x:c>
      <x:c r="B1251" t="str">
        <x:v>2025</x:v>
      </x:c>
      <x:c r="C1251" s="73" t="str">
        <x:v>EBITDA компании: проценты только нефинансовых компаний</x:v>
      </x:c>
      <x:c r="D1251" s="73" t="str">
        <x:v>Амортизация нематериальных активов</x:v>
      </x:c>
      <x:c r="E1251" s="74" t="n">
        <x:v>23169</x:v>
      </x:c>
      <x:c r="F1251" s="73" t="str">
        <x:v>Т-Технологии_МСФО_2025.pdf</x:v>
      </x:c>
      <x:c r="G1251" s="73" t="str">
        <x:v>89</x:v>
      </x:c>
      <x:c r="H1251" s="73" t="str">
        <x:v>Компонент амортизации</x:v>
      </x:c>
      <x:c r="I1251" s="69"/>
      <x:c r="J1251" s="69"/>
      <x:c r="K1251" s="69"/>
    </x:row>
    <x:row r="1252">
      <x:c r="A1252" t="str">
        <x:v>T</x:v>
      </x:c>
      <x:c r="B1252" t="str">
        <x:v>2025</x:v>
      </x:c>
      <x:c r="C1252" s="73" t="str">
        <x:v>EBITDA компании: проценты только нефинансовых компаний</x:v>
      </x:c>
      <x:c r="D1252" s="73" t="str">
        <x:v>Амортизация основных средств</x:v>
      </x:c>
      <x:c r="E1252" s="74" t="n">
        <x:v>12906</x:v>
      </x:c>
      <x:c r="F1252" s="73" t="str">
        <x:v>Т-Технологии_МСФО_2025.pdf</x:v>
      </x:c>
      <x:c r="G1252" s="73" t="str">
        <x:v>89</x:v>
      </x:c>
      <x:c r="H1252" s="73" t="str">
        <x:v>Компонент амортизации</x:v>
      </x:c>
      <x:c r="I1252" s="69"/>
      <x:c r="J1252" s="69"/>
      <x:c r="K1252" s="69"/>
    </x:row>
    <x:row r="1253">
      <x:c r="A1253" t="str">
        <x:v>T</x:v>
      </x:c>
      <x:c r="B1253" t="str">
        <x:v>2025</x:v>
      </x:c>
      <x:c r="C1253" s="73" t="str">
        <x:v>EBITDA компании: проценты только нефинансовых компаний</x:v>
      </x:c>
      <x:c r="D1253" s="73" t="str">
        <x:v>Амортизация активов в форме права пользования</x:v>
      </x:c>
      <x:c r="E1253" s="74" t="n">
        <x:v>5748</x:v>
      </x:c>
      <x:c r="F1253" s="73" t="str">
        <x:v>Т-Технологии_МСФО_2025.pdf</x:v>
      </x:c>
      <x:c r="G1253" s="73" t="str">
        <x:v>89</x:v>
      </x:c>
      <x:c r="H1253" s="73" t="str">
        <x:v>Компонент амортизации</x:v>
      </x:c>
      <x:c r="I1253" s="69"/>
      <x:c r="J1253" s="69"/>
      <x:c r="K1253" s="69"/>
    </x:row>
    <x:row r="1254">
      <x:c r="A1254" t="str">
        <x:v>T</x:v>
      </x:c>
      <x:c r="B1254" t="str">
        <x:v>2025</x:v>
      </x:c>
      <x:c r="C1254" s="73" t="str">
        <x:v>EBITDA компании: проценты только нефинансовых компаний</x:v>
      </x:c>
      <x:c r="D1254" s="73" t="str">
        <x:v>Расходы финансовой аренды</x:v>
      </x:c>
      <x:c r="E1254" s="74" t="n">
        <x:v>3923</x:v>
      </x:c>
      <x:c r="F1254" s="73" t="str">
        <x:v>Т-Технологии_МСФО_2025.pdf</x:v>
      </x:c>
      <x:c r="G1254" s="73" t="str">
        <x:v>73</x:v>
      </x:c>
      <x:c r="H1254" s="73" t="str">
        <x:v>Аналитический расчет по раскрытой методике 1П2026</x:v>
      </x:c>
      <x:c r="I1254" s="69"/>
      <x:c r="J1254" s="69"/>
      <x:c r="K1254" s="69"/>
    </x:row>
    <x:row r="1255">
      <x:c r="A1255" s="60" t="str">
        <x:v>T</x:v>
      </x:c>
      <x:c r="B1255" s="60" t="str">
        <x:v>2025</x:v>
      </x:c>
      <x:c r="C1255" s="76" t="str">
        <x:v>EBITDA компании: проценты только нефинансовых компаний</x:v>
      </x:c>
      <x:c r="D1255" s="76" t="str">
        <x:v>ИТОГО — аналитический расчет</x:v>
      </x:c>
      <x:c r="E1255" s="77" t="n">
        <x:f>SUM(E1248:E1254)</x:f>
        <x:v>313343</x:v>
      </x:c>
      <x:c r="F1255" s="76" t="str">
        <x:v>Т-Технологии_МСФО_2025.pdf; T_2026H1.pdf</x:v>
      </x:c>
      <x:c r="G1255" s="76" t="str">
        <x:v>9, 27, 73, 89-90; 28</x:v>
      </x:c>
      <x:c r="H1255" s="76" t="str">
        <x:v>Опубликованный итог 2025 не раскрыт</x:v>
      </x:c>
      <x:c r="I1255" s="71"/>
      <x:c r="J1255" s="71"/>
      <x:c r="K1255" s="71" t="n">
        <x:f>SUM(E1248:E1254)</x:f>
        <x:v>313343</x:v>
      </x:c>
    </x:row>
    <x:row r="1257">
      <x:c r="A1257" t="str">
        <x:v>T</x:v>
      </x:c>
      <x:c r="B1257" t="str">
        <x:v>2025</x:v>
      </x:c>
      <x:c r="C1257" s="73" t="str">
        <x:v>Скорр. EBITDA компании</x:v>
      </x:c>
      <x:c r="D1257" s="73" t="str">
        <x:v>EBITDA компании</x:v>
      </x:c>
      <x:c r="E1257" s="74" t="n">
        <x:v>313343</x:v>
      </x:c>
      <x:c r="F1257" s="73" t="str">
        <x:v>Т-Технологии_МСФО_2025.pdf; T_2026H1.pdf</x:v>
      </x:c>
      <x:c r="G1257" s="73" t="str">
        <x:v>9, 27, 73, 89-90; 28</x:v>
      </x:c>
      <x:c r="H1257" s="73" t="str">
        <x:v>Аналитический расчет по раскрытой методике 1П2026</x:v>
      </x:c>
      <x:c r="I1257" s="69"/>
      <x:c r="J1257" s="69"/>
      <x:c r="K1257" s="69"/>
    </x:row>
    <x:row r="1258">
      <x:c r="A1258" t="str">
        <x:v>T</x:v>
      </x:c>
      <x:c r="B1258" t="str">
        <x:v>2025</x:v>
      </x:c>
      <x:c r="C1258" s="73" t="str">
        <x:v>Скорр. EBITDA компании</x:v>
      </x:c>
      <x:c r="D1258" s="73" t="str">
        <x:v>Вознаграждения акциями</x:v>
      </x:c>
      <x:c r="E1258" s="74" t="n">
        <x:v>17512</x:v>
      </x:c>
      <x:c r="F1258" s="73" t="str">
        <x:v>Т-Технологии_МСФО_2025.pdf</x:v>
      </x:c>
      <x:c r="G1258" s="73" t="str">
        <x:v>90</x:v>
      </x:c>
      <x:c r="H1258" s="73" t="str">
        <x:v>Корректировка по методике компании</x:v>
      </x:c>
      <x:c r="I1258" s="69"/>
      <x:c r="J1258" s="69"/>
      <x:c r="K1258" s="69"/>
    </x:row>
    <x:row r="1259">
      <x:c r="A1259" t="str">
        <x:v>T</x:v>
      </x:c>
      <x:c r="B1259" t="str">
        <x:v>2025</x:v>
      </x:c>
      <x:c r="C1259" s="73" t="str">
        <x:v>Скорр. EBITDA компании</x:v>
      </x:c>
      <x:c r="D1259" s="73" t="str">
        <x:v>Исключение: положительная переоценка инвестиций в Яндекс</x:v>
      </x:c>
      <x:c r="E1259" s="74" t="n">
        <x:v>-20950</x:v>
      </x:c>
      <x:c r="F1259" s="73" t="str">
        <x:v>Т-Технологии_МСФО_2025.pdf</x:v>
      </x:c>
      <x:c r="G1259" s="73" t="str">
        <x:v>37</x:v>
      </x:c>
      <x:c r="H1259" s="73" t="str">
        <x:v>Корректировка по методике компании</x:v>
      </x:c>
      <x:c r="I1259" s="69"/>
      <x:c r="J1259" s="69"/>
      <x:c r="K1259" s="69"/>
    </x:row>
    <x:row r="1260">
      <x:c r="A1260" s="60" t="str">
        <x:v>T</x:v>
      </x:c>
      <x:c r="B1260" s="60" t="str">
        <x:v>2025</x:v>
      </x:c>
      <x:c r="C1260" s="76" t="str">
        <x:v>Скорр. EBITDA компании</x:v>
      </x:c>
      <x:c r="D1260" s="76" t="str">
        <x:v>ИТОГО — аналитический расчет</x:v>
      </x:c>
      <x:c r="E1260" s="77" t="n">
        <x:f>SUM(E1257:E1259)</x:f>
        <x:v>309905</x:v>
      </x:c>
      <x:c r="F1260" s="76" t="str">
        <x:v>Т-Технологии_МСФО_2025.pdf; T_2026H1.pdf</x:v>
      </x:c>
      <x:c r="G1260" s="76" t="str">
        <x:v>37, 90; 28</x:v>
      </x:c>
      <x:c r="H1260" s="76" t="str">
        <x:v>Опубликованный итог 2025 не раскрыт</x:v>
      </x:c>
      <x:c r="I1260" s="71"/>
      <x:c r="J1260" s="71"/>
      <x:c r="K1260" s="71" t="n">
        <x:f>E1257</x:f>
        <x:v>313343</x:v>
      </x:c>
    </x:row>
    <x:row r="1261">
      <x:c r="A1261" t="str">
        <x:v>TATN</x:v>
      </x:c>
      <x:c r="B1261" t="str">
        <x:v>2025</x:v>
      </x:c>
      <x:c r="C1261" s="73" t="str">
        <x:v>Чистый долг компании</x:v>
      </x:c>
      <x:c r="D1261" s="73" t="str">
        <x:v>Краткосрочные кредиты и текущая часть долгосрочного долга</x:v>
      </x:c>
      <x:c r="E1261" s="74" t="n">
        <x:v>24904</x:v>
      </x:c>
      <x:c r="F1261" s="73" t="str">
        <x:v>Татнефть_МСФО_2025.pdf</x:v>
      </x:c>
      <x:c r="G1261" s="73" t="str">
        <x:v>7</x:v>
      </x:c>
      <x:c r="H1261" s="73" t="str">
        <x:v>Сверено с отчетом о финансовом положении</x:v>
      </x:c>
      <x:c r="I1261" s="69"/>
      <x:c r="J1261" s="69"/>
      <x:c r="K1261" s="69"/>
    </x:row>
    <x:row r="1262">
      <x:c r="A1262" t="str">
        <x:v>TATN</x:v>
      </x:c>
      <x:c r="B1262" t="str">
        <x:v>2025</x:v>
      </x:c>
      <x:c r="C1262" s="73" t="str">
        <x:v>Чистый долг компании</x:v>
      </x:c>
      <x:c r="D1262" s="73" t="str">
        <x:v>Долгосрочные кредиты и займы без текущей части</x:v>
      </x:c>
      <x:c r="E1262" s="74" t="n">
        <x:v>10052</x:v>
      </x:c>
      <x:c r="F1262" s="73" t="str">
        <x:v>Татнефть_МСФО_2025.pdf</x:v>
      </x:c>
      <x:c r="G1262" s="73" t="str">
        <x:v>7</x:v>
      </x:c>
      <x:c r="H1262" s="73" t="str">
        <x:v>Сверено с отчетом о финансовом положении</x:v>
      </x:c>
      <x:c r="I1262" s="69"/>
      <x:c r="J1262" s="69"/>
      <x:c r="K1262" s="69"/>
    </x:row>
    <x:row r="1263">
      <x:c r="A1263" t="str">
        <x:v>TATN</x:v>
      </x:c>
      <x:c r="B1263" t="str">
        <x:v>2025</x:v>
      </x:c>
      <x:c r="C1263" s="73" t="str">
        <x:v>Чистый долг компании</x:v>
      </x:c>
      <x:c r="D1263" s="73" t="str">
        <x:v>Денежные средства и эквиваленты</x:v>
      </x:c>
      <x:c r="E1263" s="74" t="n">
        <x:v>66949</x:v>
      </x:c>
      <x:c r="F1263" s="73" t="str">
        <x:v>Татнефть_МСФО_2025.pdf</x:v>
      </x:c>
      <x:c r="G1263" s="73" t="str">
        <x:v>7</x:v>
      </x:c>
      <x:c r="H1263" s="73" t="str">
        <x:v>Сверено с отчетом о финансовом положении</x:v>
      </x:c>
      <x:c r="I1263" s="69"/>
      <x:c r="J1263" s="69"/>
      <x:c r="K1263" s="69"/>
    </x:row>
    <x:row r="1264">
      <x:c r="A1264" s="60" t="str">
        <x:v>TATN</x:v>
      </x:c>
      <x:c r="B1264" s="60" t="str">
        <x:v>2025</x:v>
      </x:c>
      <x:c r="C1264" s="76" t="str">
        <x:v>Чистый долг компании</x:v>
      </x:c>
      <x:c r="D1264" s="76" t="str">
        <x:v>ИТОГО: краткосрочный долг + долгосрочный долг − денежные средства</x:v>
      </x:c>
      <x:c r="E1264" s="77" t="n">
        <x:f>E1261+E1262-E1263</x:f>
        <x:v>-31993</x:v>
      </x:c>
      <x:c r="F1264" s="76" t="str">
        <x:v>Татнефть FY2025 MD&amp;A; Татнефть_МСФО_2025.pdf</x:v>
      </x:c>
      <x:c r="G1264" s="76" t="str">
        <x:v>MD&amp;A стр. 10; PDF стр. 7</x:v>
      </x:c>
      <x:c r="H1264" s="76" t="str">
        <x:v>Опубликовано компанией: чистый долг -31 993 млн руб.</x:v>
      </x:c>
      <x:c r="I1264" s="71"/>
      <x:c r="J1264" s="71"/>
      <x:c r="K1264" s="71"/>
    </x:row>
    <x:row r="1266">
      <x:c r="A1266" t="str">
        <x:v>TATN</x:v>
      </x:c>
      <x:c r="B1266" t="str">
        <x:v>2025</x:v>
      </x:c>
      <x:c r="C1266" s="73" t="str">
        <x:v>Скорректированная EBITDA компании</x:v>
      </x:c>
      <x:c r="D1266" s="73" t="str">
        <x:v>EBITDA</x:v>
      </x:c>
      <x:c r="E1266" s="74" t="n">
        <x:v>332877</x:v>
      </x:c>
      <x:c r="F1266" s="73" t="str">
        <x:v>Татнефть FY2025 MD&amp;A</x:v>
      </x:c>
      <x:c r="G1266" s="73" t="str">
        <x:v>MD&amp;A стр. 8</x:v>
      </x:c>
      <x:c r="H1266" s="73" t="str">
        <x:v>Опубликованный показатель</x:v>
      </x:c>
      <x:c r="I1266" s="69"/>
      <x:c r="J1266" s="69"/>
      <x:c r="K1266" s="69"/>
    </x:row>
    <x:row r="1267">
      <x:c r="A1267" t="str">
        <x:v>TATN</x:v>
      </x:c>
      <x:c r="B1267" t="str">
        <x:v>2025</x:v>
      </x:c>
      <x:c r="C1267" s="73" t="str">
        <x:v>Скорректированная EBITDA компании</x:v>
      </x:c>
      <x:c r="D1267" s="73" t="str">
        <x:v>Ожидаемые кредитные убытки</x:v>
      </x:c>
      <x:c r="E1267" s="74" t="n">
        <x:v>11310</x:v>
      </x:c>
      <x:c r="F1267" s="73" t="str">
        <x:v>Татнефть_МСФО_2025.pdf</x:v>
      </x:c>
      <x:c r="G1267" s="73" t="str">
        <x:v>8</x:v>
      </x:c>
      <x:c r="H1267" s="73" t="str">
        <x:v>Корректировка компании; модуль 3,4% EBITDA</x:v>
      </x:c>
      <x:c r="I1267" s="69"/>
      <x:c r="J1267" s="69"/>
      <x:c r="K1267" s="69"/>
    </x:row>
    <x:row r="1268">
      <x:c r="A1268" t="str">
        <x:v>TATN</x:v>
      </x:c>
      <x:c r="B1268" t="str">
        <x:v>2025</x:v>
      </x:c>
      <x:c r="C1268" s="73" t="str">
        <x:v>Скорректированная EBITDA компании</x:v>
      </x:c>
      <x:c r="D1268" s="73" t="str">
        <x:v>Обесценение основных средств и прочих нефинансовых активов</x:v>
      </x:c>
      <x:c r="E1268" s="74" t="n">
        <x:v>16537</x:v>
      </x:c>
      <x:c r="F1268" s="73" t="str">
        <x:v>Татнефть_МСФО_2025.pdf</x:v>
      </x:c>
      <x:c r="G1268" s="73" t="str">
        <x:v>8</x:v>
      </x:c>
      <x:c r="H1268" s="73" t="str">
        <x:v>Корректировка компании; модуль 5,0% EBITDA</x:v>
      </x:c>
      <x:c r="I1268" s="69"/>
      <x:c r="J1268" s="69"/>
      <x:c r="K1268" s="69"/>
    </x:row>
    <x:row r="1269">
      <x:c r="A1269" s="60" t="str">
        <x:v>TATN</x:v>
      </x:c>
      <x:c r="B1269" s="60" t="str">
        <x:v>2025</x:v>
      </x:c>
      <x:c r="C1269" s="76" t="str">
        <x:v>Скорректированная EBITDA компании</x:v>
      </x:c>
      <x:c r="D1269" s="76" t="str">
        <x:v>ИТОГО</x:v>
      </x:c>
      <x:c r="E1269" s="77" t="n">
        <x:f>SUM(E1266:E1268)</x:f>
        <x:v>360724</x:v>
      </x:c>
      <x:c r="F1269" s="76" t="str">
        <x:v>Татнефть FY2025 MD&amp;A; Татнефть_МСФО_2025.pdf</x:v>
      </x:c>
      <x:c r="G1269" s="76" t="str">
        <x:v>MD&amp;A стр. 8; PDF стр. 8</x:v>
      </x:c>
      <x:c r="H1269" s="76" t="str">
        <x:v>Опубликовано компанией: 360 724 млн руб.</x:v>
      </x:c>
      <x:c r="I1269" s="71"/>
      <x:c r="J1269" s="71"/>
      <x:c r="K1269" s="71"/>
    </x:row>
    <x:row r="1271">
      <x:c r="A1271" t="str">
        <x:v>TATN</x:v>
      </x:c>
      <x:c r="B1271" t="str">
        <x:v>1П2026</x:v>
      </x:c>
      <x:c r="C1271" s="73" t="str">
        <x:v>EBITDA компании — аналитический расчет</x:v>
      </x:c>
      <x:c r="D1271" s="73" t="str">
        <x:v>Операционная прибыль без финансовых услуг</x:v>
      </x:c>
      <x:c r="E1271" s="74" t="n">
        <x:v>222006</x:v>
      </x:c>
      <x:c r="F1271" s="73" t="str">
        <x:v>TATN_2026H1.pdf</x:v>
      </x:c>
      <x:c r="G1271" s="73" t="str">
        <x:v>5</x:v>
      </x:c>
      <x:c r="H1271" s="73" t="str">
        <x:v>Компонент из промежуточной отчетности</x:v>
      </x:c>
      <x:c r="I1271" s="69"/>
      <x:c r="J1271" s="69"/>
      <x:c r="K1271" s="69"/>
    </x:row>
    <x:row r="1272">
      <x:c r="A1272" t="str">
        <x:v>TATN</x:v>
      </x:c>
      <x:c r="B1272" t="str">
        <x:v>1П2026</x:v>
      </x:c>
      <x:c r="C1272" s="73" t="str">
        <x:v>EBITDA компании — аналитический расчет</x:v>
      </x:c>
      <x:c r="D1272" s="73" t="str">
        <x:v>Операционный результат финансовых услуг</x:v>
      </x:c>
      <x:c r="E1272" s="74" t="n">
        <x:v>302</x:v>
      </x:c>
      <x:c r="F1272" s="73" t="str">
        <x:v>TATN_2026H1.pdf</x:v>
      </x:c>
      <x:c r="G1272" s="73" t="str">
        <x:v>5</x:v>
      </x:c>
      <x:c r="H1272" s="73" t="str">
        <x:v>Чистые процентные, комиссионные и прочие доходы финансовых услуг</x:v>
      </x:c>
      <x:c r="I1272" s="69"/>
      <x:c r="J1272" s="69"/>
      <x:c r="K1272" s="69"/>
    </x:row>
    <x:row r="1273">
      <x:c r="A1273" t="str">
        <x:v>TATN</x:v>
      </x:c>
      <x:c r="B1273" t="str">
        <x:v>1П2026</x:v>
      </x:c>
      <x:c r="C1273" s="73" t="str">
        <x:v>EBITDA компании — аналитический расчет</x:v>
      </x:c>
      <x:c r="D1273" s="73" t="str">
        <x:v>Износ, истощение и амортизация</x:v>
      </x:c>
      <x:c r="E1273" s="74" t="n">
        <x:v>37235</x:v>
      </x:c>
      <x:c r="F1273" s="73" t="str">
        <x:v>TATN_2026H1.pdf</x:v>
      </x:c>
      <x:c r="G1273" s="73" t="str">
        <x:v>5</x:v>
      </x:c>
      <x:c r="H1273" s="73" t="str">
        <x:v>Компонент из промежуточной отчетности</x:v>
      </x:c>
      <x:c r="I1273" s="69"/>
      <x:c r="J1273" s="69"/>
      <x:c r="K1273" s="69"/>
    </x:row>
    <x:row r="1274">
      <x:c r="A1274" s="60" t="str">
        <x:v>TATN</x:v>
      </x:c>
      <x:c r="B1274" s="60" t="str">
        <x:v>1П2026</x:v>
      </x:c>
      <x:c r="C1274" s="76" t="str">
        <x:v>EBITDA компании — аналитический расчет</x:v>
      </x:c>
      <x:c r="D1274" s="76" t="str">
        <x:v>ИТОГО</x:v>
      </x:c>
      <x:c r="E1274" s="77" t="n">
        <x:f>SUM(E1271:E1273)</x:f>
        <x:v>259543</x:v>
      </x:c>
      <x:c r="F1274" s="76" t="str">
        <x:v>TATN_2026H1.pdf</x:v>
      </x:c>
      <x:c r="G1274" s="76" t="str">
        <x:v>5</x:v>
      </x:c>
      <x:c r="H1274" s="76" t="str">
        <x:v>Опубликованный итог EBITDA за 1П2026 в отчетности не раскрыт</x:v>
      </x:c>
      <x:c r="I1274" s="71"/>
      <x:c r="J1274" s="71"/>
      <x:c r="K1274" s="71"/>
    </x:row>
    <x:row r="1275">
      <x:c r="A1275" t="str">
        <x:v>TATN</x:v>
      </x:c>
      <x:c r="B1275" t="str">
        <x:v>1П2026</x:v>
      </x:c>
      <x:c r="C1275" s="73" t="str">
        <x:v>Скорректированная EBITDA — аналитический расчет</x:v>
      </x:c>
      <x:c r="D1275" s="73" t="str">
        <x:v>EBITDA компании — аналитический расчет</x:v>
      </x:c>
      <x:c r="E1275" s="74" t="n">
        <x:v>259543</x:v>
      </x:c>
      <x:c r="F1275" s="73" t="str">
        <x:v>TATN_2026H1.pdf</x:v>
      </x:c>
      <x:c r="G1275" s="73" t="str">
        <x:v>5</x:v>
      </x:c>
      <x:c r="H1275" s="73" t="str">
        <x:v>Расчет строки 1274</x:v>
      </x:c>
      <x:c r="I1275" s="69"/>
      <x:c r="J1275" s="69"/>
      <x:c r="K1275" s="69"/>
    </x:row>
    <x:row r="1276">
      <x:c r="A1276" t="str">
        <x:v>TATN</x:v>
      </x:c>
      <x:c r="B1276" t="str">
        <x:v>1П2026</x:v>
      </x:c>
      <x:c r="C1276" s="73" t="str">
        <x:v>Скорректированная EBITDA — аналитический расчет</x:v>
      </x:c>
      <x:c r="D1276" s="73" t="str">
        <x:v>Ожидаемые кредитные убытки</x:v>
      </x:c>
      <x:c r="E1276" s="74" t="n">
        <x:v>8933</x:v>
      </x:c>
      <x:c r="F1276" s="73" t="str">
        <x:v>TATN_2026H1.pdf</x:v>
      </x:c>
      <x:c r="G1276" s="73" t="str">
        <x:v>5</x:v>
      </x:c>
      <x:c r="H1276" s="73" t="str">
        <x:v>Корректировка по методике FY2025</x:v>
      </x:c>
      <x:c r="I1276" s="69"/>
      <x:c r="J1276" s="69"/>
      <x:c r="K1276" s="69"/>
    </x:row>
    <x:row r="1277">
      <x:c r="A1277" t="str">
        <x:v>TATN</x:v>
      </x:c>
      <x:c r="B1277" t="str">
        <x:v>1П2026</x:v>
      </x:c>
      <x:c r="C1277" s="73" t="str">
        <x:v>Скорректированная EBITDA — аналитический расчет</x:v>
      </x:c>
      <x:c r="D1277" s="73" t="str">
        <x:v>Обесценение основных средств и прочих нефинансовых активов</x:v>
      </x:c>
      <x:c r="E1277" s="74" t="n">
        <x:v>2716</x:v>
      </x:c>
      <x:c r="F1277" s="73" t="str">
        <x:v>TATN_2026H1.pdf</x:v>
      </x:c>
      <x:c r="G1277" s="73" t="str">
        <x:v>5</x:v>
      </x:c>
      <x:c r="H1277" s="73" t="str">
        <x:v>Корректировка по методике FY2025</x:v>
      </x:c>
      <x:c r="I1277" s="69"/>
      <x:c r="J1277" s="69"/>
      <x:c r="K1277" s="69"/>
    </x:row>
    <x:row r="1278">
      <x:c r="A1278" s="60" t="str">
        <x:v>TATN</x:v>
      </x:c>
      <x:c r="B1278" s="60" t="str">
        <x:v>1П2026</x:v>
      </x:c>
      <x:c r="C1278" s="76" t="str">
        <x:v>Скорректированная EBITDA — аналитический расчет</x:v>
      </x:c>
      <x:c r="D1278" s="76" t="str">
        <x:v>ИТОГО</x:v>
      </x:c>
      <x:c r="E1278" s="77" t="n">
        <x:f>SUM(E1275:E1277)</x:f>
        <x:v>271192</x:v>
      </x:c>
      <x:c r="F1278" s="76" t="str">
        <x:v>TATN_2026H1.pdf</x:v>
      </x:c>
      <x:c r="G1278" s="76" t="str">
        <x:v>5</x:v>
      </x:c>
      <x:c r="H1278" s="76" t="str">
        <x:v>Опубликованный итог скорр. EBITDA за 1П2026 не подтвержден</x:v>
      </x:c>
      <x:c r="I1278" s="71"/>
      <x:c r="J1278" s="71"/>
      <x:c r="K1278" s="71"/>
    </x:row>
    <x:row r="1280">
      <x:c r="A1280" t="str">
        <x:v>TATN</x:v>
      </x:c>
      <x:c r="B1280" t="str">
        <x:v>1П2026</x:v>
      </x:c>
      <x:c r="C1280" s="73" t="str">
        <x:v>Чистый долг компании — аналитический расчет</x:v>
      </x:c>
      <x:c r="D1280" s="73" t="str">
        <x:v>Краткосрочные кредиты и текущая часть долгосрочного долга</x:v>
      </x:c>
      <x:c r="E1280" s="74" t="n">
        <x:v>10120</x:v>
      </x:c>
      <x:c r="F1280" s="73" t="str">
        <x:v>TATN_2026H1.pdf</x:v>
      </x:c>
      <x:c r="G1280" s="73" t="str">
        <x:v>4</x:v>
      </x:c>
      <x:c r="H1280" s="73" t="str">
        <x:v>Сверено с отчетом о финансовом положении</x:v>
      </x:c>
      <x:c r="I1280" s="69"/>
      <x:c r="J1280" s="69"/>
      <x:c r="K1280" s="69"/>
    </x:row>
    <x:row r="1281">
      <x:c r="A1281" t="str">
        <x:v>TATN</x:v>
      </x:c>
      <x:c r="B1281" t="str">
        <x:v>1П2026</x:v>
      </x:c>
      <x:c r="C1281" s="73" t="str">
        <x:v>Чистый долг компании — аналитический расчет</x:v>
      </x:c>
      <x:c r="D1281" s="73" t="str">
        <x:v>Долгосрочные кредиты и займы без текущей части</x:v>
      </x:c>
      <x:c r="E1281" s="74" t="n">
        <x:v>685</x:v>
      </x:c>
      <x:c r="F1281" s="73" t="str">
        <x:v>TATN_2026H1.pdf</x:v>
      </x:c>
      <x:c r="G1281" s="73" t="str">
        <x:v>4</x:v>
      </x:c>
      <x:c r="H1281" s="73" t="str">
        <x:v>Сверено с отчетом о финансовом положении</x:v>
      </x:c>
      <x:c r="I1281" s="69"/>
      <x:c r="J1281" s="69"/>
      <x:c r="K1281" s="69"/>
    </x:row>
    <x:row r="1282">
      <x:c r="A1282" t="str">
        <x:v>TATN</x:v>
      </x:c>
      <x:c r="B1282" t="str">
        <x:v>1П2026</x:v>
      </x:c>
      <x:c r="C1282" s="73" t="str">
        <x:v>Чистый долг компании — аналитический расчет</x:v>
      </x:c>
      <x:c r="D1282" s="73" t="str">
        <x:v>Денежные средства и эквиваленты</x:v>
      </x:c>
      <x:c r="E1282" s="74" t="n">
        <x:v>144206</x:v>
      </x:c>
      <x:c r="F1282" s="73" t="str">
        <x:v>TATN_2026H1.pdf</x:v>
      </x:c>
      <x:c r="G1282" s="73" t="str">
        <x:v>4</x:v>
      </x:c>
      <x:c r="H1282" s="73" t="str">
        <x:v>Сверено с отчетом о финансовом положении</x:v>
      </x:c>
      <x:c r="I1282" s="69"/>
      <x:c r="J1282" s="69"/>
      <x:c r="K1282" s="69"/>
    </x:row>
    <x:row r="1283">
      <x:c r="A1283" s="60" t="str">
        <x:v>TATN</x:v>
      </x:c>
      <x:c r="B1283" s="60" t="str">
        <x:v>1П2026</x:v>
      </x:c>
      <x:c r="C1283" s="76" t="str">
        <x:v>Чистый долг компании — аналитический расчет</x:v>
      </x:c>
      <x:c r="D1283" s="76" t="str">
        <x:v>ИТОГО: краткосрочный долг + долгосрочный долг − денежные средства</x:v>
      </x:c>
      <x:c r="E1283" s="77" t="n">
        <x:f>E1280+E1281-E1282</x:f>
        <x:v>-133401</x:v>
      </x:c>
      <x:c r="F1283" s="76" t="str">
        <x:v>TATN_2026H1.pdf</x:v>
      </x:c>
      <x:c r="G1283" s="76" t="str">
        <x:v>4</x:v>
      </x:c>
      <x:c r="H1283" s="76" t="str">
        <x:v>Опубликованный итог на 30.06.2026 не подтвержден; расчет по методике FY2025</x:v>
      </x:c>
      <x:c r="I1283" s="71"/>
      <x:c r="J1283" s="71"/>
      <x:c r="K1283" s="71"/>
    </x:row>
    <x:row r="1284">
      <x:c r="A1284" t="str">
        <x:v>NVTK</x:v>
      </x:c>
      <x:c r="B1284" t="str">
        <x:v>2025</x:v>
      </x:c>
      <x:c r="C1284" s="73" t="str">
        <x:v>Чистый долг компании</x:v>
      </x:c>
      <x:c r="D1284" s="73" t="str">
        <x:v>Краткосрочные кредиты и текущая часть долгосрочного долга</x:v>
      </x:c>
      <x:c r="E1284" s="74" t="n">
        <x:v>81740</x:v>
      </x:c>
      <x:c r="F1284" s="73" t="str">
        <x:v>Novatek FS 12m2025 RUS (disclosable).pdf</x:v>
      </x:c>
      <x:c r="G1284" s="73" t="str">
        <x:v>PDF стр. 7</x:v>
      </x:c>
      <x:c r="H1284" s="73" t="str">
        <x:v>Сверено с отчетом о финансовом положении</x:v>
      </x:c>
      <x:c r="I1284" s="69"/>
      <x:c r="J1284" s="69"/>
      <x:c r="K1284" s="69"/>
    </x:row>
    <x:row r="1285">
      <x:c r="A1285" t="str">
        <x:v>NVTK</x:v>
      </x:c>
      <x:c r="B1285" t="str">
        <x:v>2025</x:v>
      </x:c>
      <x:c r="C1285" s="73" t="str">
        <x:v>Чистый долг компании</x:v>
      </x:c>
      <x:c r="D1285" s="73" t="str">
        <x:v>Долгосрочные кредиты и займы без текущей части</x:v>
      </x:c>
      <x:c r="E1285" s="74" t="n">
        <x:v>216915</x:v>
      </x:c>
      <x:c r="F1285" s="73" t="str">
        <x:v>Novatek FS 12m2025 RUS (disclosable).pdf</x:v>
      </x:c>
      <x:c r="G1285" s="73" t="str">
        <x:v>PDF стр. 7</x:v>
      </x:c>
      <x:c r="H1285" s="73" t="str">
        <x:v>Сверено с отчетом о финансовом положении</x:v>
      </x:c>
      <x:c r="I1285" s="69"/>
      <x:c r="J1285" s="69"/>
      <x:c r="K1285" s="69"/>
    </x:row>
    <x:row r="1286">
      <x:c r="A1286" t="str">
        <x:v>NVTK</x:v>
      </x:c>
      <x:c r="B1286" t="str">
        <x:v>2025</x:v>
      </x:c>
      <x:c r="C1286" s="73" t="str">
        <x:v>Чистый долг компании</x:v>
      </x:c>
      <x:c r="D1286" s="73" t="str">
        <x:v>Денежные средства и их эквиваленты</x:v>
      </x:c>
      <x:c r="E1286" s="74" t="n">
        <x:v>337925</x:v>
      </x:c>
      <x:c r="F1286" s="73" t="str">
        <x:v>Novatek FS 12m2025 RUS (disclosable).pdf</x:v>
      </x:c>
      <x:c r="G1286" s="73" t="str">
        <x:v>PDF стр. 7</x:v>
      </x:c>
      <x:c r="H1286" s="73" t="str">
        <x:v>Раскрытая строка денежных средств; мост точно воспроизводит опубликованный ЧД</x:v>
      </x:c>
      <x:c r="I1286" s="69"/>
      <x:c r="J1286" s="69"/>
      <x:c r="K1286" s="69"/>
    </x:row>
    <x:row r="1287">
      <x:c r="A1287" s="60" t="str">
        <x:v>NVTK</x:v>
      </x:c>
      <x:c r="B1287" s="60" t="str">
        <x:v>2025</x:v>
      </x:c>
      <x:c r="C1287" s="76" t="str">
        <x:v>Чистый долг компании</x:v>
      </x:c>
      <x:c r="D1287" s="76" t="str">
        <x:v>ИТОГО: краткосрочный долг + долгосрочный долг − денежные средства</x:v>
      </x:c>
      <x:c r="E1287" s="77" t="n">
        <x:f>E1284+E1285-E1286</x:f>
        <x:v>-39270</x:v>
      </x:c>
      <x:c r="F1287" s="76" t="str">
        <x:v>Отчет эмитента 2025 год для раскрытия.pdf; Novatek FS 12m2025 RUS (disclosable).pdf</x:v>
      </x:c>
      <x:c r="G1287" s="76" t="str">
        <x:v>ОЭ PDF стр. 9; МСФО PDF стр. 7</x:v>
      </x:c>
      <x:c r="H1287" s="76" t="str">
        <x:v>Опубликовано компанией: чистый долг (чистые денежные средства) -39 270 млн руб.</x:v>
      </x:c>
      <x:c r="I1287" s="71"/>
      <x:c r="J1287" s="71"/>
      <x:c r="K1287" s="71"/>
    </x:row>
    <x:row r="1289">
      <x:c r="A1289" t="str">
        <x:v>NVTK</x:v>
      </x:c>
      <x:c r="B1289" t="str">
        <x:v>1П2025</x:v>
      </x:c>
      <x:c r="C1289" s="73" t="str">
        <x:v>Чистый долг компании</x:v>
      </x:c>
      <x:c r="D1289" s="73" t="str">
        <x:v>Опубликованный итог на 30.06.2025</x:v>
      </x:c>
      <x:c r="E1289" s="74" t="n">
        <x:v>108379</x:v>
      </x:c>
      <x:c r="F1289" s="73" t="str">
        <x:v>NVTK_IR.html</x:v>
      </x:c>
      <x:c r="G1289" s="73" t="str">
        <x:v>н.п. (HTML)</x:v>
      </x:c>
      <x:c r="H1289" s="73" t="str">
        <x:v>Официальный IR-релиз от 24.07.2026; компонентный мост не раскрыт</x:v>
      </x:c>
      <x:c r="I1289" s="69"/>
      <x:c r="J1289" s="69"/>
      <x:c r="K1289" s="69"/>
    </x:row>
    <x:row r="1291">
      <x:c r="A1291" t="str">
        <x:v>NVTK</x:v>
      </x:c>
      <x:c r="B1291" t="str">
        <x:v>1П2026</x:v>
      </x:c>
      <x:c r="C1291" s="73" t="str">
        <x:v>Чистый долг компании</x:v>
      </x:c>
      <x:c r="D1291" s="73" t="str">
        <x:v>Краткосрочные кредиты и текущая часть долгосрочного долга</x:v>
      </x:c>
      <x:c r="E1291" s="74" t="n">
        <x:v>53145</x:v>
      </x:c>
      <x:c r="F1291" s="73" t="str">
        <x:v>NVTK_2026H1.pdf</x:v>
      </x:c>
      <x:c r="G1291" s="73" t="str">
        <x:v>PDF стр. 5</x:v>
      </x:c>
      <x:c r="H1291" s="73" t="str">
        <x:v>Сверено с отчетом о финансовом положении</x:v>
      </x:c>
      <x:c r="I1291" s="69"/>
      <x:c r="J1291" s="69"/>
      <x:c r="K1291" s="69"/>
    </x:row>
    <x:row r="1292">
      <x:c r="A1292" t="str">
        <x:v>NVTK</x:v>
      </x:c>
      <x:c r="B1292" t="str">
        <x:v>1П2026</x:v>
      </x:c>
      <x:c r="C1292" s="73" t="str">
        <x:v>Чистый долг компании</x:v>
      </x:c>
      <x:c r="D1292" s="73" t="str">
        <x:v>Долгосрочные кредиты и займы без текущей части</x:v>
      </x:c>
      <x:c r="E1292" s="74" t="n">
        <x:v>215009</x:v>
      </x:c>
      <x:c r="F1292" s="73" t="str">
        <x:v>NVTK_2026H1.pdf</x:v>
      </x:c>
      <x:c r="G1292" s="73" t="str">
        <x:v>PDF стр. 5</x:v>
      </x:c>
      <x:c r="H1292" s="73" t="str">
        <x:v>Сверено с отчетом о финансовом положении</x:v>
      </x:c>
      <x:c r="I1292" s="69"/>
      <x:c r="J1292" s="69"/>
      <x:c r="K1292" s="69"/>
    </x:row>
    <x:row r="1293">
      <x:c r="A1293" t="str">
        <x:v>NVTK</x:v>
      </x:c>
      <x:c r="B1293" t="str">
        <x:v>1П2026</x:v>
      </x:c>
      <x:c r="C1293" s="73" t="str">
        <x:v>Чистый долг компании</x:v>
      </x:c>
      <x:c r="D1293" s="73" t="str">
        <x:v>Денежные средства и их эквиваленты</x:v>
      </x:c>
      <x:c r="E1293" s="74" t="n">
        <x:v>311665</x:v>
      </x:c>
      <x:c r="F1293" s="73" t="str">
        <x:v>NVTK_2026H1.pdf</x:v>
      </x:c>
      <x:c r="G1293" s="73" t="str">
        <x:v>PDF стр. 5</x:v>
      </x:c>
      <x:c r="H1293" s="73" t="str">
        <x:v>Раскрытая строка денежных средств; мост точно воспроизводит опубликованный ЧД</x:v>
      </x:c>
      <x:c r="I1293" s="69"/>
      <x:c r="J1293" s="69"/>
      <x:c r="K1293" s="69"/>
    </x:row>
    <x:row r="1294">
      <x:c r="A1294" s="60" t="str">
        <x:v>NVTK</x:v>
      </x:c>
      <x:c r="B1294" s="60" t="str">
        <x:v>1П2026</x:v>
      </x:c>
      <x:c r="C1294" s="76" t="str">
        <x:v>Чистый долг компании</x:v>
      </x:c>
      <x:c r="D1294" s="76" t="str">
        <x:v>ИТОГО: краткосрочный долг + долгосрочный долг − денежные средства</x:v>
      </x:c>
      <x:c r="E1294" s="77" t="n">
        <x:f>E1291+E1292-E1293</x:f>
        <x:v>-43511</x:v>
      </x:c>
      <x:c r="F1294" s="76" t="str">
        <x:v>NVTK_IR.html; NVTK_2026H1.pdf</x:v>
      </x:c>
      <x:c r="G1294" s="76" t="str">
        <x:v>IR 24.07.2026; МСФО PDF стр. 5</x:v>
      </x:c>
      <x:c r="H1294" s="76" t="str">
        <x:v>Опубликовано компанией: чистый долг (чистые денежные средства) -43 511 млн руб.</x:v>
      </x:c>
      <x:c r="I1294" s="71"/>
      <x:c r="J1294" s="71"/>
      <x:c r="K1294" s="71"/>
    </x:row>
    <x:row r="1296">
      <x:c r="A1296" t="str">
        <x:v>GMKN</x:v>
      </x:c>
      <x:c r="B1296" t="str">
        <x:v>2025</x:v>
      </x:c>
      <x:c r="C1296" s="73" t="str">
        <x:v>Чистый долг компании</x:v>
      </x:c>
      <x:c r="D1296" s="73" t="str">
        <x:v>Краткосрочные кредиты и займы</x:v>
      </x:c>
      <x:c r="E1296" s="74" t="n">
        <x:v>243233</x:v>
      </x:c>
      <x:c r="F1296" s="73" t="str">
        <x:v>GMKN_2026H1.pdf</x:v>
      </x:c>
      <x:c r="G1296" s="73" t="str">
        <x:v>PDF стр. 6</x:v>
      </x:c>
      <x:c r="H1296" s="73" t="str">
        <x:v>Сравнительные данные на 31.12.2025</x:v>
      </x:c>
      <x:c r="I1296" s="69"/>
      <x:c r="J1296" s="69"/>
      <x:c r="K1296" s="69"/>
    </x:row>
    <x:row r="1297">
      <x:c r="A1297" t="str">
        <x:v>GMKN</x:v>
      </x:c>
      <x:c r="B1297" t="str">
        <x:v>2025</x:v>
      </x:c>
      <x:c r="C1297" s="73" t="str">
        <x:v>Чистый долг компании</x:v>
      </x:c>
      <x:c r="D1297" s="73" t="str">
        <x:v>Текущие обязательства по аренде</x:v>
      </x:c>
      <x:c r="E1297" s="74" t="n">
        <x:v>11451</x:v>
      </x:c>
      <x:c r="F1297" s="73" t="str">
        <x:v>GMKN_2026H1.pdf</x:v>
      </x:c>
      <x:c r="G1297" s="73" t="str">
        <x:v>PDF стр. 6, 24</x:v>
      </x:c>
      <x:c r="H1297" s="73" t="str">
        <x:v>Компания включает аренду в долг</x:v>
      </x:c>
      <x:c r="I1297" s="69"/>
      <x:c r="J1297" s="69"/>
      <x:c r="K1297" s="69"/>
    </x:row>
    <x:row r="1298">
      <x:c r="A1298" t="str">
        <x:v>GMKN</x:v>
      </x:c>
      <x:c r="B1298" t="str">
        <x:v>2025</x:v>
      </x:c>
      <x:c r="C1298" s="73" t="str">
        <x:v>Чистый долг компании</x:v>
      </x:c>
      <x:c r="D1298" s="73" t="str">
        <x:v>Долгосрочные кредиты и займы</x:v>
      </x:c>
      <x:c r="E1298" s="74" t="n">
        <x:v>593514</x:v>
      </x:c>
      <x:c r="F1298" s="73" t="str">
        <x:v>GMKN_2026H1.pdf</x:v>
      </x:c>
      <x:c r="G1298" s="73" t="str">
        <x:v>PDF стр. 6</x:v>
      </x:c>
      <x:c r="H1298" s="73" t="str">
        <x:v>Сравнительные данные на 31.12.2025</x:v>
      </x:c>
      <x:c r="I1298" s="69"/>
      <x:c r="J1298" s="69"/>
      <x:c r="K1298" s="69"/>
    </x:row>
    <x:row r="1299">
      <x:c r="A1299" t="str">
        <x:v>GMKN</x:v>
      </x:c>
      <x:c r="B1299" t="str">
        <x:v>2025</x:v>
      </x:c>
      <x:c r="C1299" s="73" t="str">
        <x:v>Чистый долг компании</x:v>
      </x:c>
      <x:c r="D1299" s="73" t="str">
        <x:v>Долгосрочные обязательства по аренде</x:v>
      </x:c>
      <x:c r="E1299" s="74" t="n">
        <x:v>31396</x:v>
      </x:c>
      <x:c r="F1299" s="73" t="str">
        <x:v>GMKN_2026H1.pdf</x:v>
      </x:c>
      <x:c r="G1299" s="73" t="str">
        <x:v>PDF стр. 6, 24</x:v>
      </x:c>
      <x:c r="H1299" s="73" t="str">
        <x:v>Компания включает аренду в долг</x:v>
      </x:c>
      <x:c r="I1299" s="69"/>
      <x:c r="J1299" s="69"/>
      <x:c r="K1299" s="69"/>
    </x:row>
    <x:row r="1300">
      <x:c r="A1300" t="str">
        <x:v>GMKN</x:v>
      </x:c>
      <x:c r="B1300" t="str">
        <x:v>2025</x:v>
      </x:c>
      <x:c r="C1300" s="73" t="str">
        <x:v>Чистый долг компании</x:v>
      </x:c>
      <x:c r="D1300" s="73" t="str">
        <x:v>Денежные средства и их эквиваленты</x:v>
      </x:c>
      <x:c r="E1300" s="74" t="n">
        <x:v>164744</x:v>
      </x:c>
      <x:c r="F1300" s="73" t="str">
        <x:v>GMKN_2026H1.pdf</x:v>
      </x:c>
      <x:c r="G1300" s="73" t="str">
        <x:v>PDF стр. 6, 20</x:v>
      </x:c>
      <x:c r="H1300" s="73" t="str">
        <x:v>Сравнительные данные на 31.12.2025</x:v>
      </x:c>
      <x:c r="I1300" s="69"/>
      <x:c r="J1300" s="69"/>
      <x:c r="K1300" s="69"/>
    </x:row>
    <x:row r="1301">
      <x:c r="A1301" s="60" t="str">
        <x:v>GMKN</x:v>
      </x:c>
      <x:c r="B1301" s="60" t="str">
        <x:v>2025</x:v>
      </x:c>
      <x:c r="C1301" s="76" t="str">
        <x:v>Чистый долг компании</x:v>
      </x:c>
      <x:c r="D1301" s="76" t="str">
        <x:v>ИТОГО: кредиты и займы + аренда − денежные средства</x:v>
      </x:c>
      <x:c r="E1301" s="77" t="n">
        <x:f>SUM(E1296:E1299)-E1300</x:f>
        <x:v>714850</x:v>
      </x:c>
      <x:c r="F1301" s="76" t="str">
        <x:v>Норникель_отчет_эмитента_2025.pdf; GMKN_2026H1.pdf</x:v>
      </x:c>
      <x:c r="G1301" s="76" t="str">
        <x:v>ОЭ PDF стр. 14; МСФО PDF стр. 6, 20, 24</x:v>
      </x:c>
      <x:c r="H1301" s="76" t="str">
        <x:v>Опубликованный ЧД 714 850 млн руб.; мост совпадает точно</x:v>
      </x:c>
      <x:c r="I1301" s="71"/>
      <x:c r="J1301" s="71"/>
      <x:c r="K1301" s="71"/>
    </x:row>
    <x:row r="1303">
      <x:c r="A1303" t="str">
        <x:v>GMKN</x:v>
      </x:c>
      <x:c r="B1303" t="str">
        <x:v>1П2025</x:v>
      </x:c>
      <x:c r="C1303" s="73" t="str">
        <x:v>Чистый долг компании</x:v>
      </x:c>
      <x:c r="D1303" s="73" t="str">
        <x:v>Краткосрочный долг: 3 807 млн долл. × 78,4685</x:v>
      </x:c>
      <x:c r="E1303" s="74" t="n">
        <x:v>298729.5795</x:v>
      </x:c>
      <x:c r="F1303" s="73" t="str">
        <x:v>Официальный IR-релиз Норникеля 1П2025 (04.08.2025, nornickel.ru); Банк России</x:v>
      </x:c>
      <x:c r="G1303" s="73" t="str">
        <x:v>IR PDF стр. 18; курс на 28.06.2025</x:v>
      </x:c>
      <x:c r="H1303" s="73" t="str">
        <x:v>Пересчет в млн руб. по официальному курсу ЦБ РФ</x:v>
      </x:c>
      <x:c r="I1303" s="69"/>
      <x:c r="J1303" s="69"/>
      <x:c r="K1303" s="69"/>
    </x:row>
    <x:row r="1304">
      <x:c r="A1304" t="str">
        <x:v>GMKN</x:v>
      </x:c>
      <x:c r="B1304" t="str">
        <x:v>1П2025</x:v>
      </x:c>
      <x:c r="C1304" s="73" t="str">
        <x:v>Чистый долг компании</x:v>
      </x:c>
      <x:c r="D1304" s="73" t="str">
        <x:v>Долгосрочный долг: 8 943 млн долл. × 78,4685</x:v>
      </x:c>
      <x:c r="E1304" s="74" t="n">
        <x:v>701743.7955</x:v>
      </x:c>
      <x:c r="F1304" s="73" t="str">
        <x:v>Официальный IR-релиз Норникеля 1П2025 (04.08.2025, nornickel.ru); Банк России</x:v>
      </x:c>
      <x:c r="G1304" s="73" t="str">
        <x:v>IR PDF стр. 18; курс на 28.06.2025</x:v>
      </x:c>
      <x:c r="H1304" s="73" t="str">
        <x:v>Пересчет в млн руб. по официальному курсу ЦБ РФ</x:v>
      </x:c>
      <x:c r="I1304" s="69"/>
      <x:c r="J1304" s="69"/>
      <x:c r="K1304" s="69"/>
    </x:row>
    <x:row r="1305">
      <x:c r="A1305" t="str">
        <x:v>GMKN</x:v>
      </x:c>
      <x:c r="B1305" t="str">
        <x:v>1П2025</x:v>
      </x:c>
      <x:c r="C1305" s="73" t="str">
        <x:v>Чистый долг компании</x:v>
      </x:c>
      <x:c r="D1305" s="73" t="str">
        <x:v>Обязательства по аренде: 582 млн долл. × 78,4685</x:v>
      </x:c>
      <x:c r="E1305" s="74" t="n">
        <x:v>45668.667</x:v>
      </x:c>
      <x:c r="F1305" s="73" t="str">
        <x:v>Официальный IR-релиз Норникеля 1П2025 (04.08.2025, nornickel.ru); Банк России</x:v>
      </x:c>
      <x:c r="G1305" s="73" t="str">
        <x:v>IR PDF стр. 18; курс на 28.06.2025</x:v>
      </x:c>
      <x:c r="H1305" s="73" t="str">
        <x:v>Компания включает аренду в долг; пересчет в млн руб.</x:v>
      </x:c>
      <x:c r="I1305" s="69"/>
      <x:c r="J1305" s="69"/>
      <x:c r="K1305" s="69"/>
    </x:row>
    <x:row r="1306">
      <x:c r="A1306" t="str">
        <x:v>GMKN</x:v>
      </x:c>
      <x:c r="B1306" t="str">
        <x:v>1П2025</x:v>
      </x:c>
      <x:c r="C1306" s="73" t="str">
        <x:v>Чистый долг компании</x:v>
      </x:c>
      <x:c r="D1306" s="73" t="str">
        <x:v>Денежные средства: 2 882 млн долл. × 78,4685</x:v>
      </x:c>
      <x:c r="E1306" s="74" t="n">
        <x:v>226146.217</x:v>
      </x:c>
      <x:c r="F1306" s="73" t="str">
        <x:v>Официальный IR-релиз Норникеля 1П2025 (04.08.2025, nornickel.ru); Банк России</x:v>
      </x:c>
      <x:c r="G1306" s="73" t="str">
        <x:v>IR PDF стр. 18; курс на 28.06.2025</x:v>
      </x:c>
      <x:c r="H1306" s="73" t="str">
        <x:v>Пересчет в млн руб. по официальному курсу ЦБ РФ</x:v>
      </x:c>
      <x:c r="I1306" s="69"/>
      <x:c r="J1306" s="69"/>
      <x:c r="K1306" s="69"/>
    </x:row>
    <x:row r="1307">
      <x:c r="A1307" s="60" t="str">
        <x:v>GMKN</x:v>
      </x:c>
      <x:c r="B1307" s="60" t="str">
        <x:v>1П2025</x:v>
      </x:c>
      <x:c r="C1307" s="76" t="str">
        <x:v>Чистый долг компании</x:v>
      </x:c>
      <x:c r="D1307" s="76" t="str">
        <x:v>ИТОГО: краткосрочный долг + долгосрочный долг + аренда − денежные средства</x:v>
      </x:c>
      <x:c r="E1307" s="77" t="n">
        <x:f>SUM(E1303:E1305)-E1306</x:f>
        <x:v>819995.825</x:v>
      </x:c>
      <x:c r="F1307" s="76" t="str">
        <x:v>Официальный IR-релиз Норникеля 1П2025 (04.08.2025, nornickel.ru); Банк России</x:v>
      </x:c>
      <x:c r="G1307" s="76" t="str">
        <x:v>IR PDF стр. 2, 18; курс на 28.06.2025</x:v>
      </x:c>
      <x:c r="H1307" s="76" t="str">
        <x:v>Опубликовано 10 450 млн долл.; пересчет 819 995,825 млн руб.</x:v>
      </x:c>
      <x:c r="I1307" s="71"/>
      <x:c r="J1307" s="71"/>
      <x:c r="K1307" s="71"/>
    </x:row>
    <x:row r="1309">
      <x:c r="A1309" t="str">
        <x:v>GMKN</x:v>
      </x:c>
      <x:c r="B1309" t="str">
        <x:v>1П2026</x:v>
      </x:c>
      <x:c r="C1309" s="73" t="str">
        <x:v>Чистый долг компании</x:v>
      </x:c>
      <x:c r="D1309" s="73" t="str">
        <x:v>Краткосрочные кредиты и займы</x:v>
      </x:c>
      <x:c r="E1309" s="74" t="n">
        <x:v>350100</x:v>
      </x:c>
      <x:c r="F1309" s="73" t="str">
        <x:v>GMKN_2026H1.pdf</x:v>
      </x:c>
      <x:c r="G1309" s="73" t="str">
        <x:v>PDF стр. 6, 22</x:v>
      </x:c>
      <x:c r="H1309" s="73" t="str">
        <x:v>Сверено с отчетом о финансовом положении</x:v>
      </x:c>
      <x:c r="I1309" s="69"/>
      <x:c r="J1309" s="69"/>
      <x:c r="K1309" s="69"/>
    </x:row>
    <x:row r="1310">
      <x:c r="A1310" t="str">
        <x:v>GMKN</x:v>
      </x:c>
      <x:c r="B1310" t="str">
        <x:v>1П2026</x:v>
      </x:c>
      <x:c r="C1310" s="73" t="str">
        <x:v>Чистый долг компании</x:v>
      </x:c>
      <x:c r="D1310" s="73" t="str">
        <x:v>Текущие обязательства по аренде</x:v>
      </x:c>
      <x:c r="E1310" s="74" t="n">
        <x:v>8865</x:v>
      </x:c>
      <x:c r="F1310" s="73" t="str">
        <x:v>GMKN_2026H1.pdf</x:v>
      </x:c>
      <x:c r="G1310" s="73" t="str">
        <x:v>PDF стр. 6, 24</x:v>
      </x:c>
      <x:c r="H1310" s="73" t="str">
        <x:v>Компания включает аренду в долг</x:v>
      </x:c>
      <x:c r="I1310" s="69"/>
      <x:c r="J1310" s="69"/>
      <x:c r="K1310" s="69"/>
    </x:row>
    <x:row r="1311">
      <x:c r="A1311" t="str">
        <x:v>GMKN</x:v>
      </x:c>
      <x:c r="B1311" t="str">
        <x:v>1П2026</x:v>
      </x:c>
      <x:c r="C1311" s="73" t="str">
        <x:v>Чистый долг компании</x:v>
      </x:c>
      <x:c r="D1311" s="73" t="str">
        <x:v>Долгосрочные кредиты и займы</x:v>
      </x:c>
      <x:c r="E1311" s="74" t="n">
        <x:v>462295</x:v>
      </x:c>
      <x:c r="F1311" s="73" t="str">
        <x:v>GMKN_2026H1.pdf</x:v>
      </x:c>
      <x:c r="G1311" s="73" t="str">
        <x:v>PDF стр. 6, 22</x:v>
      </x:c>
      <x:c r="H1311" s="73" t="str">
        <x:v>Сверено с отчетом о финансовом положении</x:v>
      </x:c>
      <x:c r="I1311" s="69"/>
      <x:c r="J1311" s="69"/>
      <x:c r="K1311" s="69"/>
    </x:row>
    <x:row r="1312">
      <x:c r="A1312" t="str">
        <x:v>GMKN</x:v>
      </x:c>
      <x:c r="B1312" t="str">
        <x:v>1П2026</x:v>
      </x:c>
      <x:c r="C1312" s="73" t="str">
        <x:v>Чистый долг компании</x:v>
      </x:c>
      <x:c r="D1312" s="73" t="str">
        <x:v>Долгосрочные обязательства по аренде</x:v>
      </x:c>
      <x:c r="E1312" s="74" t="n">
        <x:v>31905</x:v>
      </x:c>
      <x:c r="F1312" s="73" t="str">
        <x:v>GMKN_2026H1.pdf</x:v>
      </x:c>
      <x:c r="G1312" s="73" t="str">
        <x:v>PDF стр. 6, 24</x:v>
      </x:c>
      <x:c r="H1312" s="73" t="str">
        <x:v>Компания включает аренду в долг</x:v>
      </x:c>
      <x:c r="I1312" s="69"/>
      <x:c r="J1312" s="69"/>
      <x:c r="K1312" s="69"/>
    </x:row>
    <x:row r="1313">
      <x:c r="A1313" t="str">
        <x:v>GMKN</x:v>
      </x:c>
      <x:c r="B1313" t="str">
        <x:v>1П2026</x:v>
      </x:c>
      <x:c r="C1313" s="73" t="str">
        <x:v>Чистый долг компании</x:v>
      </x:c>
      <x:c r="D1313" s="73" t="str">
        <x:v>Денежные средства и их эквиваленты</x:v>
      </x:c>
      <x:c r="E1313" s="74" t="n">
        <x:v>149031</x:v>
      </x:c>
      <x:c r="F1313" s="73" t="str">
        <x:v>GMKN_2026H1.pdf</x:v>
      </x:c>
      <x:c r="G1313" s="73" t="str">
        <x:v>PDF стр. 6, 20</x:v>
      </x:c>
      <x:c r="H1313" s="73" t="str">
        <x:v>Сверено с отчетом о финансовом положении</x:v>
      </x:c>
      <x:c r="I1313" s="69"/>
      <x:c r="J1313" s="69"/>
      <x:c r="K1313" s="69"/>
    </x:row>
    <x:row r="1314">
      <x:c r="A1314" s="60" t="str">
        <x:v>GMKN</x:v>
      </x:c>
      <x:c r="B1314" s="60" t="str">
        <x:v>1П2026</x:v>
      </x:c>
      <x:c r="C1314" s="76" t="str">
        <x:v>Чистый долг компании</x:v>
      </x:c>
      <x:c r="D1314" s="76" t="str">
        <x:v>ИТОГО: кредиты и займы + аренда − денежные средства</x:v>
      </x:c>
      <x:c r="E1314" s="77" t="n">
        <x:f>SUM(E1309:E1312)-E1313</x:f>
        <x:v>704134</x:v>
      </x:c>
      <x:c r="F1314" s="76" t="str">
        <x:v>GMKN_2026H1.pdf; официальный IR-релиз 31.07.2026</x:v>
      </x:c>
      <x:c r="G1314" s="76" t="str">
        <x:v>МСФО PDF стр. 6, 20, 22, 24</x:v>
      </x:c>
      <x:c r="H1314" s="76" t="str">
        <x:v>ЧД 704 134 млн руб.; соответствует раскрытию 9,1 млрд долл. США после округления</x:v>
      </x:c>
      <x:c r="I1314" s="71"/>
      <x:c r="J1314" s="71"/>
      <x:c r="K1314" s="71"/>
    </x:row>
    <x:row r="1316">
      <x:c r="A1316" t="str">
        <x:v>GMKN</x:v>
      </x:c>
      <x:c r="B1316" t="str">
        <x:v>2025</x:v>
      </x:c>
      <x:c r="C1316" s="73" t="str">
        <x:v>Альтернативное раскрытие EBITDA</x:v>
      </x:c>
      <x:c r="D1316" s="73" t="str">
        <x:v>EBITDA в рублевой таблице отчета эмитента</x:v>
      </x:c>
      <x:c r="E1316" s="74" t="n">
        <x:v>475066</x:v>
      </x:c>
      <x:c r="F1316" s="73" t="str">
        <x:v>Норникель_отчет_эмитента_2025.pdf</x:v>
      </x:c>
      <x:c r="G1316" s="73" t="str">
        <x:v>PDF стр. 14</x:v>
      </x:c>
      <x:c r="H1316" s="73" t="str">
        <x:v>Не выбрана: приоритет МСФО; выбранная EBITDA 5 668 млн долл. пересчитана по среднему курсу ЦБ РФ</x:v>
      </x:c>
      <x:c r="I1316" s="69"/>
      <x:c r="J1316" s="69"/>
      <x:c r="K1316" s="69"/>
    </x:row>
    <x:row r="1317">
      <x:c r="A1317" t="str">
        <x:v>PLZL</x:v>
      </x:c>
      <x:c r="B1317" t="str">
        <x:v>2025</x:v>
      </x:c>
      <x:c r="C1317" s="73" t="str">
        <x:v>Краткосрочные кредиты и займы</x:v>
      </x:c>
      <x:c r="D1317" s="73" t="str">
        <x:v>Раскрытое значение</x:v>
      </x:c>
      <x:c r="E1317" s="74" t="n">
        <x:v>9222</x:v>
      </x:c>
      <x:c r="F1317" s="73" t="str">
        <x:v>Полюс_МСФО_2025.pdf</x:v>
      </x:c>
      <x:c r="G1317" s="73" t="str">
        <x:v>PDF стр. 11</x:v>
      </x:c>
      <x:c r="H1317" s="73" t="str">
        <x:v>Компонент опубликованного чистого долга</x:v>
      </x:c>
    </x:row>
    <x:row r="1318">
      <x:c r="A1318" t="str">
        <x:v>PLZL</x:v>
      </x:c>
      <x:c r="B1318" t="str">
        <x:v>2025</x:v>
      </x:c>
      <x:c r="C1318" s="73" t="str">
        <x:v>Долгосрочные кредиты и займы</x:v>
      </x:c>
      <x:c r="D1318" s="73" t="str">
        <x:v>Раскрытое значение</x:v>
      </x:c>
      <x:c r="E1318" s="74" t="n">
        <x:v>779049</x:v>
      </x:c>
      <x:c r="F1318" s="73" t="str">
        <x:v>Полюс_МСФО_2025.pdf</x:v>
      </x:c>
      <x:c r="G1318" s="73" t="str">
        <x:v>PDF стр. 11</x:v>
      </x:c>
      <x:c r="H1318" s="73" t="str">
        <x:v>Компонент опубликованного чистого долга; включает обязательства по аренде</x:v>
      </x:c>
    </x:row>
    <x:row r="1319">
      <x:c r="A1319" t="str">
        <x:v>PLZL</x:v>
      </x:c>
      <x:c r="B1319" t="str">
        <x:v>2025</x:v>
      </x:c>
      <x:c r="C1319" s="73" t="str">
        <x:v>Производные финансовые обязательства</x:v>
      </x:c>
      <x:c r="D1319" s="73" t="str">
        <x:v>Раскрытое значение</x:v>
      </x:c>
      <x:c r="E1319" s="74" t="n">
        <x:v>798</x:v>
      </x:c>
      <x:c r="F1319" s="73" t="str">
        <x:v>Полюс_МСФО_2025.pdf</x:v>
      </x:c>
      <x:c r="G1319" s="73" t="str">
        <x:v>PDF стр. 11</x:v>
      </x:c>
      <x:c r="H1319" s="73" t="str">
        <x:v>Включены по методике чистого долга эмитента</x:v>
      </x:c>
    </x:row>
    <x:row r="1320">
      <x:c r="A1320" t="str">
        <x:v>PLZL</x:v>
      </x:c>
      <x:c r="B1320" t="str">
        <x:v>2025</x:v>
      </x:c>
      <x:c r="C1320" s="73" t="str">
        <x:v>Денежные средства и эквиваленты</x:v>
      </x:c>
      <x:c r="D1320" s="73" t="str">
        <x:v>Раскрытое значение</x:v>
      </x:c>
      <x:c r="E1320" s="74" t="n">
        <x:v>139061</x:v>
      </x:c>
      <x:c r="F1320" s="73" t="str">
        <x:v>Полюс_МСФО_2025.pdf</x:v>
      </x:c>
      <x:c r="G1320" s="73" t="str">
        <x:v>PDF стр. 11</x:v>
      </x:c>
      <x:c r="H1320" s="73" t="str">
        <x:v>Вычитаются из общего долга</x:v>
      </x:c>
    </x:row>
    <x:row r="1321">
      <x:c r="A1321" t="str">
        <x:v>PLZL</x:v>
      </x:c>
      <x:c r="B1321" t="str">
        <x:v>2025</x:v>
      </x:c>
      <x:c r="C1321" s="73" t="str">
        <x:v>Краткосрочные банковские депозиты</x:v>
      </x:c>
      <x:c r="D1321" s="73" t="str">
        <x:v>Раскрытое значение</x:v>
      </x:c>
      <x:c r="E1321" s="74" t="n">
        <x:v>94686</x:v>
      </x:c>
      <x:c r="F1321" s="73" t="str">
        <x:v>Полюс_МСФО_2025.pdf</x:v>
      </x:c>
      <x:c r="G1321" s="73" t="str">
        <x:v>PDF стр. 11</x:v>
      </x:c>
      <x:c r="H1321" s="73" t="str">
        <x:v>Вычитаются из общего долга</x:v>
      </x:c>
    </x:row>
    <x:row r="1322">
      <x:c r="A1322" t="str">
        <x:v>PLZL</x:v>
      </x:c>
      <x:c r="B1322" t="str">
        <x:v>2025</x:v>
      </x:c>
      <x:c r="C1322" s="73" t="str">
        <x:v>Общий долг с деривативами</x:v>
      </x:c>
      <x:c r="D1322" s="73" t="str">
        <x:v>Расчёт по раскрытой методике</x:v>
      </x:c>
      <x:c r="E1322" s="74" t="n">
        <x:f>SUM(E1317:E1319)</x:f>
        <x:v>789069</x:v>
      </x:c>
      <x:c r="F1322" s="73" t="str">
        <x:v>Полюс_МСФО_2025.pdf</x:v>
      </x:c>
      <x:c r="G1322" s="73" t="str">
        <x:v>PDF стр. 11</x:v>
      </x:c>
      <x:c r="H1322" s="73" t="str">
        <x:v>Кредиты и займы плюс производные финансовые обязательства</x:v>
      </x:c>
    </x:row>
    <x:row r="1323">
      <x:c r="A1323" t="str">
        <x:v>PLZL</x:v>
      </x:c>
      <x:c r="B1323" t="str">
        <x:v>2025</x:v>
      </x:c>
      <x:c r="C1323" s="73" t="str">
        <x:v>Денежные средства и депозиты</x:v>
      </x:c>
      <x:c r="D1323" s="73" t="str">
        <x:v>Расчёт по раскрытой методике</x:v>
      </x:c>
      <x:c r="E1323" s="74" t="n">
        <x:f>SUM(E1320:E1321)</x:f>
        <x:v>233747</x:v>
      </x:c>
      <x:c r="F1323" s="73" t="str">
        <x:v>Полюс_МСФО_2025.pdf</x:v>
      </x:c>
      <x:c r="G1323" s="73" t="str">
        <x:v>PDF стр. 11</x:v>
      </x:c>
      <x:c r="H1323" s="73" t="str">
        <x:v>Денежные средства плюс краткосрочные банковские депозиты</x:v>
      </x:c>
    </x:row>
    <x:row r="1324">
      <x:c r="A1324" t="str">
        <x:v>PLZL</x:v>
      </x:c>
      <x:c r="B1324" t="str">
        <x:v>2025</x:v>
      </x:c>
      <x:c r="C1324" s="73" t="str">
        <x:v>Чистый долг — расчёт</x:v>
      </x:c>
      <x:c r="D1324" s="73" t="str">
        <x:v>Расчёт по раскрытой методике</x:v>
      </x:c>
      <x:c r="E1324" s="74" t="n">
        <x:f>E1322-E1323</x:f>
        <x:v>555322</x:v>
      </x:c>
      <x:c r="F1324" s="73" t="str">
        <x:v>Полюс_МСФО_2025.pdf; Полюс_отчет_эмитента_2025.pdf</x:v>
      </x:c>
      <x:c r="G1324" s="73" t="str">
        <x:v>PDF стр. 11; PDF стр. 10</x:v>
      </x:c>
      <x:c r="H1324" s="73" t="str">
        <x:v>Общий долг с деривативами минус денежные средства и депозиты</x:v>
      </x:c>
    </x:row>
    <x:row r="1325">
      <x:c r="A1325" t="str">
        <x:v>PLZL</x:v>
      </x:c>
      <x:c r="B1325" t="str">
        <x:v>2025</x:v>
      </x:c>
      <x:c r="C1325" s="73" t="str">
        <x:v>Чистый долг — опубликовано</x:v>
      </x:c>
      <x:c r="D1325" s="73" t="str">
        <x:v>Раскрытое значение</x:v>
      </x:c>
      <x:c r="E1325" s="74" t="n">
        <x:v>555322</x:v>
      </x:c>
      <x:c r="F1325" s="73" t="str">
        <x:v>Полюс_отчет_эмитента_2025.pdf</x:v>
      </x:c>
      <x:c r="G1325" s="73" t="str">
        <x:v>PDF стр. 10</x:v>
      </x:c>
      <x:c r="H1325" s="73" t="str">
        <x:v>Опубликованный чистый долг по методике эмитента</x:v>
      </x:c>
    </x:row>
    <x:row r="1326">
      <x:c r="A1326" t="str">
        <x:v>PLZL</x:v>
      </x:c>
      <x:c r="B1326" t="str">
        <x:v>2025</x:v>
      </x:c>
      <x:c r="C1326" s="73" t="str">
        <x:v>Проверка чистого долга</x:v>
      </x:c>
      <x:c r="D1326" s="73" t="str">
        <x:v>Расчётная разность</x:v>
      </x:c>
      <x:c r="E1326" s="74" t="n">
        <x:f>E1324-E1325</x:f>
        <x:v>0</x:v>
      </x:c>
      <x:c r="F1326" s="73" t="str">
        <x:v>Расчёт</x:v>
      </x:c>
      <x:c r="G1326" s="73" t="str">
        <x:v>—</x:v>
      </x:c>
      <x:c r="H1326" s="73" t="str">
        <x:v>Расчёт минус опубликованное значение</x:v>
      </x:c>
    </x:row>
    <x:row r="1327">
      <x:c r="A1327" t="str">
        <x:v>PLZL</x:v>
      </x:c>
      <x:c r="B1327" t="str">
        <x:v>2025</x:v>
      </x:c>
      <x:c r="C1327" s="73" t="str">
        <x:v>Операционная прибыль</x:v>
      </x:c>
      <x:c r="D1327" s="73" t="str">
        <x:v>Компонент скорр. EBITDA</x:v>
      </x:c>
      <x:c r="E1327" s="74" t="n">
        <x:v>418055</x:v>
      </x:c>
      <x:c r="F1327" s="73" t="str">
        <x:v>Полюс_МСФО_2025.pdf</x:v>
      </x:c>
      <x:c r="G1327" s="73" t="str">
        <x:v>PDF стр. 28</x:v>
      </x:c>
      <x:c r="H1327" s="73" t="str">
        <x:v>Компонент раскрытого расчёта</x:v>
      </x:c>
    </x:row>
    <x:row r="1328">
      <x:c r="A1328" t="str">
        <x:v>PLZL</x:v>
      </x:c>
      <x:c r="B1328" t="str">
        <x:v>2025</x:v>
      </x:c>
      <x:c r="C1328" s="73" t="str">
        <x:v>Амортизация ОС и НМА</x:v>
      </x:c>
      <x:c r="D1328" s="73" t="str">
        <x:v>Компонент скорр. EBITDA</x:v>
      </x:c>
      <x:c r="E1328" s="74" t="n">
        <x:v>44306</x:v>
      </x:c>
      <x:c r="F1328" s="73" t="str">
        <x:v>Полюс_МСФО_2025.pdf</x:v>
      </x:c>
      <x:c r="G1328" s="73" t="str">
        <x:v>PDF стр. 28</x:v>
      </x:c>
      <x:c r="H1328" s="73" t="str">
        <x:v>Компонент раскрытого расчёта</x:v>
      </x:c>
    </x:row>
    <x:row r="1329">
      <x:c r="A1329" t="str">
        <x:v>PLZL</x:v>
      </x:c>
      <x:c r="B1329" t="str">
        <x:v>2025</x:v>
      </x:c>
      <x:c r="C1329" s="73" t="str">
        <x:v>Долгосрочные планы вознаграждений акциями</x:v>
      </x:c>
      <x:c r="D1329" s="73" t="str">
        <x:v>Компонент скорр. EBITDA</x:v>
      </x:c>
      <x:c r="E1329" s="74" t="n">
        <x:v>4118</x:v>
      </x:c>
      <x:c r="F1329" s="73" t="str">
        <x:v>Полюс_МСФО_2025.pdf</x:v>
      </x:c>
      <x:c r="G1329" s="73" t="str">
        <x:v>PDF стр. 28</x:v>
      </x:c>
      <x:c r="H1329" s="73" t="str">
        <x:v>Дополнительная корректировка</x:v>
      </x:c>
    </x:row>
    <x:row r="1330">
      <x:c r="A1330" t="str">
        <x:v>PLZL</x:v>
      </x:c>
      <x:c r="B1330" t="str">
        <x:v>2025</x:v>
      </x:c>
      <x:c r="C1330" s="73" t="str">
        <x:v>Обесценение запасов</x:v>
      </x:c>
      <x:c r="D1330" s="73" t="str">
        <x:v>Компонент скорр. EBITDA</x:v>
      </x:c>
      <x:c r="E1330" s="74" t="n">
        <x:v>0</x:v>
      </x:c>
      <x:c r="F1330" s="73" t="str">
        <x:v>Полюс_МСФО_2025.pdf</x:v>
      </x:c>
      <x:c r="G1330" s="73" t="str">
        <x:v>PDF стр. 28</x:v>
      </x:c>
      <x:c r="H1330" s="73" t="str">
        <x:v>Дополнительная корректировка; в 2025 году отсутствует</x:v>
      </x:c>
    </x:row>
    <x:row r="1331">
      <x:c r="A1331" t="str">
        <x:v>PLZL</x:v>
      </x:c>
      <x:c r="B1331" t="str">
        <x:v>2025</x:v>
      </x:c>
      <x:c r="C1331" s="73" t="str">
        <x:v>Определённые статьи прочих расходов</x:v>
      </x:c>
      <x:c r="D1331" s="73" t="str">
        <x:v>Компонент скорр. EBITDA</x:v>
      </x:c>
      <x:c r="E1331" s="74" t="n">
        <x:v>51314</x:v>
      </x:c>
      <x:c r="F1331" s="73" t="str">
        <x:v>Полюс_МСФО_2025.pdf</x:v>
      </x:c>
      <x:c r="G1331" s="73" t="str">
        <x:v>PDF стр. 28</x:v>
      </x:c>
      <x:c r="H1331" s="73" t="str">
        <x:v>Благотворительность, обесценение и выбытие ОС/НМА</x:v>
      </x:c>
    </x:row>
    <x:row r="1332">
      <x:c r="A1332" t="str">
        <x:v>PLZL</x:v>
      </x:c>
      <x:c r="B1332" t="str">
        <x:v>2025</x:v>
      </x:c>
      <x:c r="C1332" s="73" t="str">
        <x:v>Скорр. EBITDA — расчёт</x:v>
      </x:c>
      <x:c r="D1332" s="73" t="str">
        <x:v>Расчёт по раскрытой методике</x:v>
      </x:c>
      <x:c r="E1332" s="74" t="n">
        <x:f>SUM(E1327:E1331)</x:f>
        <x:v>517793</x:v>
      </x:c>
      <x:c r="F1332" s="73" t="str">
        <x:v>Полюс_МСФО_2025.pdf</x:v>
      </x:c>
      <x:c r="G1332" s="73" t="str">
        <x:v>PDF стр. 28</x:v>
      </x:c>
      <x:c r="H1332" s="73" t="str">
        <x:v>Сумма раскрытых компонентов</x:v>
      </x:c>
    </x:row>
    <x:row r="1333">
      <x:c r="A1333" t="str">
        <x:v>PLZL</x:v>
      </x:c>
      <x:c r="B1333" t="str">
        <x:v>2025</x:v>
      </x:c>
      <x:c r="C1333" s="73" t="str">
        <x:v>Скорр. EBITDA — опубликовано</x:v>
      </x:c>
      <x:c r="D1333" s="73" t="str">
        <x:v>Раскрытое значение</x:v>
      </x:c>
      <x:c r="E1333" s="74" t="n">
        <x:v>517793</x:v>
      </x:c>
      <x:c r="F1333" s="73" t="str">
        <x:v>Полюс_МСФО_2025.pdf</x:v>
      </x:c>
      <x:c r="G1333" s="73" t="str">
        <x:v>PDF стр. 28</x:v>
      </x:c>
      <x:c r="H1333" s="73" t="str">
        <x:v>Опубликованная скорректированная EBITDA</x:v>
      </x:c>
    </x:row>
    <x:row r="1334">
      <x:c r="A1334" t="str">
        <x:v>PLZL</x:v>
      </x:c>
      <x:c r="B1334" t="str">
        <x:v>2025</x:v>
      </x:c>
      <x:c r="C1334" s="73" t="str">
        <x:v>Проверка скорр. EBITDA</x:v>
      </x:c>
      <x:c r="D1334" s="73" t="str">
        <x:v>Расчётная разность</x:v>
      </x:c>
      <x:c r="E1334" s="74" t="n">
        <x:f>E1332-E1333</x:f>
        <x:v>0</x:v>
      </x:c>
      <x:c r="F1334" s="73" t="str">
        <x:v>Расчёт</x:v>
      </x:c>
      <x:c r="G1334" s="73" t="str">
        <x:v>—</x:v>
      </x:c>
      <x:c r="H1334" s="73" t="str">
        <x:v>Расчёт минус опубликованное значение</x:v>
      </x:c>
    </x:row>
    <x:row r="1335">
      <x:c r="A1335" t="str">
        <x:v>HEAD</x:v>
      </x:c>
      <x:c r="B1335" t="str">
        <x:v>2025</x:v>
      </x:c>
      <x:c r="C1335" s="73" t="str">
        <x:v>Чистый долг компании</x:v>
      </x:c>
      <x:c r="D1335" s="73" t="str">
        <x:v>Краткосрочные кредиты и займы</x:v>
      </x:c>
      <x:c r="E1335" s="74" t="n">
        <x:v>4.507</x:v>
      </x:c>
      <x:c r="F1335" s="73" t="str">
        <x:v>ХХ_МСФО_2025.pdf</x:v>
      </x:c>
      <x:c r="G1335" s="73" t="str">
        <x:v>PDF стр. 8</x:v>
      </x:c>
      <x:c r="H1335" s="73" t="str">
        <x:v>Компонент раскрытого чистого долга</x:v>
      </x:c>
      <x:c r="I1335"/>
      <x:c r="J1335"/>
      <x:c r="K1335"/>
    </x:row>
    <x:row r="1336">
      <x:c r="A1336" t="str">
        <x:v>HEAD</x:v>
      </x:c>
      <x:c r="B1336" t="str">
        <x:v>2025</x:v>
      </x:c>
      <x:c r="C1336" s="73" t="str">
        <x:v>Чистый долг компании</x:v>
      </x:c>
      <x:c r="D1336" s="73" t="str">
        <x:v>Денежные средства и их эквиваленты</x:v>
      </x:c>
      <x:c r="E1336" s="74" t="n">
        <x:v>14501.243</x:v>
      </x:c>
      <x:c r="F1336" s="73" t="str">
        <x:v>ХХ_МСФО_2025.pdf</x:v>
      </x:c>
      <x:c r="G1336" s="73" t="str">
        <x:v>PDF стр. 8</x:v>
      </x:c>
      <x:c r="H1336" s="73" t="str">
        <x:v>Вычитаются по методике эмитента</x:v>
      </x:c>
      <x:c r="I1336"/>
      <x:c r="J1336"/>
      <x:c r="K1336"/>
    </x:row>
    <x:row r="1337">
      <x:c r="A1337" t="str">
        <x:v>HEAD</x:v>
      </x:c>
      <x:c r="B1337" t="str">
        <x:v>2025</x:v>
      </x:c>
      <x:c r="C1337" s="73" t="str">
        <x:v>Чистый долг компании</x:v>
      </x:c>
      <x:c r="D1337" s="73" t="str">
        <x:v>Краткосрочные инвестиции</x:v>
      </x:c>
      <x:c r="E1337" s="74" t="n">
        <x:v>190</x:v>
      </x:c>
      <x:c r="F1337" s="73" t="str">
        <x:v>ХХ_МСФО_2025.pdf; HEAD_2026H1.pdf</x:v>
      </x:c>
      <x:c r="G1337" s="73" t="str">
        <x:v>МСФО PDF стр. 8; 1П2026 PDF стр. 5</x:v>
      </x:c>
      <x:c r="H1337" s="73" t="str">
        <x:v>Вычитаются по методике эмитента; сравнительный остаток на 31.12.2025</x:v>
      </x:c>
      <x:c r="I1337"/>
      <x:c r="J1337"/>
      <x:c r="K1337"/>
    </x:row>
    <x:row r="1338">
      <x:c r="A1338" t="str">
        <x:v>HEAD</x:v>
      </x:c>
      <x:c r="B1338" t="str">
        <x:v>2025</x:v>
      </x:c>
      <x:c r="C1338" s="73" t="str">
        <x:v>Чистый долг компании</x:v>
      </x:c>
      <x:c r="D1338" s="73" t="str">
        <x:v>Расчёт: кредиты и займы − деньги − краткосрочные инвестиции</x:v>
      </x:c>
      <x:c r="E1338" s="74" t="n">
        <x:f>E1335-E1336-E1337</x:f>
        <x:v>-14686.736</x:v>
      </x:c>
      <x:c r="F1338" s="73" t="str">
        <x:v>ХХ_МСФО_2025.pdf; ХХ_отчет_эмитента_2025.pdf</x:v>
      </x:c>
      <x:c r="G1338" s="73" t="str">
        <x:v>МСФО PDF стр. 8; отчёт эмитента PDF стр. 18</x:v>
      </x:c>
      <x:c r="H1338" s="73" t="str">
        <x:v>Расчёт по раскрытой методике</x:v>
      </x:c>
      <x:c r="I1338"/>
      <x:c r="J1338"/>
      <x:c r="K1338"/>
    </x:row>
    <x:row r="1339">
      <x:c r="A1339" t="str">
        <x:v>HEAD</x:v>
      </x:c>
      <x:c r="B1339" t="str">
        <x:v>2025</x:v>
      </x:c>
      <x:c r="C1339" s="73" t="str">
        <x:v>Чистый долг компании</x:v>
      </x:c>
      <x:c r="D1339" s="73" t="str">
        <x:v>Опубликованное значение</x:v>
      </x:c>
      <x:c r="E1339" s="74" t="n">
        <x:v>-14686.736</x:v>
      </x:c>
      <x:c r="F1339" s="73" t="str">
        <x:v>ХХ_отчет_эмитента_2025.pdf</x:v>
      </x:c>
      <x:c r="G1339" s="73" t="str">
        <x:v>PDF стр. 18</x:v>
      </x:c>
      <x:c r="H1339" s="73" t="str">
        <x:v>Опубликованный чистый долг; аренда не включена</x:v>
      </x:c>
      <x:c r="I1339"/>
      <x:c r="J1339"/>
      <x:c r="K1339"/>
    </x:row>
    <x:row r="1340">
      <x:c r="A1340" t="str">
        <x:v>HEAD</x:v>
      </x:c>
      <x:c r="B1340" t="str">
        <x:v>2025</x:v>
      </x:c>
      <x:c r="C1340" s="73" t="str">
        <x:v>Проверка чистого долга</x:v>
      </x:c>
      <x:c r="D1340" s="73" t="str">
        <x:v>Расчётная разность</x:v>
      </x:c>
      <x:c r="E1340" s="74" t="n">
        <x:f>E1338-E1339</x:f>
        <x:v>0</x:v>
      </x:c>
      <x:c r="F1340" s="73" t="str">
        <x:v>Расчёт</x:v>
      </x:c>
      <x:c r="G1340" s="73" t="str">
        <x:v>—</x:v>
      </x:c>
      <x:c r="H1340" s="73" t="str">
        <x:v>Расчёт минус опубликованное значение</x:v>
      </x:c>
      <x:c r="I1340"/>
      <x:c r="J1340"/>
      <x:c r="K1340"/>
    </x:row>
    <x:row r="1341">
      <x:c r="A1341" t="str">
        <x:v>HEAD</x:v>
      </x:c>
      <x:c r="B1341" t="str">
        <x:v>2025</x:v>
      </x:c>
      <x:c r="C1341" s="73" t="str">
        <x:v>Скорр. чистый долг с арендой</x:v>
      </x:c>
      <x:c r="D1341" s="73" t="str">
        <x:v>Обязательства по аренде</x:v>
      </x:c>
      <x:c r="E1341" s="74" t="n">
        <x:v>3131.027</x:v>
      </x:c>
      <x:c r="F1341" s="73" t="str">
        <x:v>ХХ_МСФО_2025.pdf</x:v>
      </x:c>
      <x:c r="G1341" s="73" t="str">
        <x:v>PDF стр. 8, 46</x:v>
      </x:c>
      <x:c r="H1341" s="73" t="str">
        <x:v>Отдельная корректировка к опубликованному чистому долгу</x:v>
      </x:c>
      <x:c r="I1341"/>
      <x:c r="J1341"/>
      <x:c r="K1341"/>
    </x:row>
    <x:row r="1342">
      <x:c r="A1342" t="str">
        <x:v>HEAD</x:v>
      </x:c>
      <x:c r="B1342" t="str">
        <x:v>2025</x:v>
      </x:c>
      <x:c r="C1342" s="73" t="str">
        <x:v>Скорр. чистый долг с арендой</x:v>
      </x:c>
      <x:c r="D1342" s="73" t="str">
        <x:v>Чистый долг компании + аренда</x:v>
      </x:c>
      <x:c r="E1342" s="74" t="n">
        <x:f>E1338+E1341</x:f>
        <x:v>-11555.709</x:v>
      </x:c>
      <x:c r="F1342" s="73" t="str">
        <x:v>ХХ_МСФО_2025.pdf; ХХ_отчет_эмитента_2025.pdf</x:v>
      </x:c>
      <x:c r="G1342" s="73" t="str">
        <x:v>МСФО PDF стр. 8, 46; отчёт эмитента PDF стр. 18</x:v>
      </x:c>
      <x:c r="H1342" s="73" t="str">
        <x:v>Аналитическая версия с арендой, показана отдельно</x:v>
      </x:c>
      <x:c r="I1342"/>
      <x:c r="J1342"/>
      <x:c r="K1342"/>
    </x:row>
    <x:row r="1343">
      <x:c r="A1343"/>
      <x:c r="B1343"/>
      <x:c r="C1343" s="73"/>
      <x:c r="D1343" s="73"/>
      <x:c r="E1343" s="74"/>
      <x:c r="F1343" s="73"/>
      <x:c r="G1343" s="73"/>
      <x:c r="H1343" s="73"/>
      <x:c r="I1343"/>
      <x:c r="J1343"/>
      <x:c r="K1343"/>
    </x:row>
    <x:row r="1344">
      <x:c r="A1344" t="str">
        <x:v>HEAD</x:v>
      </x:c>
      <x:c r="B1344" t="str">
        <x:v>1П2026</x:v>
      </x:c>
      <x:c r="C1344" s="73" t="str">
        <x:v>Чистый долг компании</x:v>
      </x:c>
      <x:c r="D1344" s="73" t="str">
        <x:v>Кредиты и займы</x:v>
      </x:c>
      <x:c r="E1344" s="74" t="n">
        <x:v>0</x:v>
      </x:c>
      <x:c r="F1344" s="73" t="str">
        <x:v>HEAD_2026H1.pdf</x:v>
      </x:c>
      <x:c r="G1344" s="73" t="str">
        <x:v>PDF стр. 5</x:v>
      </x:c>
      <x:c r="H1344" s="73" t="str">
        <x:v>На 30.06.2026 кредиты и займы отсутствуют</x:v>
      </x:c>
      <x:c r="I1344"/>
      <x:c r="J1344"/>
      <x:c r="K1344"/>
    </x:row>
    <x:row r="1345">
      <x:c r="A1345" t="str">
        <x:v>HEAD</x:v>
      </x:c>
      <x:c r="B1345" t="str">
        <x:v>1П2026</x:v>
      </x:c>
      <x:c r="C1345" s="73" t="str">
        <x:v>Чистый долг компании</x:v>
      </x:c>
      <x:c r="D1345" s="73" t="str">
        <x:v>Денежные средства и их эквиваленты</x:v>
      </x:c>
      <x:c r="E1345" s="74" t="n">
        <x:v>7788.118</x:v>
      </x:c>
      <x:c r="F1345" s="73" t="str">
        <x:v>HEAD_2026H1.pdf</x:v>
      </x:c>
      <x:c r="G1345" s="73" t="str">
        <x:v>PDF стр. 5</x:v>
      </x:c>
      <x:c r="H1345" s="73" t="str">
        <x:v>Вычитаются по методике эмитента</x:v>
      </x:c>
      <x:c r="I1345"/>
      <x:c r="J1345"/>
      <x:c r="K1345"/>
    </x:row>
    <x:row r="1346">
      <x:c r="A1346" t="str">
        <x:v>HEAD</x:v>
      </x:c>
      <x:c r="B1346" t="str">
        <x:v>1П2026</x:v>
      </x:c>
      <x:c r="C1346" s="73" t="str">
        <x:v>Чистый долг компании</x:v>
      </x:c>
      <x:c r="D1346" s="73" t="str">
        <x:v>Краткосрочные инвестиции</x:v>
      </x:c>
      <x:c r="E1346" s="74" t="n">
        <x:v>200</x:v>
      </x:c>
      <x:c r="F1346" s="73" t="str">
        <x:v>HEAD_2026H1.pdf</x:v>
      </x:c>
      <x:c r="G1346" s="73" t="str">
        <x:v>PDF стр. 5</x:v>
      </x:c>
      <x:c r="H1346" s="73" t="str">
        <x:v>Вычитаются по раскрытой годовой методике эмитента</x:v>
      </x:c>
      <x:c r="I1346"/>
      <x:c r="J1346"/>
      <x:c r="K1346"/>
    </x:row>
    <x:row r="1347">
      <x:c r="A1347" t="str">
        <x:v>HEAD</x:v>
      </x:c>
      <x:c r="B1347" t="str">
        <x:v>1П2026</x:v>
      </x:c>
      <x:c r="C1347" s="73" t="str">
        <x:v>Чистый долг компании</x:v>
      </x:c>
      <x:c r="D1347" s="73" t="str">
        <x:v>Расчёт по раскрытой методике</x:v>
      </x:c>
      <x:c r="E1347" s="74" t="n">
        <x:f>E1344-E1345-E1346</x:f>
        <x:v>-7988.118</x:v>
      </x:c>
      <x:c r="F1347" s="73" t="str">
        <x:v>HEAD_2026H1.pdf; ХХ_отчет_эмитента_2025.pdf</x:v>
      </x:c>
      <x:c r="G1347" s="73" t="str">
        <x:v>1П2026 PDF стр. 5; отчёт эмитента PDF стр. 18</x:v>
      </x:c>
      <x:c r="H1347" s="73" t="str">
        <x:v>Кредиты и займы − деньги − краткосрочные инвестиции</x:v>
      </x:c>
      <x:c r="I1347"/>
      <x:c r="J1347"/>
      <x:c r="K1347"/>
    </x:row>
    <x:row r="1348">
      <x:c r="A1348" t="str">
        <x:v>HEAD</x:v>
      </x:c>
      <x:c r="B1348" t="str">
        <x:v>1П2026</x:v>
      </x:c>
      <x:c r="C1348" s="73" t="str">
        <x:v>Скорр. чистый долг с арендой</x:v>
      </x:c>
      <x:c r="D1348" s="73" t="str">
        <x:v>Обязательства по аренде</x:v>
      </x:c>
      <x:c r="E1348" s="74" t="n">
        <x:v>3232.675</x:v>
      </x:c>
      <x:c r="F1348" s="73" t="str">
        <x:v>HEAD_2026H1.pdf</x:v>
      </x:c>
      <x:c r="G1348" s="73" t="str">
        <x:v>PDF стр. 5</x:v>
      </x:c>
      <x:c r="H1348" s="73" t="str">
        <x:v>Краткосрочная и долгосрочная аренда</x:v>
      </x:c>
      <x:c r="I1348"/>
      <x:c r="J1348"/>
      <x:c r="K1348"/>
    </x:row>
    <x:row r="1349">
      <x:c r="A1349" t="str">
        <x:v>HEAD</x:v>
      </x:c>
      <x:c r="B1349" t="str">
        <x:v>1П2026</x:v>
      </x:c>
      <x:c r="C1349" s="73" t="str">
        <x:v>Скорр. чистый долг с арендой</x:v>
      </x:c>
      <x:c r="D1349" s="73" t="str">
        <x:v>Чистый долг компании + аренда</x:v>
      </x:c>
      <x:c r="E1349" s="74" t="n">
        <x:f>E1347+E1348</x:f>
        <x:v>-4755.443</x:v>
      </x:c>
      <x:c r="F1349" s="73" t="str">
        <x:v>HEAD_2026H1.pdf; ХХ_отчет_эмитента_2025.pdf</x:v>
      </x:c>
      <x:c r="G1349" s="73" t="str">
        <x:v>1П2026 PDF стр. 5; отчёт эмитента PDF стр. 18</x:v>
      </x:c>
      <x:c r="H1349" s="73" t="str">
        <x:v>Аналитическая версия с арендой, показана отдельно</x:v>
      </x:c>
      <x:c r="I1349"/>
      <x:c r="J1349"/>
      <x:c r="K1349"/>
    </x:row>
    <x:row r="1350">
      <x:c r="A1350"/>
      <x:c r="B1350"/>
      <x:c r="C1350" s="73"/>
      <x:c r="D1350" s="73"/>
      <x:c r="E1350" s="74"/>
      <x:c r="F1350" s="73"/>
      <x:c r="G1350" s="73"/>
      <x:c r="H1350" s="73"/>
      <x:c r="I1350"/>
      <x:c r="J1350"/>
      <x:c r="K1350"/>
    </x:row>
    <x:row r="1351">
      <x:c r="A1351" t="str">
        <x:v>HEAD</x:v>
      </x:c>
      <x:c r="B1351" t="str">
        <x:v>2025</x:v>
      </x:c>
      <x:c r="C1351" s="73" t="str">
        <x:v>EBITDA</x:v>
      </x:c>
      <x:c r="D1351" s="73" t="str">
        <x:v>Прибыль до налогообложения</x:v>
      </x:c>
      <x:c r="E1351" s="74" t="n">
        <x:v>19996.663</x:v>
      </x:c>
      <x:c r="F1351" s="73" t="str">
        <x:v>ХХ_МСФО_2025.pdf</x:v>
      </x:c>
      <x:c r="G1351" s="73" t="str">
        <x:v>PDF стр. 23</x:v>
      </x:c>
      <x:c r="H1351" s="73" t="str">
        <x:v>Компонент опубликованной EBITDA</x:v>
      </x:c>
      <x:c r="I1351"/>
      <x:c r="J1351"/>
      <x:c r="K1351"/>
    </x:row>
    <x:row r="1352">
      <x:c r="A1352" t="str">
        <x:v>HEAD</x:v>
      </x:c>
      <x:c r="B1352" t="str">
        <x:v>2025</x:v>
      </x:c>
      <x:c r="C1352" s="73" t="str">
        <x:v>EBITDA</x:v>
      </x:c>
      <x:c r="D1352" s="73" t="str">
        <x:v>Минус чистые финансовые доходы</x:v>
      </x:c>
      <x:c r="E1352" s="74" t="n">
        <x:v>-1299.673</x:v>
      </x:c>
      <x:c r="F1352" s="73" t="str">
        <x:v>ХХ_МСФО_2025.pdf</x:v>
      </x:c>
      <x:c r="G1352" s="73" t="str">
        <x:v>PDF стр. 23</x:v>
      </x:c>
      <x:c r="H1352" s="73" t="str">
        <x:v>Компонент опубликованной EBITDA</x:v>
      </x:c>
      <x:c r="I1352"/>
      <x:c r="J1352"/>
      <x:c r="K1352"/>
    </x:row>
    <x:row r="1353">
      <x:c r="A1353" t="str">
        <x:v>HEAD</x:v>
      </x:c>
      <x:c r="B1353" t="str">
        <x:v>2025</x:v>
      </x:c>
      <x:c r="C1353" s="73" t="str">
        <x:v>EBITDA</x:v>
      </x:c>
      <x:c r="D1353" s="73" t="str">
        <x:v>Износ и амортизация</x:v>
      </x:c>
      <x:c r="E1353" s="74" t="n">
        <x:v>1651.18</x:v>
      </x:c>
      <x:c r="F1353" s="73" t="str">
        <x:v>ХХ_МСФО_2025.pdf</x:v>
      </x:c>
      <x:c r="G1353" s="73" t="str">
        <x:v>PDF стр. 23</x:v>
      </x:c>
      <x:c r="H1353" s="73" t="str">
        <x:v>Компонент опубликованной EBITDA</x:v>
      </x:c>
      <x:c r="I1353"/>
      <x:c r="J1353"/>
      <x:c r="K1353"/>
    </x:row>
    <x:row r="1354">
      <x:c r="A1354" t="str">
        <x:v>HEAD</x:v>
      </x:c>
      <x:c r="B1354" t="str">
        <x:v>2025</x:v>
      </x:c>
      <x:c r="C1354" s="73" t="str">
        <x:v>EBITDA</x:v>
      </x:c>
      <x:c r="D1354" s="73" t="str">
        <x:v>Расчёт по раскрытой методике</x:v>
      </x:c>
      <x:c r="E1354" s="74" t="n">
        <x:f>ROUND(SUM(E1351:E1353),3)</x:f>
        <x:v>20348.17</x:v>
      </x:c>
      <x:c r="F1354" s="73" t="str">
        <x:v>ХХ_МСФО_2025.pdf; ХХ_отчет_эмитента_2025.pdf</x:v>
      </x:c>
      <x:c r="G1354" s="73" t="str">
        <x:v>МСФО PDF стр. 23; отчёт эмитента PDF стр. 17, 19</x:v>
      </x:c>
      <x:c r="H1354" s="73" t="str">
        <x:v>Прибыль до налогообложения − финансовые доходы + амортизация</x:v>
      </x:c>
      <x:c r="I1354"/>
      <x:c r="J1354"/>
      <x:c r="K1354"/>
    </x:row>
    <x:row r="1355">
      <x:c r="A1355" t="str">
        <x:v>HEAD</x:v>
      </x:c>
      <x:c r="B1355" t="str">
        <x:v>2025</x:v>
      </x:c>
      <x:c r="C1355" s="73" t="str">
        <x:v>EBITDA</x:v>
      </x:c>
      <x:c r="D1355" s="73" t="str">
        <x:v>Опубликованное значение</x:v>
      </x:c>
      <x:c r="E1355" s="74" t="n">
        <x:v>20348.17</x:v>
      </x:c>
      <x:c r="F1355" s="73" t="str">
        <x:v>ХХ_отчет_эмитента_2025.pdf</x:v>
      </x:c>
      <x:c r="G1355" s="73" t="str">
        <x:v>PDF стр. 17, 19</x:v>
      </x:c>
      <x:c r="H1355" s="73" t="str">
        <x:v>Обычная EBITDA без дополнительных корректировок</x:v>
      </x:c>
      <x:c r="I1355"/>
      <x:c r="J1355"/>
      <x:c r="K1355"/>
    </x:row>
    <x:row r="1356">
      <x:c r="A1356" t="str">
        <x:v>HEAD</x:v>
      </x:c>
      <x:c r="B1356" t="str">
        <x:v>2025</x:v>
      </x:c>
      <x:c r="C1356" s="73" t="str">
        <x:v>Проверка EBITDA</x:v>
      </x:c>
      <x:c r="D1356" s="73" t="str">
        <x:v>Расчётная разность</x:v>
      </x:c>
      <x:c r="E1356" s="74" t="n">
        <x:f>E1354-E1355</x:f>
        <x:v>0</x:v>
      </x:c>
      <x:c r="F1356" s="73" t="str">
        <x:v>Расчёт</x:v>
      </x:c>
      <x:c r="G1356" s="73" t="str">
        <x:v>—</x:v>
      </x:c>
      <x:c r="H1356" s="73" t="str">
        <x:v>Расчёт минус опубликованное значение</x:v>
      </x:c>
      <x:c r="I1356"/>
      <x:c r="J1356"/>
      <x:c r="K1356"/>
    </x:row>
    <x:row r="1357">
      <x:c r="A1357"/>
      <x:c r="B1357"/>
      <x:c r="C1357" s="73"/>
      <x:c r="D1357" s="73"/>
      <x:c r="E1357" s="74"/>
      <x:c r="F1357" s="73"/>
      <x:c r="G1357" s="73"/>
      <x:c r="H1357" s="73"/>
      <x:c r="I1357"/>
      <x:c r="J1357"/>
      <x:c r="K1357"/>
    </x:row>
    <x:row r="1358">
      <x:c r="A1358" t="str">
        <x:v>HEAD</x:v>
      </x:c>
      <x:c r="B1358" t="str">
        <x:v>1П2025</x:v>
      </x:c>
      <x:c r="C1358" s="73" t="str">
        <x:v>EBITDA</x:v>
      </x:c>
      <x:c r="D1358" s="73" t="str">
        <x:v>Прибыль до налогообложения</x:v>
      </x:c>
      <x:c r="E1358" s="74" t="n">
        <x:v>8578.483</x:v>
      </x:c>
      <x:c r="F1358" s="73" t="str">
        <x:v>HEAD_2026H1.pdf</x:v>
      </x:c>
      <x:c r="G1358" s="73" t="str">
        <x:v>PDF стр. 15</x:v>
      </x:c>
      <x:c r="H1358" s="73" t="str">
        <x:v>Компонент аналитической EBITDA</x:v>
      </x:c>
      <x:c r="I1358"/>
      <x:c r="J1358"/>
      <x:c r="K1358"/>
    </x:row>
    <x:row r="1359">
      <x:c r="A1359" t="str">
        <x:v>HEAD</x:v>
      </x:c>
      <x:c r="B1359" t="str">
        <x:v>1П2025</x:v>
      </x:c>
      <x:c r="C1359" s="73" t="str">
        <x:v>EBITDA</x:v>
      </x:c>
      <x:c r="D1359" s="73" t="str">
        <x:v>Минус чистые финансовые доходы</x:v>
      </x:c>
      <x:c r="E1359" s="74" t="n">
        <x:v>-594.543</x:v>
      </x:c>
      <x:c r="F1359" s="73" t="str">
        <x:v>HEAD_2026H1.pdf</x:v>
      </x:c>
      <x:c r="G1359" s="73" t="str">
        <x:v>PDF стр. 15</x:v>
      </x:c>
      <x:c r="H1359" s="73" t="str">
        <x:v>Компонент аналитической EBITDA</x:v>
      </x:c>
      <x:c r="I1359"/>
      <x:c r="J1359"/>
      <x:c r="K1359"/>
    </x:row>
    <x:row r="1360">
      <x:c r="A1360" t="str">
        <x:v>HEAD</x:v>
      </x:c>
      <x:c r="B1360" t="str">
        <x:v>1П2025</x:v>
      </x:c>
      <x:c r="C1360" s="73" t="str">
        <x:v>EBITDA</x:v>
      </x:c>
      <x:c r="D1360" s="73" t="str">
        <x:v>Износ и амортизация</x:v>
      </x:c>
      <x:c r="E1360" s="74" t="n">
        <x:v>809.591</x:v>
      </x:c>
      <x:c r="F1360" s="73" t="str">
        <x:v>HEAD_2026H1.pdf</x:v>
      </x:c>
      <x:c r="G1360" s="73" t="str">
        <x:v>PDF стр. 15</x:v>
      </x:c>
      <x:c r="H1360" s="73" t="str">
        <x:v>Компонент аналитической EBITDA</x:v>
      </x:c>
      <x:c r="I1360"/>
      <x:c r="J1360"/>
      <x:c r="K1360"/>
    </x:row>
    <x:row r="1361">
      <x:c r="A1361" t="str">
        <x:v>HEAD</x:v>
      </x:c>
      <x:c r="B1361" t="str">
        <x:v>1П2025</x:v>
      </x:c>
      <x:c r="C1361" s="73" t="str">
        <x:v>EBITDA</x:v>
      </x:c>
      <x:c r="D1361" s="73" t="str">
        <x:v>Аналитический расчёт по годовой методике эмитента</x:v>
      </x:c>
      <x:c r="E1361" s="74" t="n">
        <x:f>ROUND(SUM(E1358:E1360),3)</x:f>
        <x:v>8793.531</x:v>
      </x:c>
      <x:c r="F1361" s="73" t="str">
        <x:v>HEAD_2026H1.pdf; ХХ_отчет_эмитента_2025.pdf</x:v>
      </x:c>
      <x:c r="G1361" s="73" t="str">
        <x:v>1П2026 PDF стр. 15; отчёт эмитента PDF стр. 17, 19</x:v>
      </x:c>
      <x:c r="H1361" s="73" t="str">
        <x:v>Точный полугодовой итог отдельно не опубликован; рассчитан по раскрытым компонентам</x:v>
      </x:c>
      <x:c r="I1361"/>
      <x:c r="J1361"/>
      <x:c r="K1361"/>
    </x:row>
    <x:row r="1362">
      <x:c r="A1362"/>
      <x:c r="B1362"/>
      <x:c r="C1362" s="73"/>
      <x:c r="D1362" s="73"/>
      <x:c r="E1362" s="74"/>
      <x:c r="F1362" s="73"/>
      <x:c r="G1362" s="73"/>
      <x:c r="H1362" s="73"/>
      <x:c r="I1362"/>
      <x:c r="J1362"/>
      <x:c r="K1362"/>
    </x:row>
    <x:row r="1363">
      <x:c r="A1363" t="str">
        <x:v>HEAD</x:v>
      </x:c>
      <x:c r="B1363" t="str">
        <x:v>1П2026</x:v>
      </x:c>
      <x:c r="C1363" s="73" t="str">
        <x:v>EBITDA</x:v>
      </x:c>
      <x:c r="D1363" s="73" t="str">
        <x:v>Прибыль до налогообложения</x:v>
      </x:c>
      <x:c r="E1363" s="74" t="n">
        <x:v>8686.366</x:v>
      </x:c>
      <x:c r="F1363" s="73" t="str">
        <x:v>HEAD_2026H1.pdf</x:v>
      </x:c>
      <x:c r="G1363" s="73" t="str">
        <x:v>PDF стр. 15</x:v>
      </x:c>
      <x:c r="H1363" s="73" t="str">
        <x:v>Компонент аналитической EBITDA</x:v>
      </x:c>
      <x:c r="I1363"/>
      <x:c r="J1363"/>
      <x:c r="K1363"/>
    </x:row>
    <x:row r="1364">
      <x:c r="A1364" t="str">
        <x:v>HEAD</x:v>
      </x:c>
      <x:c r="B1364" t="str">
        <x:v>1П2026</x:v>
      </x:c>
      <x:c r="C1364" s="73" t="str">
        <x:v>EBITDA</x:v>
      </x:c>
      <x:c r="D1364" s="73" t="str">
        <x:v>Минус чистые финансовые доходы</x:v>
      </x:c>
      <x:c r="E1364" s="74" t="n">
        <x:v>-609.923</x:v>
      </x:c>
      <x:c r="F1364" s="73" t="str">
        <x:v>HEAD_2026H1.pdf</x:v>
      </x:c>
      <x:c r="G1364" s="73" t="str">
        <x:v>PDF стр. 15</x:v>
      </x:c>
      <x:c r="H1364" s="73" t="str">
        <x:v>Компонент аналитической EBITDA</x:v>
      </x:c>
      <x:c r="I1364"/>
      <x:c r="J1364"/>
      <x:c r="K1364"/>
    </x:row>
    <x:row r="1365">
      <x:c r="A1365" t="str">
        <x:v>HEAD</x:v>
      </x:c>
      <x:c r="B1365" t="str">
        <x:v>1П2026</x:v>
      </x:c>
      <x:c r="C1365" s="73" t="str">
        <x:v>EBITDA</x:v>
      </x:c>
      <x:c r="D1365" s="73" t="str">
        <x:v>Износ и амортизация</x:v>
      </x:c>
      <x:c r="E1365" s="74" t="n">
        <x:v>895.111</x:v>
      </x:c>
      <x:c r="F1365" s="73" t="str">
        <x:v>HEAD_2026H1.pdf</x:v>
      </x:c>
      <x:c r="G1365" s="73" t="str">
        <x:v>PDF стр. 15</x:v>
      </x:c>
      <x:c r="H1365" s="73" t="str">
        <x:v>Компонент аналитической EBITDA</x:v>
      </x:c>
      <x:c r="I1365"/>
      <x:c r="J1365"/>
      <x:c r="K1365"/>
    </x:row>
    <x:row r="1366">
      <x:c r="A1366" t="str">
        <x:v>HEAD</x:v>
      </x:c>
      <x:c r="B1366" t="str">
        <x:v>1П2026</x:v>
      </x:c>
      <x:c r="C1366" s="73" t="str">
        <x:v>EBITDA</x:v>
      </x:c>
      <x:c r="D1366" s="73" t="str">
        <x:v>Аналитический расчёт по годовой методике эмитента</x:v>
      </x:c>
      <x:c r="E1366" s="74" t="n">
        <x:f>ROUND(SUM(E1363:E1365),3)</x:f>
        <x:v>8971.554</x:v>
      </x:c>
      <x:c r="F1366" s="73" t="str">
        <x:v>HEAD_2026H1.pdf; ХХ_отчет_эмитента_2025.pdf</x:v>
      </x:c>
      <x:c r="G1366" s="73" t="str">
        <x:v>1П2026 PDF стр. 15; отчёт эмитента PDF стр. 17, 19</x:v>
      </x:c>
      <x:c r="H1366" s="73" t="str">
        <x:v>Точный полугодовой итог отдельно не опубликован; рассчитан по раскрытым компонентам</x:v>
      </x:c>
      <x:c r="I1366"/>
      <x:c r="J1366"/>
      <x:c r="K1366"/>
    </x:row>
    <x:row r="1367">
      <x:c r="A1367" t="str">
        <x:v>MTSS</x:v>
      </x:c>
      <x:c r="B1367" t="str">
        <x:v>2025</x:v>
      </x:c>
      <x:c r="C1367" s="73" t="str">
        <x:v>OIBDA</x:v>
      </x:c>
      <x:c r="D1367" s="73" t="str">
        <x:v>Операционная прибыль</x:v>
      </x:c>
      <x:c r="E1367" s="74" t="n">
        <x:v>154609</x:v>
      </x:c>
      <x:c r="F1367" s="73" t="str">
        <x:v>МТС_МСФО_2025.pdf</x:v>
      </x:c>
      <x:c r="G1367" s="73" t="n">
        <x:v>28</x:v>
      </x:c>
      <x:c r="H1367" s="73" t="str">
        <x:v>Состав и сумма сверены с раскрытием компании</x:v>
      </x:c>
      <x:c r="I1367"/>
      <x:c r="J1367"/>
      <x:c r="K1367"/>
    </x:row>
    <x:row r="1368">
      <x:c r="A1368" t="str">
        <x:v>MTSS</x:v>
      </x:c>
      <x:c r="B1368" t="str">
        <x:v>2025</x:v>
      </x:c>
      <x:c r="C1368" s="73" t="str">
        <x:v>OIBDA</x:v>
      </x:c>
      <x:c r="D1368" s="73" t="str">
        <x:v>Амортизация основных средств и НМА</x:v>
      </x:c>
      <x:c r="E1368" s="74" t="n">
        <x:v>125086</x:v>
      </x:c>
      <x:c r="F1368" s="73" t="str">
        <x:v>МТС_МСФО_2025.pdf</x:v>
      </x:c>
      <x:c r="G1368" s="73" t="n">
        <x:v>28</x:v>
      </x:c>
      <x:c r="H1368" s="73" t="str">
        <x:v>Состав и сумма сверены с раскрытием компании</x:v>
      </x:c>
      <x:c r="I1368"/>
      <x:c r="J1368"/>
      <x:c r="K1368"/>
    </x:row>
    <x:row r="1369">
      <x:c r="A1369" t="str">
        <x:v>MTSS</x:v>
      </x:c>
      <x:c r="B1369" t="str">
        <x:v>2025</x:v>
      </x:c>
      <x:c r="C1369" s="73" t="str">
        <x:v>OIBDA</x:v>
      </x:c>
      <x:c r="D1369" s="73" t="str">
        <x:v>ИТОГО — расчет</x:v>
      </x:c>
      <x:c r="E1369" s="74" t="n">
        <x:f>SUM(E1367:E1368)</x:f>
        <x:v>279695</x:v>
      </x:c>
      <x:c r="F1369" s="73" t="str">
        <x:v>МТС_МСФО_2025.pdf</x:v>
      </x:c>
      <x:c r="G1369" s="73" t="n">
        <x:v>28</x:v>
      </x:c>
      <x:c r="H1369" s="73" t="str">
        <x:v>154 609 + 125 086 = 279 695; сверено с раскрытым OIBDA</x:v>
      </x:c>
      <x:c r="I1369"/>
      <x:c r="J1369"/>
      <x:c r="K1369"/>
    </x:row>
    <x:row r="1370">
      <x:c r="A1370" t="str">
        <x:v>MTSS</x:v>
      </x:c>
      <x:c r="B1370" t="str">
        <x:v>2025</x:v>
      </x:c>
      <x:c r="C1370" s="73" t="str">
        <x:v>OIBDA</x:v>
      </x:c>
      <x:c r="D1370" s="73" t="str">
        <x:v>Раскрытое значение</x:v>
      </x:c>
      <x:c r="E1370" s="74" t="n">
        <x:v>279695</x:v>
      </x:c>
      <x:c r="F1370" s="73" t="str">
        <x:v>МТС_МСФО_2025.pdf</x:v>
      </x:c>
      <x:c r="G1370" s="73" t="n">
        <x:v>28</x:v>
      </x:c>
      <x:c r="H1370" s="73" t="str">
        <x:v>Раскрыто компанией</x:v>
      </x:c>
      <x:c r="I1370"/>
      <x:c r="J1370"/>
      <x:c r="K1370"/>
    </x:row>
    <x:row r="1371">
      <x:c r="A1371" t="str">
        <x:v>MTSS</x:v>
      </x:c>
      <x:c r="B1371" t="str">
        <x:v>2025</x:v>
      </x:c>
      <x:c r="C1371" s="73" t="str">
        <x:v>OIBDA</x:v>
      </x:c>
      <x:c r="D1371" s="73" t="str">
        <x:v>Проверка: расчет минус раскрытие</x:v>
      </x:c>
      <x:c r="E1371" s="74" t="n">
        <x:f>E1369-E1370</x:f>
        <x:v>0</x:v>
      </x:c>
      <x:c r="F1371" s="73" t="str">
        <x:v>МТС_МСФО_2025.pdf</x:v>
      </x:c>
      <x:c r="G1371" s="73" t="n">
        <x:v>28</x:v>
      </x:c>
      <x:c r="H1371" s="73" t="str">
        <x:v>Контроль должен быть равен 0</x:v>
      </x:c>
      <x:c r="I1371"/>
      <x:c r="J1371"/>
      <x:c r="K1371"/>
    </x:row>
    <x:row r="1372">
      <x:c r="A1372"/>
      <x:c r="B1372"/>
      <x:c r="C1372" s="73"/>
      <x:c r="D1372" s="73"/>
      <x:c r="E1372" s="74"/>
      <x:c r="F1372" s="73"/>
      <x:c r="G1372" s="73"/>
      <x:c r="H1372" s="73"/>
      <x:c r="I1372"/>
      <x:c r="J1372"/>
      <x:c r="K1372"/>
    </x:row>
    <x:row r="1373">
      <x:c r="A1373" t="str">
        <x:v>MTSS</x:v>
      </x:c>
      <x:c r="B1373" t="str">
        <x:v>2025</x:v>
      </x:c>
      <x:c r="C1373" s="73" t="str">
        <x:v>Чистый долг</x:v>
      </x:c>
      <x:c r="D1373" s="73" t="str">
        <x:v>Раскрытый чистый долг без аренды</x:v>
      </x:c>
      <x:c r="E1373" s="74" t="n">
        <x:v>458300</x:v>
      </x:c>
      <x:c r="F1373" s="73" t="str">
        <x:v>МТС_4кв_2025_пресс-релиз.pdf</x:v>
      </x:c>
      <x:c r="G1373" s="73" t="n">
        <x:v>4</x:v>
      </x:c>
      <x:c r="H1373" s="73" t="str">
        <x:v>458,3 млрд руб.; раскрыто округленно; обязательства по аренде исключены</x:v>
      </x:c>
      <x:c r="I1373"/>
      <x:c r="J1373"/>
      <x:c r="K1373"/>
    </x:row>
    <x:row r="1374">
      <x:c r="A1374" t="str">
        <x:v>MTSS</x:v>
      </x:c>
      <x:c r="B1374" t="str">
        <x:v>2025</x:v>
      </x:c>
      <x:c r="C1374" s="73" t="str">
        <x:v>Аренда</x:v>
      </x:c>
      <x:c r="D1374" s="73" t="str">
        <x:v>Краткосрочные обязательства по аренде</x:v>
      </x:c>
      <x:c r="E1374" s="74" t="n">
        <x:v>22496</x:v>
      </x:c>
      <x:c r="F1374" s="73" t="str">
        <x:v>МТС_МСФО_2025.pdf</x:v>
      </x:c>
      <x:c r="G1374" s="73" t="n">
        <x:v>10</x:v>
      </x:c>
      <x:c r="H1374" s="73" t="str">
        <x:v>Остаток на 31.12.2025</x:v>
      </x:c>
      <x:c r="I1374"/>
      <x:c r="J1374"/>
      <x:c r="K1374"/>
    </x:row>
    <x:row r="1375">
      <x:c r="A1375" t="str">
        <x:v>MTSS</x:v>
      </x:c>
      <x:c r="B1375" t="str">
        <x:v>2025</x:v>
      </x:c>
      <x:c r="C1375" s="73" t="str">
        <x:v>Аренда</x:v>
      </x:c>
      <x:c r="D1375" s="73" t="str">
        <x:v>Долгосрочные обязательства по аренде</x:v>
      </x:c>
      <x:c r="E1375" s="74" t="n">
        <x:v>92364</x:v>
      </x:c>
      <x:c r="F1375" s="73" t="str">
        <x:v>МТС_МСФО_2025.pdf</x:v>
      </x:c>
      <x:c r="G1375" s="73" t="n">
        <x:v>10</x:v>
      </x:c>
      <x:c r="H1375" s="73" t="str">
        <x:v>Остаток на 31.12.2025</x:v>
      </x:c>
      <x:c r="I1375"/>
      <x:c r="J1375"/>
      <x:c r="K1375"/>
    </x:row>
    <x:row r="1376">
      <x:c r="A1376" t="str">
        <x:v>MTSS</x:v>
      </x:c>
      <x:c r="B1376" t="str">
        <x:v>2025</x:v>
      </x:c>
      <x:c r="C1376" s="73" t="str">
        <x:v>Аренда</x:v>
      </x:c>
      <x:c r="D1376" s="73" t="str">
        <x:v>ИТОГО — обязательства по аренде</x:v>
      </x:c>
      <x:c r="E1376" s="74" t="n">
        <x:f>SUM(E1374:E1375)</x:f>
        <x:v>114860</x:v>
      </x:c>
      <x:c r="F1376" s="73" t="str">
        <x:v>МТС_МСФО_2025.pdf</x:v>
      </x:c>
      <x:c r="G1376" s="73" t="n">
        <x:v>10</x:v>
      </x:c>
      <x:c r="H1376" s="73" t="str">
        <x:v>22 496 + 92 364 = 114 860</x:v>
      </x:c>
      <x:c r="I1376"/>
      <x:c r="J1376"/>
      <x:c r="K1376"/>
    </x:row>
    <x:row r="1377">
      <x:c r="A1377" t="str">
        <x:v>MTSS</x:v>
      </x:c>
      <x:c r="B1377" t="str">
        <x:v>2025</x:v>
      </x:c>
      <x:c r="C1377" s="73" t="str">
        <x:v>Скорректированный чистый долг</x:v>
      </x:c>
      <x:c r="D1377" s="73" t="str">
        <x:v>Чистый долг, включая аренду</x:v>
      </x:c>
      <x:c r="E1377" s="74" t="n">
        <x:f>E1373+E1376</x:f>
        <x:v>573160</x:v>
      </x:c>
      <x:c r="F1377" s="73" t="str">
        <x:v>МТС IR + МСФО</x:v>
      </x:c>
      <x:c r="G1377" s="73"/>
      <x:c r="H1377" s="73" t="str">
        <x:v>458 300 + 114 860 = 573 160</x:v>
      </x:c>
      <x:c r="I1377"/>
      <x:c r="J1377"/>
      <x:c r="K1377"/>
    </x:row>
    <x:row r="1378">
      <x:c r="A1378"/>
      <x:c r="B1378"/>
      <x:c r="C1378" s="73"/>
      <x:c r="D1378" s="73"/>
      <x:c r="E1378" s="74"/>
      <x:c r="F1378" s="73"/>
      <x:c r="G1378" s="73"/>
      <x:c r="H1378" s="73"/>
      <x:c r="I1378"/>
      <x:c r="J1378"/>
      <x:c r="K1378"/>
    </x:row>
    <x:row r="1379">
      <x:c r="A1379" t="str">
        <x:v>MTSS</x:v>
      </x:c>
      <x:c r="B1379" t="str">
        <x:v>1П2025</x:v>
      </x:c>
      <x:c r="C1379" s="73" t="str">
        <x:v>Чистый долг</x:v>
      </x:c>
      <x:c r="D1379" s="73" t="str">
        <x:v>Раскрытый чистый долг без аренды</x:v>
      </x:c>
      <x:c r="E1379" s="74" t="n">
        <x:v>430400</x:v>
      </x:c>
      <x:c r="F1379" s="73" t="str">
        <x:v>Официальный IR-релиз МТС от 19.08.2025</x:v>
      </x:c>
      <x:c r="G1379" s="73"/>
      <x:c r="H1379" s="73" t="str">
        <x:v>430,4 млрд руб.; раскрыто округленно; обязательства по аренде исключены</x:v>
      </x:c>
      <x:c r="I1379"/>
      <x:c r="J1379"/>
      <x:c r="K1379"/>
    </x:row>
    <x:row r="1380">
      <x:c r="A1380" t="str">
        <x:v>MTSS</x:v>
      </x:c>
      <x:c r="B1380" t="str">
        <x:v>1П2025</x:v>
      </x:c>
      <x:c r="C1380" s="73" t="str">
        <x:v>Аренда</x:v>
      </x:c>
      <x:c r="D1380" s="73" t="str">
        <x:v>Краткосрочные обязательства по аренде</x:v>
      </x:c>
      <x:c r="E1380" s="74" t="n">
        <x:v>21388</x:v>
      </x:c>
      <x:c r="F1380" s="73" t="str">
        <x:v>МСФО МТС за 1П2025</x:v>
      </x:c>
      <x:c r="G1380" s="73" t="n">
        <x:v>4</x:v>
      </x:c>
      <x:c r="H1380" s="73" t="str">
        <x:v>Остаток на 30.06.2025</x:v>
      </x:c>
      <x:c r="I1380"/>
      <x:c r="J1380"/>
      <x:c r="K1380"/>
    </x:row>
    <x:row r="1381">
      <x:c r="A1381" t="str">
        <x:v>MTSS</x:v>
      </x:c>
      <x:c r="B1381" t="str">
        <x:v>1П2025</x:v>
      </x:c>
      <x:c r="C1381" s="73" t="str">
        <x:v>Аренда</x:v>
      </x:c>
      <x:c r="D1381" s="73" t="str">
        <x:v>Долгосрочные обязательства по аренде</x:v>
      </x:c>
      <x:c r="E1381" s="74" t="n">
        <x:v>91147</x:v>
      </x:c>
      <x:c r="F1381" s="73" t="str">
        <x:v>МСФО МТС за 1П2025</x:v>
      </x:c>
      <x:c r="G1381" s="73" t="n">
        <x:v>4</x:v>
      </x:c>
      <x:c r="H1381" s="73" t="str">
        <x:v>Остаток на 30.06.2025</x:v>
      </x:c>
      <x:c r="I1381"/>
      <x:c r="J1381"/>
      <x:c r="K1381"/>
    </x:row>
    <x:row r="1382">
      <x:c r="A1382" t="str">
        <x:v>MTSS</x:v>
      </x:c>
      <x:c r="B1382" t="str">
        <x:v>1П2025</x:v>
      </x:c>
      <x:c r="C1382" s="73" t="str">
        <x:v>Аренда</x:v>
      </x:c>
      <x:c r="D1382" s="73" t="str">
        <x:v>ИТОГО — обязательства по аренде</x:v>
      </x:c>
      <x:c r="E1382" s="74" t="n">
        <x:f>SUM(E1380:E1381)</x:f>
        <x:v>112535</x:v>
      </x:c>
      <x:c r="F1382" s="73" t="str">
        <x:v>МСФО МТС за 1П2025</x:v>
      </x:c>
      <x:c r="G1382" s="73" t="n">
        <x:v>4</x:v>
      </x:c>
      <x:c r="H1382" s="73" t="str">
        <x:v>21 388 + 91 147 = 112 535</x:v>
      </x:c>
      <x:c r="I1382"/>
      <x:c r="J1382"/>
      <x:c r="K1382"/>
    </x:row>
    <x:row r="1383">
      <x:c r="A1383" t="str">
        <x:v>MTSS</x:v>
      </x:c>
      <x:c r="B1383" t="str">
        <x:v>1П2025</x:v>
      </x:c>
      <x:c r="C1383" s="73" t="str">
        <x:v>Скорректированный чистый долг</x:v>
      </x:c>
      <x:c r="D1383" s="73" t="str">
        <x:v>Чистый долг, включая аренду</x:v>
      </x:c>
      <x:c r="E1383" s="74" t="n">
        <x:f>E1379+E1382</x:f>
        <x:v>542935</x:v>
      </x:c>
      <x:c r="F1383" s="73" t="str">
        <x:v>МТС IR + МСФО</x:v>
      </x:c>
      <x:c r="G1383" s="73"/>
      <x:c r="H1383" s="73" t="str">
        <x:v>430 400 + 112 535 = 542 935</x:v>
      </x:c>
      <x:c r="I1383"/>
      <x:c r="J1383"/>
      <x:c r="K1383"/>
    </x:row>
    <x:row r="1384">
      <x:c r="A1384"/>
      <x:c r="B1384"/>
      <x:c r="C1384" s="73"/>
      <x:c r="D1384" s="73"/>
      <x:c r="E1384" s="74"/>
      <x:c r="F1384" s="73"/>
      <x:c r="G1384" s="73"/>
      <x:c r="H1384" s="73"/>
      <x:c r="I1384"/>
      <x:c r="J1384"/>
      <x:c r="K1384"/>
    </x:row>
    <x:row r="1385">
      <x:c r="A1385" t="str">
        <x:v>MTSS</x:v>
      </x:c>
      <x:c r="B1385" t="str">
        <x:v>1П2026</x:v>
      </x:c>
      <x:c r="C1385" s="73" t="str">
        <x:v>Чистый долг</x:v>
      </x:c>
      <x:c r="D1385" s="73" t="str">
        <x:v>Раскрытый чистый долг без аренды</x:v>
      </x:c>
      <x:c r="E1385" s="74" t="n">
        <x:v>474100</x:v>
      </x:c>
      <x:c r="F1385" s="73" t="str">
        <x:v>Официальный IR-релиз МТС от 25.08.2026</x:v>
      </x:c>
      <x:c r="G1385" s="73"/>
      <x:c r="H1385" s="73" t="str">
        <x:v>474,1 млрд руб.; раскрыто округленно; обязательства по аренде исключены</x:v>
      </x:c>
      <x:c r="I1385"/>
      <x:c r="J1385"/>
      <x:c r="K1385"/>
    </x:row>
    <x:row r="1386">
      <x:c r="A1386" t="str">
        <x:v>MTSS</x:v>
      </x:c>
      <x:c r="B1386" t="str">
        <x:v>1П2026</x:v>
      </x:c>
      <x:c r="C1386" s="73" t="str">
        <x:v>Аренда</x:v>
      </x:c>
      <x:c r="D1386" s="73" t="str">
        <x:v>Краткосрочные обязательства по аренде</x:v>
      </x:c>
      <x:c r="E1386" s="74" t="n">
        <x:v>35425</x:v>
      </x:c>
      <x:c r="F1386" s="73" t="str">
        <x:v>MTSS_2026H1.pdf</x:v>
      </x:c>
      <x:c r="G1386" s="73" t="n">
        <x:v>6</x:v>
      </x:c>
      <x:c r="H1386" s="73" t="str">
        <x:v>Остаток на 30.06.2026</x:v>
      </x:c>
      <x:c r="I1386"/>
      <x:c r="J1386"/>
      <x:c r="K1386"/>
    </x:row>
    <x:row r="1387">
      <x:c r="A1387" t="str">
        <x:v>MTSS</x:v>
      </x:c>
      <x:c r="B1387" t="str">
        <x:v>1П2026</x:v>
      </x:c>
      <x:c r="C1387" s="73" t="str">
        <x:v>Аренда</x:v>
      </x:c>
      <x:c r="D1387" s="73" t="str">
        <x:v>Долгосрочные обязательства по аренде</x:v>
      </x:c>
      <x:c r="E1387" s="74" t="n">
        <x:v>136810</x:v>
      </x:c>
      <x:c r="F1387" s="73" t="str">
        <x:v>MTSS_2026H1.pdf</x:v>
      </x:c>
      <x:c r="G1387" s="73" t="n">
        <x:v>6</x:v>
      </x:c>
      <x:c r="H1387" s="73" t="str">
        <x:v>Остаток на 30.06.2026</x:v>
      </x:c>
      <x:c r="I1387"/>
      <x:c r="J1387"/>
      <x:c r="K1387"/>
    </x:row>
    <x:row r="1388">
      <x:c r="A1388" t="str">
        <x:v>MTSS</x:v>
      </x:c>
      <x:c r="B1388" t="str">
        <x:v>1П2026</x:v>
      </x:c>
      <x:c r="C1388" s="73" t="str">
        <x:v>Аренда</x:v>
      </x:c>
      <x:c r="D1388" s="73" t="str">
        <x:v>ИТОГО — обязательства по аренде</x:v>
      </x:c>
      <x:c r="E1388" s="74" t="n">
        <x:f>SUM(E1386:E1387)</x:f>
        <x:v>172235</x:v>
      </x:c>
      <x:c r="F1388" s="73" t="str">
        <x:v>MTSS_2026H1.pdf</x:v>
      </x:c>
      <x:c r="G1388" s="73" t="n">
        <x:v>6</x:v>
      </x:c>
      <x:c r="H1388" s="73" t="str">
        <x:v>35 425 + 136 810 = 172 235</x:v>
      </x:c>
      <x:c r="I1388"/>
      <x:c r="J1388"/>
      <x:c r="K1388"/>
    </x:row>
    <x:row r="1389">
      <x:c r="A1389" t="str">
        <x:v>MTSS</x:v>
      </x:c>
      <x:c r="B1389" t="str">
        <x:v>1П2026</x:v>
      </x:c>
      <x:c r="C1389" s="73" t="str">
        <x:v>Скорректированный чистый долг</x:v>
      </x:c>
      <x:c r="D1389" s="73" t="str">
        <x:v>Чистый долг, включая аренду</x:v>
      </x:c>
      <x:c r="E1389" s="74" t="n">
        <x:f>E1385+E1388</x:f>
        <x:v>646335</x:v>
      </x:c>
      <x:c r="F1389" s="73" t="str">
        <x:v>МТС IR + МСФО</x:v>
      </x:c>
      <x:c r="G1389" s="73"/>
      <x:c r="H1389" s="73" t="str">
        <x:v>474 100 + 172 235 = 646 335</x:v>
      </x:c>
      <x:c r="I1389"/>
      <x:c r="J1389"/>
      <x:c r="K1389"/>
    </x:row>
    <x:row r="1391">
      <x:c r="A1391" t="str">
        <x:v>IRAO</x:v>
      </x:c>
      <x:c r="B1391" t="str">
        <x:v>2025</x:v>
      </x:c>
      <x:c r="C1391" s="73" t="str">
        <x:v>Чистый долг компании</x:v>
      </x:c>
      <x:c r="D1391" s="73" t="str">
        <x:v>Кредиты и займы отчетных сегментов</x:v>
      </x:c>
      <x:c r="E1391" s="74" t="n">
        <x:v>16121</x:v>
      </x:c>
      <x:c r="F1391" s="73" t="str">
        <x:v>Интер-Рао_МСФО_2025.pdf</x:v>
      </x:c>
      <x:c r="G1391" s="73" t="str">
        <x:v>PDF стр. 40</x:v>
      </x:c>
      <x:c r="H1391" s="73" t="str">
        <x:v>Компонент раскрытой методики ЧД</x:v>
      </x:c>
      <x:c r="I1391"/>
      <x:c r="J1391"/>
      <x:c r="K1391"/>
    </x:row>
    <x:row r="1392">
      <x:c r="A1392" t="str">
        <x:v>IRAO</x:v>
      </x:c>
      <x:c r="B1392" t="str">
        <x:v>2025</x:v>
      </x:c>
      <x:c r="C1392" s="73" t="str">
        <x:v>Чистый долг компании</x:v>
      </x:c>
      <x:c r="D1392" s="73" t="str">
        <x:v>Обязательства по аренде отчетных сегментов</x:v>
      </x:c>
      <x:c r="E1392" s="74" t="n">
        <x:v>81786</x:v>
      </x:c>
      <x:c r="F1392" s="73" t="str">
        <x:v>Интер-Рао_МСФО_2025.pdf</x:v>
      </x:c>
      <x:c r="G1392" s="73" t="str">
        <x:v>PDF стр. 40</x:v>
      </x:c>
      <x:c r="H1392" s="73" t="str">
        <x:v>Компонент раскрытой методики ЧД</x:v>
      </x:c>
      <x:c r="I1392"/>
      <x:c r="J1392"/>
      <x:c r="K1392"/>
    </x:row>
    <x:row r="1393">
      <x:c r="A1393" t="str">
        <x:v>IRAO</x:v>
      </x:c>
      <x:c r="B1393" t="str">
        <x:v>2025</x:v>
      </x:c>
      <x:c r="C1393" s="73" t="str">
        <x:v>Чистый долг компании</x:v>
      </x:c>
      <x:c r="D1393" s="73" t="str">
        <x:v>Денежные средства и их эквиваленты</x:v>
      </x:c>
      <x:c r="E1393" s="74" t="n">
        <x:v>-266511</x:v>
      </x:c>
      <x:c r="F1393" s="73" t="str">
        <x:v>Интер-Рао_МСФО_2025.pdf</x:v>
      </x:c>
      <x:c r="G1393" s="73" t="str">
        <x:v>PDF стр. 63</x:v>
      </x:c>
      <x:c r="H1393" s="73" t="str">
        <x:v>Вычитается по методике ЧД</x:v>
      </x:c>
      <x:c r="I1393"/>
      <x:c r="J1393"/>
      <x:c r="K1393"/>
    </x:row>
    <x:row r="1394">
      <x:c r="A1394" t="str">
        <x:v>IRAO</x:v>
      </x:c>
      <x:c r="B1394" t="str">
        <x:v>2025</x:v>
      </x:c>
      <x:c r="C1394" s="73" t="str">
        <x:v>Чистый долг компании</x:v>
      </x:c>
      <x:c r="D1394" s="73" t="str">
        <x:v>Депозиты со сроком погашения 3–12 месяцев</x:v>
      </x:c>
      <x:c r="E1394" s="74" t="n">
        <x:v>-34213</x:v>
      </x:c>
      <x:c r="F1394" s="73" t="str">
        <x:v>Интер-Рао_МСФО_2025.pdf</x:v>
      </x:c>
      <x:c r="G1394" s="73" t="str">
        <x:v>PDF стр. 63</x:v>
      </x:c>
      <x:c r="H1394" s="73" t="str">
        <x:v>Вычитаются по методике ЧД</x:v>
      </x:c>
      <x:c r="I1394"/>
      <x:c r="J1394"/>
      <x:c r="K1394"/>
    </x:row>
    <x:row r="1395">
      <x:c r="A1395" t="str">
        <x:v>IRAO</x:v>
      </x:c>
      <x:c r="B1395" t="str">
        <x:v>2025</x:v>
      </x:c>
      <x:c r="C1395" s="73" t="str">
        <x:v>Чистый долг компании</x:v>
      </x:c>
      <x:c r="D1395" s="73" t="str">
        <x:v>Векселя</x:v>
      </x:c>
      <x:c r="E1395" s="74" t="n">
        <x:v>-145475</x:v>
      </x:c>
      <x:c r="F1395" s="73" t="str">
        <x:v>Интер-Рао_МСФО_2025.pdf</x:v>
      </x:c>
      <x:c r="G1395" s="73" t="str">
        <x:v>PDF стр. 64</x:v>
      </x:c>
      <x:c r="H1395" s="73" t="str">
        <x:v>Вычитаются по методике ЧД</x:v>
      </x:c>
      <x:c r="I1395"/>
      <x:c r="J1395"/>
      <x:c r="K1395"/>
    </x:row>
    <x:row r="1396">
      <x:c r="A1396" t="str">
        <x:v>IRAO</x:v>
      </x:c>
      <x:c r="B1396" t="str">
        <x:v>2025</x:v>
      </x:c>
      <x:c r="C1396" s="73" t="str">
        <x:v>Чистый долг компании</x:v>
      </x:c>
      <x:c r="D1396" s="73" t="str">
        <x:v>ИТОГО: займы + аренда − деньги − депозиты − векселя</x:v>
      </x:c>
      <x:c r="E1396" s="74" t="n">
        <x:f>SUM(E1391:E1395)</x:f>
        <x:v>-348292</x:v>
      </x:c>
      <x:c r="F1396" s="73" t="str">
        <x:v>Интер-Рао_МСФО_2025.pdf</x:v>
      </x:c>
      <x:c r="G1396" s="73" t="str">
        <x:v>PDF стр. 40, 63–64</x:v>
      </x:c>
      <x:c r="H1396" s="73" t="str">
        <x:v>Аналитический итог по раскрытой методике; отдельный опубликованный итог не найден</x:v>
      </x:c>
      <x:c r="I1396"/>
      <x:c r="J1396"/>
      <x:c r="K1396"/>
    </x:row>
    <x:row r="1397">
      <x:c r="A1397" t="str">
        <x:v>IRAO</x:v>
      </x:c>
      <x:c r="B1397" t="str">
        <x:v>2025</x:v>
      </x:c>
      <x:c r="C1397" s="73" t="str">
        <x:v>Капитал</x:v>
      </x:c>
      <x:c r="D1397" s="73" t="str">
        <x:v>Неконтролирующая доля</x:v>
      </x:c>
      <x:c r="E1397" s="74" t="n">
        <x:v>15621</x:v>
      </x:c>
      <x:c r="F1397" s="73" t="str">
        <x:v>Интер-Рао_МСФО_2025.pdf</x:v>
      </x:c>
      <x:c r="G1397" s="73" t="str">
        <x:v>PDF стр. 9</x:v>
      </x:c>
      <x:c r="H1397" s="73" t="str">
        <x:v>Отдельно от капитала акционеров 1 123 184</x:v>
      </x:c>
      <x:c r="I1397"/>
      <x:c r="J1397"/>
      <x:c r="K1397"/>
    </x:row>
    <x:row r="1399">
      <x:c r="A1399" t="str">
        <x:v>IRAO</x:v>
      </x:c>
      <x:c r="B1399" t="str">
        <x:v>1П2025</x:v>
      </x:c>
      <x:c r="C1399" s="73" t="str">
        <x:v>Чистый долг компании</x:v>
      </x:c>
      <x:c r="D1399" s="73" t="str">
        <x:v>Опубликованный чистый долг на 30.06.2025</x:v>
      </x:c>
      <x:c r="E1399" s="74" t="n">
        <x:v>-358800</x:v>
      </x:c>
      <x:c r="F1399" s="73" t="str">
        <x:v>IFRS_MSFO_6mes2025.pdf</x:v>
      </x:c>
      <x:c r="G1399" s="73" t="str">
        <x:v>PDF стр. 21</x:v>
      </x:c>
      <x:c r="H1399" s="73" t="str">
        <x:v>Опубликовано округленно: −358,8 млрд руб.</x:v>
      </x:c>
      <x:c r="I1399"/>
      <x:c r="J1399"/>
      <x:c r="K1399"/>
    </x:row>
    <x:row r="1400">
      <x:c r="A1400" t="str">
        <x:v>IRAO</x:v>
      </x:c>
      <x:c r="B1400" t="str">
        <x:v>1П2025</x:v>
      </x:c>
      <x:c r="C1400" s="73" t="str">
        <x:v>Капитал</x:v>
      </x:c>
      <x:c r="D1400" s="73" t="str">
        <x:v>Капитал акционеров</x:v>
      </x:c>
      <x:c r="E1400" s="74" t="n">
        <x:v>1072669</x:v>
      </x:c>
      <x:c r="F1400" s="73" t="str">
        <x:v>FS_RUS_6m2025.pdf</x:v>
      </x:c>
      <x:c r="G1400" s="73" t="str">
        <x:v>PDF стр. 5</x:v>
      </x:c>
      <x:c r="H1400" s="73" t="str">
        <x:v>Не смешан с неконтролирующей долей</x:v>
      </x:c>
      <x:c r="I1400"/>
      <x:c r="J1400"/>
      <x:c r="K1400"/>
    </x:row>
    <x:row r="1401">
      <x:c r="A1401" t="str">
        <x:v>IRAO</x:v>
      </x:c>
      <x:c r="B1401" t="str">
        <x:v>1П2025</x:v>
      </x:c>
      <x:c r="C1401" s="73" t="str">
        <x:v>Капитал</x:v>
      </x:c>
      <x:c r="D1401" s="73" t="str">
        <x:v>Неконтролирующая доля</x:v>
      </x:c>
      <x:c r="E1401" s="74" t="n">
        <x:v>15107</x:v>
      </x:c>
      <x:c r="F1401" s="73" t="str">
        <x:v>FS_RUS_6m2025.pdf</x:v>
      </x:c>
      <x:c r="G1401" s="73" t="str">
        <x:v>PDF стр. 5</x:v>
      </x:c>
      <x:c r="H1401" s="73" t="str">
        <x:v>Общий капитал 1 087 776</x:v>
      </x:c>
      <x:c r="I1401"/>
      <x:c r="J1401"/>
      <x:c r="K1401"/>
    </x:row>
    <x:row r="1403">
      <x:c r="A1403" t="str">
        <x:v>IRAO</x:v>
      </x:c>
      <x:c r="B1403" t="str">
        <x:v>1П2026</x:v>
      </x:c>
      <x:c r="C1403" s="73" t="str">
        <x:v>Чистый долг компании</x:v>
      </x:c>
      <x:c r="D1403" s="73" t="str">
        <x:v>Кредиты и займы отчетных сегментов</x:v>
      </x:c>
      <x:c r="E1403" s="74" t="n">
        <x:v>18344</x:v>
      </x:c>
      <x:c r="F1403" s="73" t="str">
        <x:v>IRAO_2026H1.pdf</x:v>
      </x:c>
      <x:c r="G1403" s="73" t="str">
        <x:v>PDF стр. 20</x:v>
      </x:c>
      <x:c r="H1403" s="73" t="str">
        <x:v>Компонент раскрытой методики ЧД</x:v>
      </x:c>
      <x:c r="I1403"/>
      <x:c r="J1403"/>
      <x:c r="K1403"/>
    </x:row>
    <x:row r="1404">
      <x:c r="A1404" t="str">
        <x:v>IRAO</x:v>
      </x:c>
      <x:c r="B1404" t="str">
        <x:v>1П2026</x:v>
      </x:c>
      <x:c r="C1404" s="73" t="str">
        <x:v>Чистый долг компании</x:v>
      </x:c>
      <x:c r="D1404" s="73" t="str">
        <x:v>Обязательства по аренде отчетных сегментов</x:v>
      </x:c>
      <x:c r="E1404" s="74" t="n">
        <x:v>79358</x:v>
      </x:c>
      <x:c r="F1404" s="73" t="str">
        <x:v>IRAO_2026H1.pdf</x:v>
      </x:c>
      <x:c r="G1404" s="73" t="str">
        <x:v>PDF стр. 20</x:v>
      </x:c>
      <x:c r="H1404" s="73" t="str">
        <x:v>Компонент раскрытой методики ЧД</x:v>
      </x:c>
      <x:c r="I1404"/>
      <x:c r="J1404"/>
      <x:c r="K1404"/>
    </x:row>
    <x:row r="1405">
      <x:c r="A1405" t="str">
        <x:v>IRAO</x:v>
      </x:c>
      <x:c r="B1405" t="str">
        <x:v>1П2026</x:v>
      </x:c>
      <x:c r="C1405" s="73" t="str">
        <x:v>Чистый долг компании</x:v>
      </x:c>
      <x:c r="D1405" s="73" t="str">
        <x:v>Денежные средства и их эквиваленты</x:v>
      </x:c>
      <x:c r="E1405" s="74" t="n">
        <x:v>-242354</x:v>
      </x:c>
      <x:c r="F1405" s="73" t="str">
        <x:v>IRAO_2026H1.pdf</x:v>
      </x:c>
      <x:c r="G1405" s="73" t="str">
        <x:v>PDF стр. 27</x:v>
      </x:c>
      <x:c r="H1405" s="73" t="str">
        <x:v>Вычитается по методике ЧД</x:v>
      </x:c>
      <x:c r="I1405"/>
      <x:c r="J1405"/>
      <x:c r="K1405"/>
    </x:row>
    <x:row r="1406">
      <x:c r="A1406" t="str">
        <x:v>IRAO</x:v>
      </x:c>
      <x:c r="B1406" t="str">
        <x:v>1П2026</x:v>
      </x:c>
      <x:c r="C1406" s="73" t="str">
        <x:v>Чистый долг компании</x:v>
      </x:c>
      <x:c r="D1406" s="73" t="str">
        <x:v>Депозиты со сроком погашения 3–12 месяцев</x:v>
      </x:c>
      <x:c r="E1406" s="74" t="n">
        <x:v>-2796</x:v>
      </x:c>
      <x:c r="F1406" s="73" t="str">
        <x:v>IRAO_2026H1.pdf</x:v>
      </x:c>
      <x:c r="G1406" s="73" t="str">
        <x:v>PDF стр. 28</x:v>
      </x:c>
      <x:c r="H1406" s="73" t="str">
        <x:v>Вычитаются по методике ЧД</x:v>
      </x:c>
      <x:c r="I1406"/>
      <x:c r="J1406"/>
      <x:c r="K1406"/>
    </x:row>
    <x:row r="1407">
      <x:c r="A1407" t="str">
        <x:v>IRAO</x:v>
      </x:c>
      <x:c r="B1407" t="str">
        <x:v>1П2026</x:v>
      </x:c>
      <x:c r="C1407" s="73" t="str">
        <x:v>Чистый долг компании</x:v>
      </x:c>
      <x:c r="D1407" s="73" t="str">
        <x:v>Векселя</x:v>
      </x:c>
      <x:c r="E1407" s="74" t="n">
        <x:v>-102842</x:v>
      </x:c>
      <x:c r="F1407" s="73" t="str">
        <x:v>IRAO_2026H1.pdf</x:v>
      </x:c>
      <x:c r="G1407" s="73" t="str">
        <x:v>PDF стр. 28</x:v>
      </x:c>
      <x:c r="H1407" s="73" t="str">
        <x:v>Вычитаются по методике ЧД</x:v>
      </x:c>
      <x:c r="I1407"/>
      <x:c r="J1407"/>
      <x:c r="K1407"/>
    </x:row>
    <x:row r="1408">
      <x:c r="A1408" t="str">
        <x:v>IRAO</x:v>
      </x:c>
      <x:c r="B1408" t="str">
        <x:v>1П2026</x:v>
      </x:c>
      <x:c r="C1408" s="73" t="str">
        <x:v>Чистый долг компании</x:v>
      </x:c>
      <x:c r="D1408" s="73" t="str">
        <x:v>ИТОГО: займы + аренда − деньги − депозиты − векселя</x:v>
      </x:c>
      <x:c r="E1408" s="74" t="n">
        <x:f>SUM(E1403:E1407)</x:f>
        <x:v>-250290</x:v>
      </x:c>
      <x:c r="F1408" s="73" t="str">
        <x:v>IRAO_2026H1.pdf</x:v>
      </x:c>
      <x:c r="G1408" s="73" t="str">
        <x:v>PDF стр. 20, 27–28</x:v>
      </x:c>
      <x:c r="H1408" s="73" t="str">
        <x:v>Аналитический итог по раскрытой методике; отдельный опубликованный итог не найден</x:v>
      </x:c>
      <x:c r="I1408"/>
      <x:c r="J1408"/>
      <x:c r="K1408"/>
    </x:row>
    <x:row r="1410">
      <x:c r="A1410" t="str">
        <x:v>CHMF</x:v>
      </x:c>
      <x:c r="B1410" t="str">
        <x:v>2025</x:v>
      </x:c>
      <x:c r="C1410" s="73" t="str">
        <x:v>EBITDA компании (скорректированная по составу)</x:v>
      </x:c>
      <x:c r="D1410" s="73" t="str">
        <x:v>Прибыль от операционной деятельности</x:v>
      </x:c>
      <x:c r="E1410" s="74" t="n">
        <x:v>90230</x:v>
      </x:c>
      <x:c r="F1410" s="73" t="str">
        <x:v>Северсталь_МСФО_2025.pdf</x:v>
      </x:c>
      <x:c r="G1410" s="73" t="str">
        <x:v>PDF стр. 29</x:v>
      </x:c>
      <x:c r="H1410" s="73" t="str">
        <x:v>Компонент раскрытой методики EBITDA</x:v>
      </x:c>
      <x:c r="I1410"/>
      <x:c r="J1410"/>
      <x:c r="K1410"/>
    </x:row>
    <x:row r="1411">
      <x:c r="A1411" t="str">
        <x:v>CHMF</x:v>
      </x:c>
      <x:c r="B1411" t="str">
        <x:v>2025</x:v>
      </x:c>
      <x:c r="C1411" s="73" t="str">
        <x:v>EBITDA компании (скорректированная по составу)</x:v>
      </x:c>
      <x:c r="D1411" s="73" t="str">
        <x:v>Амортизация производственных активов</x:v>
      </x:c>
      <x:c r="E1411" s="74" t="n">
        <x:v>44338</x:v>
      </x:c>
      <x:c r="F1411" s="73" t="str">
        <x:v>Северсталь_МСФО_2025.pdf</x:v>
      </x:c>
      <x:c r="G1411" s="73" t="str">
        <x:v>PDF стр. 29</x:v>
      </x:c>
      <x:c r="H1411" s="73" t="str">
        <x:v>Компонент раскрытой методики EBITDA</x:v>
      </x:c>
      <x:c r="I1411"/>
      <x:c r="J1411"/>
      <x:c r="K1411"/>
    </x:row>
    <x:row r="1412">
      <x:c r="A1412" t="str">
        <x:v>CHMF</x:v>
      </x:c>
      <x:c r="B1412" t="str">
        <x:v>2025</x:v>
      </x:c>
      <x:c r="C1412" s="73" t="str">
        <x:v>EBITDA компании (скорректированная по составу)</x:v>
      </x:c>
      <x:c r="D1412" s="73" t="str">
        <x:v>Убыток от выбытия основных средств и НМА</x:v>
      </x:c>
      <x:c r="E1412" s="74" t="n">
        <x:v>2252</x:v>
      </x:c>
      <x:c r="F1412" s="73" t="str">
        <x:v>Северсталь_МСФО_2025.pdf</x:v>
      </x:c>
      <x:c r="G1412" s="73" t="str">
        <x:v>PDF стр. 29</x:v>
      </x:c>
      <x:c r="H1412" s="73" t="str">
        <x:v>Дополнительная корректировка</x:v>
      </x:c>
      <x:c r="I1412"/>
      <x:c r="J1412"/>
      <x:c r="K1412"/>
    </x:row>
    <x:row r="1413">
      <x:c r="A1413" t="str">
        <x:v>CHMF</x:v>
      </x:c>
      <x:c r="B1413" t="str">
        <x:v>2025</x:v>
      </x:c>
      <x:c r="C1413" s="73" t="str">
        <x:v>EBITDA компании (скорректированная по составу)</x:v>
      </x:c>
      <x:c r="D1413" s="73" t="str">
        <x:v>Доля в амортизации и неоперационных расходах ассоциированных и совместных предприятий</x:v>
      </x:c>
      <x:c r="E1413" s="74" t="n">
        <x:v>792</x:v>
      </x:c>
      <x:c r="F1413" s="73" t="str">
        <x:v>Северсталь_МСФО_2025.pdf; CHMF_2026H1.pdf</x:v>
      </x:c>
      <x:c r="G1413" s="73" t="str">
        <x:v>МСФО PDF стр. 29; 1П2026 PDF стр. 14</x:v>
      </x:c>
      <x:c r="H1413" s="73" t="str">
        <x:v>Дополнительная корректировка; итог 137 612 опубликован</x:v>
      </x:c>
      <x:c r="I1413"/>
      <x:c r="J1413"/>
      <x:c r="K1413"/>
    </x:row>
    <x:row r="1414">
      <x:c r="A1414" t="str">
        <x:v>CHMF</x:v>
      </x:c>
      <x:c r="B1414" t="str">
        <x:v>2025</x:v>
      </x:c>
      <x:c r="C1414" s="73" t="str">
        <x:v>EBITDA компании (скорректированная по составу)</x:v>
      </x:c>
      <x:c r="D1414" s="73" t="str">
        <x:v>ИТОГО — расчет</x:v>
      </x:c>
      <x:c r="E1414" s="74" t="n">
        <x:f>SUM(E1410:E1413)</x:f>
        <x:v>137612</x:v>
      </x:c>
      <x:c r="F1414" s="73" t="str">
        <x:v>Северсталь_МСФО_2025.pdf; CHMF_2026H1.pdf</x:v>
      </x:c>
      <x:c r="G1414" s="73" t="str">
        <x:v>МСФО PDF стр. 29; 1П2026 PDF стр. 14</x:v>
      </x:c>
      <x:c r="H1414" s="73" t="str">
        <x:v>Опубликованная EBITDA 137 612; классифицирована как скорректированная по составу</x:v>
      </x:c>
      <x:c r="I1414" t="n">
        <x:v>137612</x:v>
      </x:c>
      <x:c r="J1414"/>
      <x:c r="K1414"/>
    </x:row>
    <x:row r="1416">
      <x:c r="A1416" t="str">
        <x:v>CHMF</x:v>
      </x:c>
      <x:c r="B1416" t="str">
        <x:v>2025</x:v>
      </x:c>
      <x:c r="C1416" s="73" t="str">
        <x:v>Чистый долг компании</x:v>
      </x:c>
      <x:c r="D1416" s="73" t="str">
        <x:v>Краткосрочное долговое финансирование</x:v>
      </x:c>
      <x:c r="E1416" s="74" t="n">
        <x:v>56272</x:v>
      </x:c>
      <x:c r="F1416" s="73" t="str">
        <x:v>Северсталь_МСФО_2025.pdf</x:v>
      </x:c>
      <x:c r="G1416" s="73" t="str">
        <x:v>PDF стр. 7</x:v>
      </x:c>
      <x:c r="H1416" s="73" t="str">
        <x:v>Компонент опубликованного ЧД</x:v>
      </x:c>
      <x:c r="I1416"/>
      <x:c r="J1416"/>
      <x:c r="K1416"/>
    </x:row>
    <x:row r="1417">
      <x:c r="A1417" t="str">
        <x:v>CHMF</x:v>
      </x:c>
      <x:c r="B1417" t="str">
        <x:v>2025</x:v>
      </x:c>
      <x:c r="C1417" s="73" t="str">
        <x:v>Чистый долг компании</x:v>
      </x:c>
      <x:c r="D1417" s="73" t="str">
        <x:v>Долгосрочное долговое финансирование</x:v>
      </x:c>
      <x:c r="E1417" s="74" t="n">
        <x:v>3787</x:v>
      </x:c>
      <x:c r="F1417" s="73" t="str">
        <x:v>Северсталь_МСФО_2025.pdf</x:v>
      </x:c>
      <x:c r="G1417" s="73" t="str">
        <x:v>PDF стр. 7</x:v>
      </x:c>
      <x:c r="H1417" s="73" t="str">
        <x:v>Компонент опубликованного ЧД</x:v>
      </x:c>
      <x:c r="I1417"/>
      <x:c r="J1417"/>
      <x:c r="K1417"/>
    </x:row>
    <x:row r="1418">
      <x:c r="A1418" t="str">
        <x:v>CHMF</x:v>
      </x:c>
      <x:c r="B1418" t="str">
        <x:v>2025</x:v>
      </x:c>
      <x:c r="C1418" s="73" t="str">
        <x:v>Чистый долг компании</x:v>
      </x:c>
      <x:c r="D1418" s="73" t="str">
        <x:v>Денежные средства и их эквиваленты</x:v>
      </x:c>
      <x:c r="E1418" s="74" t="n">
        <x:v>-38394</x:v>
      </x:c>
      <x:c r="F1418" s="73" t="str">
        <x:v>Северсталь_МСФО_2025.pdf</x:v>
      </x:c>
      <x:c r="G1418" s="73" t="str">
        <x:v>PDF стр. 7</x:v>
      </x:c>
      <x:c r="H1418" s="73" t="str">
        <x:v>Вычитается по определению компании</x:v>
      </x:c>
      <x:c r="I1418"/>
      <x:c r="J1418"/>
      <x:c r="K1418"/>
    </x:row>
    <x:row r="1419">
      <x:c r="A1419" t="str">
        <x:v>CHMF</x:v>
      </x:c>
      <x:c r="B1419" t="str">
        <x:v>2025</x:v>
      </x:c>
      <x:c r="C1419" s="73" t="str">
        <x:v>Чистый долг компании</x:v>
      </x:c>
      <x:c r="D1419" s="73" t="str">
        <x:v>ИТОГО: долговое финансирование − денежные средства</x:v>
      </x:c>
      <x:c r="E1419" s="74" t="n">
        <x:f>SUM(E1416:E1418)</x:f>
        <x:v>21665</x:v>
      </x:c>
      <x:c r="F1419" s="73" t="str">
        <x:v>Северсталь_МСФО_2025.pdf</x:v>
      </x:c>
      <x:c r="G1419" s="73" t="str">
        <x:v>PDF стр. 7, 29</x:v>
      </x:c>
      <x:c r="H1419" s="73" t="str">
        <x:v>Опубликованный ЧД 21 665; мост совпадает точно</x:v>
      </x:c>
      <x:c r="I1419" t="n">
        <x:v>21665</x:v>
      </x:c>
      <x:c r="J1419"/>
      <x:c r="K1419"/>
    </x:row>
    <x:row r="1421">
      <x:c r="A1421" t="str">
        <x:v>CHMF</x:v>
      </x:c>
      <x:c r="B1421" t="str">
        <x:v>2025</x:v>
      </x:c>
      <x:c r="C1421" s="73" t="str">
        <x:v>Капитал</x:v>
      </x:c>
      <x:c r="D1421" s="73" t="str">
        <x:v>Неконтролирующая доля</x:v>
      </x:c>
      <x:c r="E1421" s="74" t="n">
        <x:v>1167</x:v>
      </x:c>
      <x:c r="F1421" s="73" t="str">
        <x:v>Северсталь_МСФО_2025.pdf</x:v>
      </x:c>
      <x:c r="G1421" s="73" t="str">
        <x:v>PDF стр. 7</x:v>
      </x:c>
      <x:c r="H1421" s="73" t="str">
        <x:v>Отдельно от капитала акционеров 527 140</x:v>
      </x:c>
      <x:c r="I1421"/>
      <x:c r="J1421"/>
      <x:c r="K1421"/>
    </x:row>
    <x:row r="1423">
      <x:c r="A1423" t="str">
        <x:v>CHMF</x:v>
      </x:c>
      <x:c r="B1423" t="str">
        <x:v>1П2025</x:v>
      </x:c>
      <x:c r="C1423" s="73" t="str">
        <x:v>Чистый долг компании</x:v>
      </x:c>
      <x:c r="D1423" s="73" t="str">
        <x:v>Опубликованный чистый долг на 30.06.2025</x:v>
      </x:c>
      <x:c r="E1423" s="74" t="n">
        <x:v>1476</x:v>
      </x:c>
      <x:c r="F1423" s="73" t="str">
        <x:v>CHMF_2026H1.pdf</x:v>
      </x:c>
      <x:c r="G1423" s="73" t="str">
        <x:v>PDF стр. 14</x:v>
      </x:c>
      <x:c r="H1423" s="73" t="str">
        <x:v>Опубликовано точно; компоненты сравнительного баланса не раскрыты</x:v>
      </x:c>
      <x:c r="I1423"/>
      <x:c r="J1423"/>
      <x:c r="K1423"/>
    </x:row>
    <x:row r="1424">
      <x:c r="A1424" t="str">
        <x:v>CHMF</x:v>
      </x:c>
      <x:c r="B1424" t="str">
        <x:v>1П2025</x:v>
      </x:c>
      <x:c r="C1424" s="73" t="str">
        <x:v>Капитал</x:v>
      </x:c>
      <x:c r="D1424" s="73" t="str">
        <x:v>Неконтролирующая доля</x:v>
      </x:c>
      <x:c r="E1424" s="74" t="n">
        <x:v>1153</x:v>
      </x:c>
      <x:c r="F1424" s="73" t="str">
        <x:v>CHMF_2026H1.pdf</x:v>
      </x:c>
      <x:c r="G1424" s="73" t="str">
        <x:v>PDF стр. 9</x:v>
      </x:c>
      <x:c r="H1424" s="73" t="str">
        <x:v>Отдельно от капитала акционеров 532 087</x:v>
      </x:c>
      <x:c r="I1424"/>
      <x:c r="J1424"/>
      <x:c r="K1424"/>
    </x:row>
    <x:row r="1426">
      <x:c r="A1426" t="str">
        <x:v>CHMF</x:v>
      </x:c>
      <x:c r="B1426" t="str">
        <x:v>1П2026</x:v>
      </x:c>
      <x:c r="C1426" s="73" t="str">
        <x:v>Чистый долг компании</x:v>
      </x:c>
      <x:c r="D1426" s="73" t="str">
        <x:v>Краткосрочное долговое финансирование</x:v>
      </x:c>
      <x:c r="E1426" s="74" t="n">
        <x:v>90621</x:v>
      </x:c>
      <x:c r="F1426" s="73" t="str">
        <x:v>CHMF_2026H1.pdf</x:v>
      </x:c>
      <x:c r="G1426" s="73" t="str">
        <x:v>PDF стр. 7</x:v>
      </x:c>
      <x:c r="H1426" s="73" t="str">
        <x:v>Компонент опубликованного ЧД</x:v>
      </x:c>
      <x:c r="I1426"/>
      <x:c r="J1426"/>
      <x:c r="K1426"/>
    </x:row>
    <x:row r="1427">
      <x:c r="A1427" t="str">
        <x:v>CHMF</x:v>
      </x:c>
      <x:c r="B1427" t="str">
        <x:v>1П2026</x:v>
      </x:c>
      <x:c r="C1427" s="73" t="str">
        <x:v>Чистый долг компании</x:v>
      </x:c>
      <x:c r="D1427" s="73" t="str">
        <x:v>Долгосрочное долговое финансирование</x:v>
      </x:c>
      <x:c r="E1427" s="74" t="n">
        <x:v>5076</x:v>
      </x:c>
      <x:c r="F1427" s="73" t="str">
        <x:v>CHMF_2026H1.pdf</x:v>
      </x:c>
      <x:c r="G1427" s="73" t="str">
        <x:v>PDF стр. 7</x:v>
      </x:c>
      <x:c r="H1427" s="73" t="str">
        <x:v>Компонент опубликованного ЧД</x:v>
      </x:c>
      <x:c r="I1427"/>
      <x:c r="J1427"/>
      <x:c r="K1427"/>
    </x:row>
    <x:row r="1428">
      <x:c r="A1428" t="str">
        <x:v>CHMF</x:v>
      </x:c>
      <x:c r="B1428" t="str">
        <x:v>1П2026</x:v>
      </x:c>
      <x:c r="C1428" s="73" t="str">
        <x:v>Чистый долг компании</x:v>
      </x:c>
      <x:c r="D1428" s="73" t="str">
        <x:v>Денежные средства и их эквиваленты</x:v>
      </x:c>
      <x:c r="E1428" s="74" t="n">
        <x:v>-7255</x:v>
      </x:c>
      <x:c r="F1428" s="73" t="str">
        <x:v>CHMF_2026H1.pdf</x:v>
      </x:c>
      <x:c r="G1428" s="73" t="str">
        <x:v>PDF стр. 7</x:v>
      </x:c>
      <x:c r="H1428" s="73" t="str">
        <x:v>Вычитается по определению компании</x:v>
      </x:c>
      <x:c r="I1428"/>
      <x:c r="J1428"/>
      <x:c r="K1428"/>
    </x:row>
    <x:row r="1429">
      <x:c r="A1429" t="str">
        <x:v>CHMF</x:v>
      </x:c>
      <x:c r="B1429" t="str">
        <x:v>1П2026</x:v>
      </x:c>
      <x:c r="C1429" s="73" t="str">
        <x:v>Чистый долг компании</x:v>
      </x:c>
      <x:c r="D1429" s="73" t="str">
        <x:v>ИТОГО: долговое финансирование − денежные средства</x:v>
      </x:c>
      <x:c r="E1429" s="74" t="n">
        <x:f>SUM(E1426:E1428)</x:f>
        <x:v>88442</x:v>
      </x:c>
      <x:c r="F1429" s="73" t="str">
        <x:v>CHMF_2026H1.pdf</x:v>
      </x:c>
      <x:c r="G1429" s="73" t="str">
        <x:v>PDF стр. 7, 14</x:v>
      </x:c>
      <x:c r="H1429" s="73" t="str">
        <x:v>Опубликованный ЧД 88 442; мост совпадает точно</x:v>
      </x:c>
      <x:c r="I1429" t="n">
        <x:v>88442</x:v>
      </x:c>
      <x:c r="J1429"/>
      <x:c r="K1429"/>
    </x:row>
    <x:row r="1431">
      <x:c r="A1431" t="str">
        <x:v>RUAL</x:v>
      </x:c>
      <x:c r="B1431" t="str">
        <x:v>2025</x:v>
      </x:c>
      <x:c r="C1431" s="73" t="str">
        <x:v>Чистый долг компании</x:v>
      </x:c>
      <x:c r="D1431" s="73" t="str">
        <x:v>Долгосрочные кредиты и займы: 3 098 млн долл. × 78,2267</x:v>
      </x:c>
      <x:c r="E1431" s="84" t="n">
        <x:f>3098*78.2267</x:f>
        <x:v>242346.3166</x:v>
      </x:c>
      <x:c r="F1431" s="73" t="str">
        <x:v>Русал_МСФО_2025.pdf</x:v>
      </x:c>
      <x:c r="G1431" s="73" t="str">
        <x:v>PDF стр. 13</x:v>
      </x:c>
      <x:c r="H1431" s="73" t="str">
        <x:v>Компонент опубликованного ЧД; курс ЦБ РФ на конец периода</x:v>
      </x:c>
      <x:c r="I1431"/>
      <x:c r="J1431"/>
      <x:c r="K1431"/>
    </x:row>
    <x:row r="1432">
      <x:c r="A1432" t="str">
        <x:v>RUAL</x:v>
      </x:c>
      <x:c r="B1432" t="str">
        <x:v>2025</x:v>
      </x:c>
      <x:c r="C1432" s="73" t="str">
        <x:v>Чистый долг компании</x:v>
      </x:c>
      <x:c r="D1432" s="73" t="str">
        <x:v>Краткосрочные кредиты и займы: 6 504 млн долл. × 78,2267</x:v>
      </x:c>
      <x:c r="E1432" s="84" t="n">
        <x:f>6504*78.2267</x:f>
        <x:v>508786.4568</x:v>
      </x:c>
      <x:c r="F1432" s="73" t="str">
        <x:v>Русал_МСФО_2025.pdf</x:v>
      </x:c>
      <x:c r="G1432" s="73" t="str">
        <x:v>PDF стр. 13</x:v>
      </x:c>
      <x:c r="H1432" s="73" t="str">
        <x:v>Компонент опубликованного ЧД; курс ЦБ РФ на конец периода</x:v>
      </x:c>
      <x:c r="I1432"/>
      <x:c r="J1432"/>
      <x:c r="K1432"/>
    </x:row>
    <x:row r="1433">
      <x:c r="A1433" t="str">
        <x:v>RUAL</x:v>
      </x:c>
      <x:c r="B1433" t="str">
        <x:v>2025</x:v>
      </x:c>
      <x:c r="C1433" s="73" t="str">
        <x:v>Чистый долг компании</x:v>
      </x:c>
      <x:c r="D1433" s="73" t="str">
        <x:v>Денежные средства: −1 548 млн долл. × 78,2267</x:v>
      </x:c>
      <x:c r="E1433" s="84" t="n">
        <x:f>-1548*78.2267</x:f>
        <x:v>-121094.9316</x:v>
      </x:c>
      <x:c r="F1433" s="73" t="str">
        <x:v>Русал_МСФО_2025.pdf</x:v>
      </x:c>
      <x:c r="G1433" s="73" t="str">
        <x:v>PDF стр. 12</x:v>
      </x:c>
      <x:c r="H1433" s="73" t="str">
        <x:v>Вычитается по определению компании; курс ЦБ РФ на конец периода</x:v>
      </x:c>
      <x:c r="I1433"/>
      <x:c r="J1433"/>
      <x:c r="K1433"/>
    </x:row>
    <x:row r="1434">
      <x:c r="A1434" t="str">
        <x:v>RUAL</x:v>
      </x:c>
      <x:c r="B1434" t="str">
        <x:v>2025</x:v>
      </x:c>
      <x:c r="C1434" s="73" t="str">
        <x:v>Чистый долг компании</x:v>
      </x:c>
      <x:c r="D1434" s="73" t="str">
        <x:v>ИТОГО: кредиты и займы − денежные средства</x:v>
      </x:c>
      <x:c r="E1434" s="84" t="n">
        <x:f>SUM(E1431:E1433)</x:f>
        <x:v>630037.8417999999</x:v>
      </x:c>
      <x:c r="F1434" s="73" t="str">
        <x:v>Русал_МСФО_2025.pdf; Русал_отчет_эмитента_2025.pdf</x:v>
      </x:c>
      <x:c r="G1434" s="73" t="str">
        <x:v>МСФО PDF стр. 12–13; отчет эмитента PDF стр. 11</x:v>
      </x:c>
      <x:c r="H1434" s="73" t="str">
        <x:v>Опубликованный ЧД 8 054 млн долл.; мост совпадает точно</x:v>
      </x:c>
      <x:c r="I1434" t="n">
        <x:v>630037.8417999999</x:v>
      </x:c>
      <x:c r="J1434" s="85" t="n">
        <x:f>ROUND(E1434-I1434,6)</x:f>
        <x:v>0</x:v>
      </x:c>
      <x:c r="K1434"/>
    </x:row>
    <x:row r="1435">
      <x:c r="A1435" t="str">
        <x:v>RUAL</x:v>
      </x:c>
      <x:c r="B1435" t="str">
        <x:v>2025</x:v>
      </x:c>
      <x:c r="C1435" s="73" t="str">
        <x:v>Капитал</x:v>
      </x:c>
      <x:c r="D1435" s="73" t="str">
        <x:v>Неконтролирующая доля</x:v>
      </x:c>
      <x:c r="E1435" s="74" t="n">
        <x:v>0</x:v>
      </x:c>
      <x:c r="F1435" s="73" t="str">
        <x:v>Русал_МСФО_2025.pdf</x:v>
      </x:c>
      <x:c r="G1435" s="73" t="str">
        <x:v>PDF стр. 13</x:v>
      </x:c>
      <x:c r="H1435" s="73" t="str">
        <x:v>НКД отсутствует; весь капитал относится к акционерам Компании</x:v>
      </x:c>
      <x:c r="I1435"/>
      <x:c r="J1435"/>
      <x:c r="K1435"/>
    </x:row>
    <x:row r="1437">
      <x:c r="A1437" t="str">
        <x:v>RUAL</x:v>
      </x:c>
      <x:c r="B1437" t="str">
        <x:v>1П2025</x:v>
      </x:c>
      <x:c r="C1437" s="73" t="str">
        <x:v>Чистый долг компании</x:v>
      </x:c>
      <x:c r="D1437" s="73" t="str">
        <x:v>Долгосрочные кредиты и займы: 2 258 млн долл. × 78,4685</x:v>
      </x:c>
      <x:c r="E1437" s="84" t="n">
        <x:f>2258*78.4685</x:f>
        <x:v>177181.87300000002</x:v>
      </x:c>
      <x:c r="F1437" s="73" t="str">
        <x:v>RUAL_2025H1_official.pdf</x:v>
      </x:c>
      <x:c r="G1437" s="73" t="str">
        <x:v>PDF стр. 9</x:v>
      </x:c>
      <x:c r="H1437" s="73" t="str">
        <x:v>Компонент опубликованного ЧД; курс ЦБ РФ на 30.06.2025</x:v>
      </x:c>
      <x:c r="I1437"/>
      <x:c r="J1437"/>
      <x:c r="K1437"/>
    </x:row>
    <x:row r="1438">
      <x:c r="A1438" t="str">
        <x:v>RUAL</x:v>
      </x:c>
      <x:c r="B1438" t="str">
        <x:v>1П2025</x:v>
      </x:c>
      <x:c r="C1438" s="73" t="str">
        <x:v>Чистый долг компании</x:v>
      </x:c>
      <x:c r="D1438" s="73" t="str">
        <x:v>Краткосрочные кредиты и займы: 6 245 млн долл. × 78,4685</x:v>
      </x:c>
      <x:c r="E1438" s="84" t="n">
        <x:f>6245*78.4685</x:f>
        <x:v>490035.78250000003</x:v>
      </x:c>
      <x:c r="F1438" s="73" t="str">
        <x:v>RUAL_2025H1_official.pdf</x:v>
      </x:c>
      <x:c r="G1438" s="73" t="str">
        <x:v>PDF стр. 9</x:v>
      </x:c>
      <x:c r="H1438" s="73" t="str">
        <x:v>Компонент опубликованного ЧД; курс ЦБ РФ на 30.06.2025</x:v>
      </x:c>
      <x:c r="I1438"/>
      <x:c r="J1438"/>
      <x:c r="K1438"/>
    </x:row>
    <x:row r="1439">
      <x:c r="A1439" t="str">
        <x:v>RUAL</x:v>
      </x:c>
      <x:c r="B1439" t="str">
        <x:v>1П2025</x:v>
      </x:c>
      <x:c r="C1439" s="73" t="str">
        <x:v>Чистый долг компании</x:v>
      </x:c>
      <x:c r="D1439" s="73" t="str">
        <x:v>Денежные средства: −1 125 млн долл. × 78,4685</x:v>
      </x:c>
      <x:c r="E1439" s="84" t="n">
        <x:f>-1125*78.4685</x:f>
        <x:v>-88277.0625</x:v>
      </x:c>
      <x:c r="F1439" s="73" t="str">
        <x:v>RUAL_2025H1_official.pdf</x:v>
      </x:c>
      <x:c r="G1439" s="73" t="str">
        <x:v>PDF стр. 8</x:v>
      </x:c>
      <x:c r="H1439" s="73" t="str">
        <x:v>Вычитается по определению компании; курс ЦБ РФ на 30.06.2025</x:v>
      </x:c>
      <x:c r="I1439"/>
      <x:c r="J1439"/>
      <x:c r="K1439"/>
    </x:row>
    <x:row r="1440">
      <x:c r="A1440" t="str">
        <x:v>RUAL</x:v>
      </x:c>
      <x:c r="B1440" t="str">
        <x:v>1П2025</x:v>
      </x:c>
      <x:c r="C1440" s="73" t="str">
        <x:v>Чистый долг компании</x:v>
      </x:c>
      <x:c r="D1440" s="73" t="str">
        <x:v>ИТОГО: кредиты и займы − денежные средства</x:v>
      </x:c>
      <x:c r="E1440" s="84" t="n">
        <x:f>SUM(E1437:E1439)</x:f>
        <x:v>578940.5930000001</x:v>
      </x:c>
      <x:c r="F1440" s="73" t="str">
        <x:v>RUAL_2025H1_official.pdf; RUSAL_1H2025_press_release.pdf</x:v>
      </x:c>
      <x:c r="G1440" s="73" t="str">
        <x:v>МСФО PDF стр. 8–9; пресс-релиз PDF стр. 3</x:v>
      </x:c>
      <x:c r="H1440" s="73" t="str">
        <x:v>Опубликованный ЧД 7 378 млн долл.; мост совпадает точно</x:v>
      </x:c>
      <x:c r="I1440" t="n">
        <x:v>578940.593</x:v>
      </x:c>
      <x:c r="J1440" s="85" t="n">
        <x:f>ROUND(E1440-I1440,6)</x:f>
        <x:v>0</x:v>
      </x:c>
      <x:c r="K1440"/>
    </x:row>
    <x:row r="1441">
      <x:c r="A1441" t="str">
        <x:v>RUAL</x:v>
      </x:c>
      <x:c r="B1441" t="str">
        <x:v>1П2025</x:v>
      </x:c>
      <x:c r="C1441" s="73" t="str">
        <x:v>Капитал акционеров</x:v>
      </x:c>
      <x:c r="D1441" s="73" t="str">
        <x:v>12 104 млн долл. × 78,4685</x:v>
      </x:c>
      <x:c r="E1441" s="84" t="n">
        <x:f>12104*78.4685</x:f>
        <x:v>949782.724</x:v>
      </x:c>
      <x:c r="F1441" s="73" t="str">
        <x:v>RUAL_2025H1_official.pdf</x:v>
      </x:c>
      <x:c r="G1441" s="73" t="str">
        <x:v>PDF стр. 9</x:v>
      </x:c>
      <x:c r="H1441" s="73" t="str">
        <x:v>Весь капитал относится к акционерам; курс ЦБ РФ на 30.06.2025</x:v>
      </x:c>
      <x:c r="I1441"/>
      <x:c r="J1441"/>
      <x:c r="K1441"/>
    </x:row>
    <x:row r="1442">
      <x:c r="A1442" t="str">
        <x:v>RUAL</x:v>
      </x:c>
      <x:c r="B1442" t="str">
        <x:v>1П2025</x:v>
      </x:c>
      <x:c r="C1442" s="73" t="str">
        <x:v>Капитал</x:v>
      </x:c>
      <x:c r="D1442" s="73" t="str">
        <x:v>Неконтролирующая доля</x:v>
      </x:c>
      <x:c r="E1442" s="74" t="n">
        <x:v>0</x:v>
      </x:c>
      <x:c r="F1442" s="73" t="str">
        <x:v>RUAL_2025H1_official.pdf</x:v>
      </x:c>
      <x:c r="G1442" s="73" t="str">
        <x:v>PDF стр. 9</x:v>
      </x:c>
      <x:c r="H1442" s="73" t="str">
        <x:v>НКД отсутствует; весь капитал относится к акционерам Компании</x:v>
      </x:c>
      <x:c r="I1442"/>
      <x:c r="J1442"/>
      <x:c r="K1442"/>
    </x:row>
    <x:row r="1444">
      <x:c r="A1444" t="str">
        <x:v>RUAL</x:v>
      </x:c>
      <x:c r="B1444" t="str">
        <x:v>1П2026</x:v>
      </x:c>
      <x:c r="C1444" s="73" t="str">
        <x:v>Чистый долг компании</x:v>
      </x:c>
      <x:c r="D1444" s="73" t="str">
        <x:v>Долгосрочные кредиты и займы: 1 351 млн долл. × 77,7539</x:v>
      </x:c>
      <x:c r="E1444" s="84" t="n">
        <x:f>1351*77.7539</x:f>
        <x:v>105045.5189</x:v>
      </x:c>
      <x:c r="F1444" s="73" t="str">
        <x:v>RUAL_2026H1.pdf</x:v>
      </x:c>
      <x:c r="G1444" s="73" t="str">
        <x:v>PDF стр. 9</x:v>
      </x:c>
      <x:c r="H1444" s="73" t="str">
        <x:v>Компонент аналитического ЧД по раскрытой методике; курс ЦБ РФ на 30.06.2026</x:v>
      </x:c>
      <x:c r="I1444"/>
      <x:c r="J1444"/>
      <x:c r="K1444"/>
    </x:row>
    <x:row r="1445">
      <x:c r="A1445" t="str">
        <x:v>RUAL</x:v>
      </x:c>
      <x:c r="B1445" t="str">
        <x:v>1П2026</x:v>
      </x:c>
      <x:c r="C1445" s="73" t="str">
        <x:v>Чистый долг компании</x:v>
      </x:c>
      <x:c r="D1445" s="73" t="str">
        <x:v>Краткосрочные кредиты и займы: 8 588 млн долл. × 77,7539</x:v>
      </x:c>
      <x:c r="E1445" s="84" t="n">
        <x:f>8588*77.7539</x:f>
        <x:v>667750.4932</x:v>
      </x:c>
      <x:c r="F1445" s="73" t="str">
        <x:v>RUAL_2026H1.pdf</x:v>
      </x:c>
      <x:c r="G1445" s="73" t="str">
        <x:v>PDF стр. 9</x:v>
      </x:c>
      <x:c r="H1445" s="73" t="str">
        <x:v>Компонент аналитического ЧД по раскрытой методике; курс ЦБ РФ на 30.06.2026</x:v>
      </x:c>
      <x:c r="I1445"/>
      <x:c r="J1445"/>
      <x:c r="K1445"/>
    </x:row>
    <x:row r="1446">
      <x:c r="A1446" t="str">
        <x:v>RUAL</x:v>
      </x:c>
      <x:c r="B1446" t="str">
        <x:v>1П2026</x:v>
      </x:c>
      <x:c r="C1446" s="73" t="str">
        <x:v>Чистый долг компании</x:v>
      </x:c>
      <x:c r="D1446" s="73" t="str">
        <x:v>Денежные средства: −1 038 млн долл. × 77,7539</x:v>
      </x:c>
      <x:c r="E1446" s="84" t="n">
        <x:f>-1038*77.7539</x:f>
        <x:v>-80708.5482</x:v>
      </x:c>
      <x:c r="F1446" s="73" t="str">
        <x:v>RUAL_2026H1.pdf</x:v>
      </x:c>
      <x:c r="G1446" s="73" t="str">
        <x:v>PDF стр. 8</x:v>
      </x:c>
      <x:c r="H1446" s="73" t="str">
        <x:v>Вычитается по определению компании; курс ЦБ РФ на 30.06.2026</x:v>
      </x:c>
      <x:c r="I1446"/>
      <x:c r="J1446"/>
      <x:c r="K1446"/>
    </x:row>
    <x:row r="1447">
      <x:c r="A1447" t="str">
        <x:v>RUAL</x:v>
      </x:c>
      <x:c r="B1447" t="str">
        <x:v>1П2026</x:v>
      </x:c>
      <x:c r="C1447" s="73" t="str">
        <x:v>Чистый долг компании</x:v>
      </x:c>
      <x:c r="D1447" s="73" t="str">
        <x:v>ИТОГО: кредиты и займы − денежные средства</x:v>
      </x:c>
      <x:c r="E1447" s="84" t="n">
        <x:f>SUM(E1444:E1446)</x:f>
        <x:v>692087.4639000001</x:v>
      </x:c>
      <x:c r="F1447" s="73" t="str">
        <x:v>RUAL_2026H1.pdf</x:v>
      </x:c>
      <x:c r="G1447" s="73" t="str">
        <x:v>PDF стр. 8–9</x:v>
      </x:c>
      <x:c r="H1447" s="73" t="str">
        <x:v>Аналитический итог 8 901 млн долл. по раскрытой методике</x:v>
      </x:c>
      <x:c r="I1447" t="n">
        <x:v>692087.4639</x:v>
      </x:c>
      <x:c r="J1447" s="85" t="n">
        <x:f>ROUND(E1447-I1447,6)</x:f>
        <x:v>0</x:v>
      </x:c>
      <x:c r="K1447"/>
    </x:row>
    <x:row r="1449">
      <x:c r="A1449" t="str">
        <x:v>RUAL</x:v>
      </x:c>
      <x:c r="B1449" t="str">
        <x:v>2025</x:v>
      </x:c>
      <x:c r="C1449" s="73" t="str">
        <x:v>Скорректированная EBITDA</x:v>
      </x:c>
      <x:c r="D1449" s="73" t="str">
        <x:v>Результат операционной деятельности: 126 млн долл. × 83,6203424657534</x:v>
      </x:c>
      <x:c r="E1449" s="84" t="n">
        <x:f>126*83.6203424657534</x:f>
        <x:v>10536.163150684928</x:v>
      </x:c>
      <x:c r="F1449" s="73" t="str">
        <x:v>Русал_МСФО_2025.pdf</x:v>
      </x:c>
      <x:c r="G1449" s="73" t="str">
        <x:v>PDF стр. 32</x:v>
      </x:c>
      <x:c r="H1449" s="73" t="str">
        <x:v>Компонент раскрытой методики; средний курс ЦБ РФ</x:v>
      </x:c>
      <x:c r="I1449"/>
      <x:c r="J1449"/>
      <x:c r="K1449"/>
    </x:row>
    <x:row r="1450">
      <x:c r="A1450" t="str">
        <x:v>RUAL</x:v>
      </x:c>
      <x:c r="B1450" t="str">
        <x:v>2025</x:v>
      </x:c>
      <x:c r="C1450" s="73" t="str">
        <x:v>Скорректированная EBITDA</x:v>
      </x:c>
      <x:c r="D1450" s="73" t="str">
        <x:v>Амортизация: 685 млн долл. × 83,6203424657534</x:v>
      </x:c>
      <x:c r="E1450" s="84" t="n">
        <x:f>685*83.6203424657534</x:f>
        <x:v>57279.93458904108</x:v>
      </x:c>
      <x:c r="F1450" s="73" t="str">
        <x:v>Русал_МСФО_2025.pdf</x:v>
      </x:c>
      <x:c r="G1450" s="73" t="str">
        <x:v>PDF стр. 32</x:v>
      </x:c>
      <x:c r="H1450" s="73" t="str">
        <x:v>Компонент раскрытой методики; средний курс ЦБ РФ</x:v>
      </x:c>
      <x:c r="I1450"/>
      <x:c r="J1450"/>
      <x:c r="K1450"/>
    </x:row>
    <x:row r="1451">
      <x:c r="A1451" t="str">
        <x:v>RUAL</x:v>
      </x:c>
      <x:c r="B1451" t="str">
        <x:v>2025</x:v>
      </x:c>
      <x:c r="C1451" s="73" t="str">
        <x:v>Скорректированная EBITDA</x:v>
      </x:c>
      <x:c r="D1451" s="73" t="str">
        <x:v>Обесценение внеоборотных активов: 230 млн долл. × 83,6203424657534</x:v>
      </x:c>
      <x:c r="E1451" s="84" t="n">
        <x:f>230*83.6203424657534</x:f>
        <x:v>19232.67876712328</x:v>
      </x:c>
      <x:c r="F1451" s="73" t="str">
        <x:v>Русал_МСФО_2025.pdf</x:v>
      </x:c>
      <x:c r="G1451" s="73" t="str">
        <x:v>PDF стр. 32</x:v>
      </x:c>
      <x:c r="H1451" s="73" t="str">
        <x:v>Компонент раскрытой методики; средний курс ЦБ РФ</x:v>
      </x:c>
      <x:c r="I1451"/>
      <x:c r="J1451"/>
      <x:c r="K1451"/>
    </x:row>
    <x:row r="1452">
      <x:c r="A1452" t="str">
        <x:v>RUAL</x:v>
      </x:c>
      <x:c r="B1452" t="str">
        <x:v>2025</x:v>
      </x:c>
      <x:c r="C1452" s="73" t="str">
        <x:v>Скорректированная EBITDA</x:v>
      </x:c>
      <x:c r="D1452" s="73" t="str">
        <x:v>Убыток от выбытия основных средств: 12 млн долл. × 83,6203424657534</x:v>
      </x:c>
      <x:c r="E1452" s="84" t="n">
        <x:f>12*83.6203424657534</x:f>
        <x:v>1003.4441095890407</x:v>
      </x:c>
      <x:c r="F1452" s="73" t="str">
        <x:v>Русал_МСФО_2025.pdf</x:v>
      </x:c>
      <x:c r="G1452" s="73" t="str">
        <x:v>PDF стр. 32</x:v>
      </x:c>
      <x:c r="H1452" s="73" t="str">
        <x:v>Компонент раскрытой методики; средний курс ЦБ РФ</x:v>
      </x:c>
      <x:c r="I1452"/>
      <x:c r="J1452"/>
      <x:c r="K1452"/>
    </x:row>
    <x:row r="1453">
      <x:c r="A1453" t="str">
        <x:v>RUAL</x:v>
      </x:c>
      <x:c r="B1453" t="str">
        <x:v>2025</x:v>
      </x:c>
      <x:c r="C1453" s="73" t="str">
        <x:v>Скорректированная EBITDA</x:v>
      </x:c>
      <x:c r="D1453" s="73" t="str">
        <x:v>ИТОГО — расчет</x:v>
      </x:c>
      <x:c r="E1453" s="84" t="n">
        <x:f>SUM(E1449:E1452)</x:f>
        <x:v>88052.22061643831</x:v>
      </x:c>
      <x:c r="F1453" s="73" t="str">
        <x:v>Русал_МСФО_2025.pdf</x:v>
      </x:c>
      <x:c r="G1453" s="73" t="str">
        <x:v>PDF стр. 10, 32</x:v>
      </x:c>
      <x:c r="H1453" s="73" t="str">
        <x:v>Опубликовано 1 053 млн долл.; показатель скорректированный</x:v>
      </x:c>
      <x:c r="I1453" t="n">
        <x:v>88052.22061643832</x:v>
      </x:c>
      <x:c r="J1453" s="85" t="n">
        <x:f>ROUND(E1453-I1453,6)</x:f>
        <x:v>0</x:v>
      </x:c>
      <x:c r="K1453"/>
    </x:row>
    <x:row r="1455">
      <x:c r="A1455" t="str">
        <x:v>RUAL</x:v>
      </x:c>
      <x:c r="B1455" t="str">
        <x:v>1П2025</x:v>
      </x:c>
      <x:c r="C1455" s="73" t="str">
        <x:v>Скорректированная EBITDA</x:v>
      </x:c>
      <x:c r="D1455" s="73" t="str">
        <x:v>Результат операционной деятельности: 252 млн долл. × 87,0345635359116</x:v>
      </x:c>
      <x:c r="E1455" s="84" t="n">
        <x:f>252*87.0345635359116</x:f>
        <x:v>21932.710011049723</x:v>
      </x:c>
      <x:c r="F1455" s="73" t="str">
        <x:v>RUAL_2026H1.pdf; RUSAL_1H2025_press_release.pdf</x:v>
      </x:c>
      <x:c r="G1455" s="73" t="str">
        <x:v>PDF стр. 24; пресс-релиз PDF стр. 6</x:v>
      </x:c>
      <x:c r="H1455" s="73" t="str">
        <x:v>Компонент раскрытой методики; средний курс ЦБ РФ</x:v>
      </x:c>
      <x:c r="I1455"/>
      <x:c r="J1455"/>
      <x:c r="K1455"/>
    </x:row>
    <x:row r="1456">
      <x:c r="A1456" t="str">
        <x:v>RUAL</x:v>
      </x:c>
      <x:c r="B1456" t="str">
        <x:v>1П2025</x:v>
      </x:c>
      <x:c r="C1456" s="73" t="str">
        <x:v>Скорректированная EBITDA</x:v>
      </x:c>
      <x:c r="D1456" s="73" t="str">
        <x:v>Амортизация: 327 млн долл. × 87,0345635359116</x:v>
      </x:c>
      <x:c r="E1456" s="84" t="n">
        <x:f>327*87.0345635359116</x:f>
        <x:v>28460.302276243096</x:v>
      </x:c>
      <x:c r="F1456" s="73" t="str">
        <x:v>RUAL_2026H1.pdf; RUSAL_1H2025_press_release.pdf</x:v>
      </x:c>
      <x:c r="G1456" s="73" t="str">
        <x:v>PDF стр. 24; пресс-релиз PDF стр. 6</x:v>
      </x:c>
      <x:c r="H1456" s="73" t="str">
        <x:v>Компонент раскрытой методики; средний курс ЦБ РФ</x:v>
      </x:c>
      <x:c r="I1456"/>
      <x:c r="J1456"/>
      <x:c r="K1456"/>
    </x:row>
    <x:row r="1457">
      <x:c r="A1457" t="str">
        <x:v>RUAL</x:v>
      </x:c>
      <x:c r="B1457" t="str">
        <x:v>1П2025</x:v>
      </x:c>
      <x:c r="C1457" s="73" t="str">
        <x:v>Скорректированная EBITDA</x:v>
      </x:c>
      <x:c r="D1457" s="73" t="str">
        <x:v>Обесценение внеоборотных активов: 166 млн долл. × 87,0345635359116</x:v>
      </x:c>
      <x:c r="E1457" s="84" t="n">
        <x:f>166*87.0345635359116</x:f>
        <x:v>14447.737546961325</x:v>
      </x:c>
      <x:c r="F1457" s="73" t="str">
        <x:v>RUAL_2026H1.pdf; RUSAL_1H2025_press_release.pdf</x:v>
      </x:c>
      <x:c r="G1457" s="73" t="str">
        <x:v>PDF стр. 24; пресс-релиз PDF стр. 6</x:v>
      </x:c>
      <x:c r="H1457" s="73" t="str">
        <x:v>Компонент раскрытой методики; средний курс ЦБ РФ</x:v>
      </x:c>
      <x:c r="I1457"/>
      <x:c r="J1457"/>
      <x:c r="K1457"/>
    </x:row>
    <x:row r="1458">
      <x:c r="A1458" t="str">
        <x:v>RUAL</x:v>
      </x:c>
      <x:c r="B1458" t="str">
        <x:v>1П2025</x:v>
      </x:c>
      <x:c r="C1458" s="73" t="str">
        <x:v>Скорректированная EBITDA</x:v>
      </x:c>
      <x:c r="D1458" s="73" t="str">
        <x:v>Убыток от выбытия основных средств: 3 млн долл. × 87,0345635359116</x:v>
      </x:c>
      <x:c r="E1458" s="84" t="n">
        <x:f>3*87.0345635359116</x:f>
        <x:v>261.1036906077348</x:v>
      </x:c>
      <x:c r="F1458" s="73" t="str">
        <x:v>RUAL_2026H1.pdf; RUSAL_1H2025_press_release.pdf</x:v>
      </x:c>
      <x:c r="G1458" s="73" t="str">
        <x:v>PDF стр. 24; пресс-релиз PDF стр. 6</x:v>
      </x:c>
      <x:c r="H1458" s="73" t="str">
        <x:v>Компонент раскрытой методики; средний курс ЦБ РФ</x:v>
      </x:c>
      <x:c r="I1458"/>
      <x:c r="J1458"/>
      <x:c r="K1458"/>
    </x:row>
    <x:row r="1459">
      <x:c r="A1459" t="str">
        <x:v>RUAL</x:v>
      </x:c>
      <x:c r="B1459" t="str">
        <x:v>1П2025</x:v>
      </x:c>
      <x:c r="C1459" s="73" t="str">
        <x:v>Скорректированная EBITDA</x:v>
      </x:c>
      <x:c r="D1459" s="73" t="str">
        <x:v>ИТОГО — расчет</x:v>
      </x:c>
      <x:c r="E1459" s="84" t="n">
        <x:f>SUM(E1455:E1458)</x:f>
        <x:v>65101.85352486188</x:v>
      </x:c>
      <x:c r="F1459" s="73" t="str">
        <x:v>RUAL_2026H1.pdf; RUSAL_1H2025_press_release.pdf</x:v>
      </x:c>
      <x:c r="G1459" s="73" t="str">
        <x:v>PDF стр. 6, 24; пресс-релиз PDF стр. 2, 6</x:v>
      </x:c>
      <x:c r="H1459" s="73" t="str">
        <x:v>Опубликовано 748 млн долл.; показатель скорректированный</x:v>
      </x:c>
      <x:c r="I1459" t="n">
        <x:v>65101.85352486188</x:v>
      </x:c>
      <x:c r="J1459" s="85" t="n">
        <x:f>ROUND(E1459-I1459,6)</x:f>
        <x:v>0</x:v>
      </x:c>
      <x:c r="K1459"/>
    </x:row>
    <x:row r="1461">
      <x:c r="A1461" t="str">
        <x:v>RUAL</x:v>
      </x:c>
      <x:c r="B1461" t="str">
        <x:v>1П2026</x:v>
      </x:c>
      <x:c r="C1461" s="73" t="str">
        <x:v>Скорректированная EBITDA</x:v>
      </x:c>
      <x:c r="D1461" s="73" t="str">
        <x:v>Результат операционной деятельности: 784 млн долл. × 76,39120994475138</x:v>
      </x:c>
      <x:c r="E1461" s="84" t="n">
        <x:f>784*76.39120994475138</x:f>
        <x:v>59890.70859668509</x:v>
      </x:c>
      <x:c r="F1461" s="73" t="str">
        <x:v>RUAL_2026H1.pdf</x:v>
      </x:c>
      <x:c r="G1461" s="73" t="str">
        <x:v>PDF стр. 24</x:v>
      </x:c>
      <x:c r="H1461" s="73" t="str">
        <x:v>Компонент раскрытой методики; средний курс ЦБ РФ</x:v>
      </x:c>
      <x:c r="I1461"/>
      <x:c r="J1461"/>
      <x:c r="K1461"/>
    </x:row>
    <x:row r="1462">
      <x:c r="A1462" t="str">
        <x:v>RUAL</x:v>
      </x:c>
      <x:c r="B1462" t="str">
        <x:v>1П2026</x:v>
      </x:c>
      <x:c r="C1462" s="73" t="str">
        <x:v>Скорректированная EBITDA</x:v>
      </x:c>
      <x:c r="D1462" s="73" t="str">
        <x:v>Амортизация: 367 млн долл. × 76,39120994475138</x:v>
      </x:c>
      <x:c r="E1462" s="84" t="n">
        <x:f>367*76.39120994475138</x:f>
        <x:v>28035.574049723757</x:v>
      </x:c>
      <x:c r="F1462" s="73" t="str">
        <x:v>RUAL_2026H1.pdf</x:v>
      </x:c>
      <x:c r="G1462" s="73" t="str">
        <x:v>PDF стр. 24</x:v>
      </x:c>
      <x:c r="H1462" s="73" t="str">
        <x:v>Компонент раскрытой методики; средний курс ЦБ РФ</x:v>
      </x:c>
      <x:c r="I1462"/>
      <x:c r="J1462"/>
      <x:c r="K1462"/>
    </x:row>
    <x:row r="1463">
      <x:c r="A1463" t="str">
        <x:v>RUAL</x:v>
      </x:c>
      <x:c r="B1463" t="str">
        <x:v>1П2026</x:v>
      </x:c>
      <x:c r="C1463" s="73" t="str">
        <x:v>Скорректированная EBITDA</x:v>
      </x:c>
      <x:c r="D1463" s="73" t="str">
        <x:v>Обесценение внеоборотных активов: 76 млн долл. × 76,39120994475138</x:v>
      </x:c>
      <x:c r="E1463" s="84" t="n">
        <x:f>76*76.39120994475138</x:f>
        <x:v>5805.731955801105</x:v>
      </x:c>
      <x:c r="F1463" s="73" t="str">
        <x:v>RUAL_2026H1.pdf</x:v>
      </x:c>
      <x:c r="G1463" s="73" t="str">
        <x:v>PDF стр. 24</x:v>
      </x:c>
      <x:c r="H1463" s="73" t="str">
        <x:v>Компонент раскрытой методики; средний курс ЦБ РФ</x:v>
      </x:c>
      <x:c r="I1463"/>
      <x:c r="J1463"/>
      <x:c r="K1463"/>
    </x:row>
    <x:row r="1464">
      <x:c r="A1464" t="str">
        <x:v>RUAL</x:v>
      </x:c>
      <x:c r="B1464" t="str">
        <x:v>1П2026</x:v>
      </x:c>
      <x:c r="C1464" s="73" t="str">
        <x:v>Скорректированная EBITDA</x:v>
      </x:c>
      <x:c r="D1464" s="73" t="str">
        <x:v>Убыток от выбытия основных средств: 3 млн долл. × 76,39120994475138</x:v>
      </x:c>
      <x:c r="E1464" s="84" t="n">
        <x:f>3*76.39120994475138</x:f>
        <x:v>229.17362983425414</x:v>
      </x:c>
      <x:c r="F1464" s="73" t="str">
        <x:v>RUAL_2026H1.pdf</x:v>
      </x:c>
      <x:c r="G1464" s="73" t="str">
        <x:v>PDF стр. 24</x:v>
      </x:c>
      <x:c r="H1464" s="73" t="str">
        <x:v>Компонент раскрытой методики; средний курс ЦБ РФ</x:v>
      </x:c>
      <x:c r="I1464"/>
      <x:c r="J1464"/>
      <x:c r="K1464"/>
    </x:row>
    <x:row r="1465">
      <x:c r="A1465" t="str">
        <x:v>RUAL</x:v>
      </x:c>
      <x:c r="B1465" t="str">
        <x:v>1П2026</x:v>
      </x:c>
      <x:c r="C1465" s="73" t="str">
        <x:v>Скорректированная EBITDA</x:v>
      </x:c>
      <x:c r="D1465" s="73" t="str">
        <x:v>ИТОГО — расчет</x:v>
      </x:c>
      <x:c r="E1465" s="84" t="n">
        <x:f>SUM(E1461:E1464)</x:f>
        <x:v>93961.18823204421</x:v>
      </x:c>
      <x:c r="F1465" s="73" t="str">
        <x:v>RUAL_2026H1.pdf</x:v>
      </x:c>
      <x:c r="G1465" s="73" t="str">
        <x:v>PDF стр. 6, 24</x:v>
      </x:c>
      <x:c r="H1465" s="73" t="str">
        <x:v>Опубликовано 1 230 млн долл.; показатель скорректированный</x:v>
      </x:c>
      <x:c r="I1465" t="n">
        <x:v>93961.1882320442</x:v>
      </x:c>
      <x:c r="J1465" s="85" t="n">
        <x:f>ROUND(E1465-I1465,6)</x:f>
        <x:v>0</x:v>
      </x:c>
      <x:c r="K1465"/>
    </x:row>
    <x:row r="1467">
      <x:c r="A1467" t="str">
        <x:v>NLMK</x:v>
      </x:c>
      <x:c r="B1467" t="str">
        <x:v>2025</x:v>
      </x:c>
      <x:c r="C1467" s="73" t="str">
        <x:v>Скорректированная EBITDA</x:v>
      </x:c>
      <x:c r="D1467" s="73" t="str">
        <x:v>Операционная прибыль до доли в результатах СП, обесценения внеоборотных активов и убытка от выбытия ОС</x:v>
      </x:c>
      <x:c r="E1467" s="84" t="n">
        <x:v>75389</x:v>
      </x:c>
      <x:c r="F1467" s="73" t="str">
        <x:v>НЛМК_МСФО_2025.pdf; НЛМК_Отчет_эмитента_2025.pdf</x:v>
      </x:c>
      <x:c r="G1467" s="73" t="str">
        <x:v>МСФО PDF стр. 8; отчет эмитента PDF стр. 8</x:v>
      </x:c>
      <x:c r="H1467" s="73" t="str">
        <x:v>Компонент раскрытой компанией методики</x:v>
      </x:c>
      <x:c r="I1467"/>
      <x:c r="J1467"/>
      <x:c r="K1467"/>
    </x:row>
    <x:row r="1468">
      <x:c r="A1468" t="str">
        <x:v>NLMK</x:v>
      </x:c>
      <x:c r="B1468" t="str">
        <x:v>2025</x:v>
      </x:c>
      <x:c r="C1468" s="73" t="str">
        <x:v>Скорректированная EBITDA</x:v>
      </x:c>
      <x:c r="D1468" s="73" t="str">
        <x:v>Амортизация</x:v>
      </x:c>
      <x:c r="E1468" s="84" t="n">
        <x:v>65111</x:v>
      </x:c>
      <x:c r="F1468" s="73" t="str">
        <x:v>НЛМК_МСФО_2025.pdf; НЛМК_Отчет_эмитента_2025.pdf</x:v>
      </x:c>
      <x:c r="G1468" s="73" t="str">
        <x:v>МСФО PDF стр. 11; отчет эмитента PDF стр. 8</x:v>
      </x:c>
      <x:c r="H1468" s="73" t="str">
        <x:v>Компонент раскрытой компанией методики</x:v>
      </x:c>
      <x:c r="I1468"/>
      <x:c r="J1468"/>
      <x:c r="K1468"/>
    </x:row>
    <x:row r="1469">
      <x:c r="A1469" t="str">
        <x:v>NLMK</x:v>
      </x:c>
      <x:c r="B1469" t="str">
        <x:v>2025</x:v>
      </x:c>
      <x:c r="C1469" s="73" t="str">
        <x:v>Скорректированная EBITDA</x:v>
      </x:c>
      <x:c r="D1469" s="73" t="str">
        <x:v>ИТОГО — расчет</x:v>
      </x:c>
      <x:c r="E1469" s="84" t="n">
        <x:f>SUM(E1467:E1468)</x:f>
        <x:v>140500</x:v>
      </x:c>
      <x:c r="F1469" s="73" t="str">
        <x:v>НЛМК_МСФО_2025.pdf; НЛМК_Отчет_эмитента_2025.pdf</x:v>
      </x:c>
      <x:c r="G1469" s="73" t="str">
        <x:v>МСФО PDF стр. 8, 11; отчет эмитента PDF стр. 8</x:v>
      </x:c>
      <x:c r="H1469" s="73" t="str">
        <x:v>Опубликовано 140 500 млн руб.; мост совпадает точно</x:v>
      </x:c>
      <x:c r="I1469" t="n">
        <x:v>140500</x:v>
      </x:c>
      <x:c r="J1469" s="85" t="n">
        <x:f>ROUND(E1469-I1469,6)</x:f>
        <x:v>0</x:v>
      </x:c>
      <x:c r="K1469"/>
    </x:row>
    <x:row r="1471">
      <x:c r="A1471" t="str">
        <x:v>NLMK</x:v>
      </x:c>
      <x:c r="B1471" t="str">
        <x:v>2025</x:v>
      </x:c>
      <x:c r="C1471" s="73" t="str">
        <x:v>Чистый долг компании</x:v>
      </x:c>
      <x:c r="D1471" s="73" t="str">
        <x:v>Краткосрочные кредиты и займы</x:v>
      </x:c>
      <x:c r="E1471" s="84" t="n">
        <x:v>57497</x:v>
      </x:c>
      <x:c r="F1471" s="73" t="str">
        <x:v>НЛМК_МСФО_2025.pdf</x:v>
      </x:c>
      <x:c r="G1471" s="73" t="str">
        <x:v>PDF стр. 7, 25</x:v>
      </x:c>
      <x:c r="H1471" s="73" t="str">
        <x:v>Включая текущую часть обязательств по аренде</x:v>
      </x:c>
      <x:c r="I1471"/>
      <x:c r="J1471"/>
      <x:c r="K1471"/>
    </x:row>
    <x:row r="1472">
      <x:c r="A1472" t="str">
        <x:v>NLMK</x:v>
      </x:c>
      <x:c r="B1472" t="str">
        <x:v>2025</x:v>
      </x:c>
      <x:c r="C1472" s="73" t="str">
        <x:v>Чистый долг компании</x:v>
      </x:c>
      <x:c r="D1472" s="73" t="str">
        <x:v>Долгосрочные кредиты и займы</x:v>
      </x:c>
      <x:c r="E1472" s="84" t="n">
        <x:v>12094</x:v>
      </x:c>
      <x:c r="F1472" s="73" t="str">
        <x:v>НЛМК_МСФО_2025.pdf</x:v>
      </x:c>
      <x:c r="G1472" s="73" t="str">
        <x:v>PDF стр. 7, 25</x:v>
      </x:c>
      <x:c r="H1472" s="73" t="str">
        <x:v>Включая долгосрочную часть обязательств по аренде</x:v>
      </x:c>
      <x:c r="I1472"/>
      <x:c r="J1472"/>
      <x:c r="K1472"/>
    </x:row>
    <x:row r="1473">
      <x:c r="A1473" t="str">
        <x:v>NLMK</x:v>
      </x:c>
      <x:c r="B1473" t="str">
        <x:v>2025</x:v>
      </x:c>
      <x:c r="C1473" s="73" t="str">
        <x:v>Чистый долг компании</x:v>
      </x:c>
      <x:c r="D1473" s="73" t="str">
        <x:v>Денежные средства и их эквиваленты</x:v>
      </x:c>
      <x:c r="E1473" s="84" t="n">
        <x:v>-115018</x:v>
      </x:c>
      <x:c r="F1473" s="73" t="str">
        <x:v>НЛМК_МСФО_2025.pdf</x:v>
      </x:c>
      <x:c r="G1473" s="73" t="str">
        <x:v>PDF стр. 7</x:v>
      </x:c>
      <x:c r="H1473" s="73" t="str">
        <x:v>Вычитается по определению компании</x:v>
      </x:c>
      <x:c r="I1473"/>
      <x:c r="J1473"/>
      <x:c r="K1473"/>
    </x:row>
    <x:row r="1474">
      <x:c r="A1474" t="str">
        <x:v>NLMK</x:v>
      </x:c>
      <x:c r="B1474" t="str">
        <x:v>2025</x:v>
      </x:c>
      <x:c r="C1474" s="73" t="str">
        <x:v>Чистый долг компании</x:v>
      </x:c>
      <x:c r="D1474" s="73" t="str">
        <x:v>Краткосрочные банковские депозиты</x:v>
      </x:c>
      <x:c r="E1474" s="84" t="n">
        <x:v>-237</x:v>
      </x:c>
      <x:c r="F1474" s="73" t="str">
        <x:v>НЛМК_МСФО_2025.pdf</x:v>
      </x:c>
      <x:c r="G1474" s="73" t="str">
        <x:v>PDF стр. 14</x:v>
      </x:c>
      <x:c r="H1474" s="73" t="str">
        <x:v>Вычитается по определению компании</x:v>
      </x:c>
      <x:c r="I1474"/>
      <x:c r="J1474"/>
      <x:c r="K1474"/>
    </x:row>
    <x:row r="1475">
      <x:c r="A1475" t="str">
        <x:v>NLMK</x:v>
      </x:c>
      <x:c r="B1475" t="str">
        <x:v>2025</x:v>
      </x:c>
      <x:c r="C1475" s="73" t="str">
        <x:v>Чистый долг компании</x:v>
      </x:c>
      <x:c r="D1475" s="73" t="str">
        <x:v>ИТОГО: кредиты и займы − деньги − краткосрочные депозиты</x:v>
      </x:c>
      <x:c r="E1475" s="84" t="n">
        <x:f>SUM(E1471:E1474)</x:f>
        <x:v>-45664</x:v>
      </x:c>
      <x:c r="F1475" s="73" t="str">
        <x:v>НЛМК_МСФО_2025.pdf; НЛМК_Отчет_эмитента_2025.pdf</x:v>
      </x:c>
      <x:c r="G1475" s="73" t="str">
        <x:v>МСФО PDF стр. 25; отчет эмитента PDF стр. 8</x:v>
      </x:c>
      <x:c r="H1475" s="73" t="str">
        <x:v>Опубликованный чистый долг −45 664 млн руб.; мост совпадает точно</x:v>
      </x:c>
      <x:c r="I1475" t="n">
        <x:v>-45664</x:v>
      </x:c>
      <x:c r="J1475" s="85" t="n">
        <x:f>ROUND(E1475-I1475,6)</x:f>
        <x:v>0</x:v>
      </x:c>
      <x:c r="K1475"/>
    </x:row>
    <x:row r="1476">
      <x:c r="A1476" t="str">
        <x:v>NLMK</x:v>
      </x:c>
      <x:c r="B1476" t="str">
        <x:v>2025</x:v>
      </x:c>
      <x:c r="C1476" s="73" t="str">
        <x:v>Капитал</x:v>
      </x:c>
      <x:c r="D1476" s="73" t="str">
        <x:v>Неконтролирующая доля</x:v>
      </x:c>
      <x:c r="E1476" s="84" t="n">
        <x:v>182</x:v>
      </x:c>
      <x:c r="F1476" s="73" t="str">
        <x:v>НЛМК_МСФО_2025.pdf</x:v>
      </x:c>
      <x:c r="G1476" s="73" t="str">
        <x:v>PDF стр. 7</x:v>
      </x:c>
      <x:c r="H1476" s="73" t="str">
        <x:v>Общий капитал 884 433; капитал акционеров 884 251</x:v>
      </x:c>
      <x:c r="I1476"/>
      <x:c r="J1476"/>
      <x:c r="K1476"/>
    </x:row>
    <x:row r="1478">
      <x:c r="A1478" t="str">
        <x:v>NLMK</x:v>
      </x:c>
      <x:c r="B1478" t="str">
        <x:v>1П2025</x:v>
      </x:c>
      <x:c r="C1478" s="73" t="str">
        <x:v>Скорректированная EBITDA</x:v>
      </x:c>
      <x:c r="D1478" s="73" t="str">
        <x:v>Операционная прибыль до доли в результатах СП, обесценения внеоборотных активов и убытка от выбытия ОС</x:v>
      </x:c>
      <x:c r="E1478" s="84" t="n">
        <x:v>54765</x:v>
      </x:c>
      <x:c r="F1478" s="73" t="str">
        <x:v>NLMK_2025H1_official.pdf</x:v>
      </x:c>
      <x:c r="G1478" s="73" t="str">
        <x:v>PDF стр. 6</x:v>
      </x:c>
      <x:c r="H1478" s="73" t="str">
        <x:v>Компонент раскрытой методики; сравнительные данные подтверждены отчетностью 1П2026</x:v>
      </x:c>
      <x:c r="I1478"/>
      <x:c r="J1478"/>
      <x:c r="K1478"/>
    </x:row>
    <x:row r="1479">
      <x:c r="A1479" t="str">
        <x:v>NLMK</x:v>
      </x:c>
      <x:c r="B1479" t="str">
        <x:v>1П2025</x:v>
      </x:c>
      <x:c r="C1479" s="73" t="str">
        <x:v>Скорректированная EBITDA</x:v>
      </x:c>
      <x:c r="D1479" s="73" t="str">
        <x:v>Амортизация</x:v>
      </x:c>
      <x:c r="E1479" s="84" t="n">
        <x:v>29471</x:v>
      </x:c>
      <x:c r="F1479" s="73" t="str">
        <x:v>NLMK_2025H1_official.pdf</x:v>
      </x:c>
      <x:c r="G1479" s="73" t="str">
        <x:v>PDF стр. 9</x:v>
      </x:c>
      <x:c r="H1479" s="73" t="str">
        <x:v>Компонент раскрытой методики; сравнительные данные подтверждены отчетностью 1П2026</x:v>
      </x:c>
      <x:c r="I1479"/>
      <x:c r="J1479"/>
      <x:c r="K1479"/>
    </x:row>
    <x:row r="1480">
      <x:c r="A1480" t="str">
        <x:v>NLMK</x:v>
      </x:c>
      <x:c r="B1480" t="str">
        <x:v>1П2025</x:v>
      </x:c>
      <x:c r="C1480" s="73" t="str">
        <x:v>Скорректированная EBITDA</x:v>
      </x:c>
      <x:c r="D1480" s="73" t="str">
        <x:v>ИТОГО — расчет</x:v>
      </x:c>
      <x:c r="E1480" s="84" t="n">
        <x:f>SUM(E1478:E1479)</x:f>
        <x:v>84236</x:v>
      </x:c>
      <x:c r="F1480" s="73" t="str">
        <x:v>NLMK_2025H1_official.pdf</x:v>
      </x:c>
      <x:c r="G1480" s="73" t="str">
        <x:v>PDF стр. 6, 9</x:v>
      </x:c>
      <x:c r="H1480" s="73" t="str">
        <x:v>Аналитический итог 84 236 млн руб. по раскрытой годовой методике; опубликованный итог не найден</x:v>
      </x:c>
      <x:c r="I1480" t="n">
        <x:v>84236</x:v>
      </x:c>
      <x:c r="J1480" s="85" t="n">
        <x:f>ROUND(E1480-I1480,6)</x:f>
        <x:v>0</x:v>
      </x:c>
      <x:c r="K1480"/>
    </x:row>
    <x:row r="1482">
      <x:c r="A1482" t="str">
        <x:v>NLMK</x:v>
      </x:c>
      <x:c r="B1482" t="str">
        <x:v>1П2025</x:v>
      </x:c>
      <x:c r="C1482" s="73" t="str">
        <x:v>Чистый долг компании</x:v>
      </x:c>
      <x:c r="D1482" s="73" t="str">
        <x:v>Краткосрочные кредиты и займы</x:v>
      </x:c>
      <x:c r="E1482" s="84" t="n">
        <x:v>56949</x:v>
      </x:c>
      <x:c r="F1482" s="73" t="str">
        <x:v>NLMK_2025H1_official.pdf</x:v>
      </x:c>
      <x:c r="G1482" s="73" t="str">
        <x:v>PDF стр. 5, 13</x:v>
      </x:c>
      <x:c r="H1482" s="73" t="str">
        <x:v>Включая текущую часть обязательств по аренде</x:v>
      </x:c>
      <x:c r="I1482"/>
      <x:c r="J1482"/>
      <x:c r="K1482"/>
    </x:row>
    <x:row r="1483">
      <x:c r="A1483" t="str">
        <x:v>NLMK</x:v>
      </x:c>
      <x:c r="B1483" t="str">
        <x:v>1П2025</x:v>
      </x:c>
      <x:c r="C1483" s="73" t="str">
        <x:v>Чистый долг компании</x:v>
      </x:c>
      <x:c r="D1483" s="73" t="str">
        <x:v>Долгосрочные кредиты и займы</x:v>
      </x:c>
      <x:c r="E1483" s="84" t="n">
        <x:v>9808</x:v>
      </x:c>
      <x:c r="F1483" s="73" t="str">
        <x:v>NLMK_2025H1_official.pdf</x:v>
      </x:c>
      <x:c r="G1483" s="73" t="str">
        <x:v>PDF стр. 5, 13</x:v>
      </x:c>
      <x:c r="H1483" s="73" t="str">
        <x:v>Включая долгосрочную часть обязательств по аренде</x:v>
      </x:c>
      <x:c r="I1483"/>
      <x:c r="J1483"/>
      <x:c r="K1483"/>
    </x:row>
    <x:row r="1484">
      <x:c r="A1484" t="str">
        <x:v>NLMK</x:v>
      </x:c>
      <x:c r="B1484" t="str">
        <x:v>1П2025</x:v>
      </x:c>
      <x:c r="C1484" s="73" t="str">
        <x:v>Чистый долг компании</x:v>
      </x:c>
      <x:c r="D1484" s="73" t="str">
        <x:v>Денежные средства и их эквиваленты</x:v>
      </x:c>
      <x:c r="E1484" s="84" t="n">
        <x:v>-79822</x:v>
      </x:c>
      <x:c r="F1484" s="73" t="str">
        <x:v>NLMK_2025H1_official.pdf</x:v>
      </x:c>
      <x:c r="G1484" s="73" t="str">
        <x:v>PDF стр. 5</x:v>
      </x:c>
      <x:c r="H1484" s="73" t="str">
        <x:v>Вычитается по определению компании</x:v>
      </x:c>
      <x:c r="I1484"/>
      <x:c r="J1484"/>
      <x:c r="K1484"/>
    </x:row>
    <x:row r="1485">
      <x:c r="A1485" t="str">
        <x:v>NLMK</x:v>
      </x:c>
      <x:c r="B1485" t="str">
        <x:v>1П2025</x:v>
      </x:c>
      <x:c r="C1485" s="73" t="str">
        <x:v>Чистый долг компании</x:v>
      </x:c>
      <x:c r="D1485" s="73" t="str">
        <x:v>Краткосрочные банковские депозиты</x:v>
      </x:c>
      <x:c r="E1485" s="84" t="n">
        <x:v>-37</x:v>
      </x:c>
      <x:c r="F1485" s="73" t="str">
        <x:v>NLMK_2025H1_official.pdf</x:v>
      </x:c>
      <x:c r="G1485" s="73" t="str">
        <x:v>PDF стр. 11</x:v>
      </x:c>
      <x:c r="H1485" s="73" t="str">
        <x:v>Вычитается по определению компании</x:v>
      </x:c>
      <x:c r="I1485"/>
      <x:c r="J1485"/>
      <x:c r="K1485"/>
    </x:row>
    <x:row r="1486">
      <x:c r="A1486" t="str">
        <x:v>NLMK</x:v>
      </x:c>
      <x:c r="B1486" t="str">
        <x:v>1П2025</x:v>
      </x:c>
      <x:c r="C1486" s="73" t="str">
        <x:v>Чистый долг компании</x:v>
      </x:c>
      <x:c r="D1486" s="73" t="str">
        <x:v>ИТОГО: кредиты и займы − деньги − краткосрочные депозиты</x:v>
      </x:c>
      <x:c r="E1486" s="84" t="n">
        <x:f>SUM(E1482:E1485)</x:f>
        <x:v>-13102</x:v>
      </x:c>
      <x:c r="F1486" s="73" t="str">
        <x:v>NLMK_2025H1_official.pdf</x:v>
      </x:c>
      <x:c r="G1486" s="73" t="str">
        <x:v>PDF стр. 5, 11, 13</x:v>
      </x:c>
      <x:c r="H1486" s="73" t="str">
        <x:v>Аналитический чистый долг −13 102 млн руб. по раскрытой методике</x:v>
      </x:c>
      <x:c r="I1486" t="n">
        <x:v>-13102</x:v>
      </x:c>
      <x:c r="J1486" s="85" t="n">
        <x:f>ROUND(E1486-I1486,6)</x:f>
        <x:v>0</x:v>
      </x:c>
      <x:c r="K1486"/>
    </x:row>
    <x:row r="1487">
      <x:c r="A1487" t="str">
        <x:v>NLMK</x:v>
      </x:c>
      <x:c r="B1487" t="str">
        <x:v>1П2025</x:v>
      </x:c>
      <x:c r="C1487" s="73" t="str">
        <x:v>Капитал</x:v>
      </x:c>
      <x:c r="D1487" s="73" t="str">
        <x:v>Неконтролирующая доля</x:v>
      </x:c>
      <x:c r="E1487" s="84" t="n">
        <x:v>325</x:v>
      </x:c>
      <x:c r="F1487" s="73" t="str">
        <x:v>NLMK_2025H1_official.pdf</x:v>
      </x:c>
      <x:c r="G1487" s="73" t="str">
        <x:v>PDF стр. 5</x:v>
      </x:c>
      <x:c r="H1487" s="73" t="str">
        <x:v>Общий капитал 865 738; капитал акционеров 865 413</x:v>
      </x:c>
      <x:c r="I1487"/>
      <x:c r="J1487"/>
      <x:c r="K1487"/>
    </x:row>
    <x:row r="1489">
      <x:c r="A1489" t="str">
        <x:v>NLMK</x:v>
      </x:c>
      <x:c r="B1489" t="str">
        <x:v>1П2026</x:v>
      </x:c>
      <x:c r="C1489" s="73" t="str">
        <x:v>Скорректированная EBITDA</x:v>
      </x:c>
      <x:c r="D1489" s="73" t="str">
        <x:v>Операционная прибыль до доли в результатах СП, обесценения внеоборотных активов и убытка от выбытия ОС</x:v>
      </x:c>
      <x:c r="E1489" s="84" t="n">
        <x:v>25963</x:v>
      </x:c>
      <x:c r="F1489" s="73" t="str">
        <x:v>NLMK_2026H1.pdf</x:v>
      </x:c>
      <x:c r="G1489" s="73" t="str">
        <x:v>PDF стр. 6</x:v>
      </x:c>
      <x:c r="H1489" s="73" t="str">
        <x:v>Компонент раскрытой методики</x:v>
      </x:c>
      <x:c r="I1489"/>
      <x:c r="J1489"/>
      <x:c r="K1489"/>
    </x:row>
    <x:row r="1490">
      <x:c r="A1490" t="str">
        <x:v>NLMK</x:v>
      </x:c>
      <x:c r="B1490" t="str">
        <x:v>1П2026</x:v>
      </x:c>
      <x:c r="C1490" s="73" t="str">
        <x:v>Скорректированная EBITDA</x:v>
      </x:c>
      <x:c r="D1490" s="73" t="str">
        <x:v>Амортизация</x:v>
      </x:c>
      <x:c r="E1490" s="84" t="n">
        <x:v>31286</x:v>
      </x:c>
      <x:c r="F1490" s="73" t="str">
        <x:v>NLMK_2026H1.pdf</x:v>
      </x:c>
      <x:c r="G1490" s="73" t="str">
        <x:v>PDF стр. 9</x:v>
      </x:c>
      <x:c r="H1490" s="73" t="str">
        <x:v>Компонент раскрытой методики</x:v>
      </x:c>
      <x:c r="I1490"/>
      <x:c r="J1490"/>
      <x:c r="K1490"/>
    </x:row>
    <x:row r="1491">
      <x:c r="A1491" t="str">
        <x:v>NLMK</x:v>
      </x:c>
      <x:c r="B1491" t="str">
        <x:v>1П2026</x:v>
      </x:c>
      <x:c r="C1491" s="73" t="str">
        <x:v>Скорректированная EBITDA</x:v>
      </x:c>
      <x:c r="D1491" s="73" t="str">
        <x:v>ИТОГО — расчет</x:v>
      </x:c>
      <x:c r="E1491" s="84" t="n">
        <x:f>SUM(E1489:E1490)</x:f>
        <x:v>57249</x:v>
      </x:c>
      <x:c r="F1491" s="73" t="str">
        <x:v>NLMK_2026H1.pdf</x:v>
      </x:c>
      <x:c r="G1491" s="73" t="str">
        <x:v>PDF стр. 6, 9</x:v>
      </x:c>
      <x:c r="H1491" s="73" t="str">
        <x:v>Аналитический итог 57 249 млн руб. по раскрытой годовой методике; опубликованный итог не найден</x:v>
      </x:c>
      <x:c r="I1491" t="n">
        <x:v>57249</x:v>
      </x:c>
      <x:c r="J1491" s="85" t="n">
        <x:f>ROUND(E1491-I1491,6)</x:f>
        <x:v>0</x:v>
      </x:c>
      <x:c r="K1491"/>
    </x:row>
    <x:row r="1493">
      <x:c r="A1493" t="str">
        <x:v>NLMK</x:v>
      </x:c>
      <x:c r="B1493" t="str">
        <x:v>1П2026</x:v>
      </x:c>
      <x:c r="C1493" s="73" t="str">
        <x:v>Чистый долг компании</x:v>
      </x:c>
      <x:c r="D1493" s="73" t="str">
        <x:v>Краткосрочные кредиты и займы</x:v>
      </x:c>
      <x:c r="E1493" s="84" t="n">
        <x:v>17691</x:v>
      </x:c>
      <x:c r="F1493" s="73" t="str">
        <x:v>NLMK_2026H1.pdf</x:v>
      </x:c>
      <x:c r="G1493" s="73" t="str">
        <x:v>PDF стр. 5, 13</x:v>
      </x:c>
      <x:c r="H1493" s="73" t="str">
        <x:v>Включая текущую часть обязательств по аренде</x:v>
      </x:c>
      <x:c r="I1493"/>
      <x:c r="J1493"/>
      <x:c r="K1493"/>
    </x:row>
    <x:row r="1494">
      <x:c r="A1494" t="str">
        <x:v>NLMK</x:v>
      </x:c>
      <x:c r="B1494" t="str">
        <x:v>1П2026</x:v>
      </x:c>
      <x:c r="C1494" s="73" t="str">
        <x:v>Чистый долг компании</x:v>
      </x:c>
      <x:c r="D1494" s="73" t="str">
        <x:v>Долгосрочные кредиты и займы</x:v>
      </x:c>
      <x:c r="E1494" s="84" t="n">
        <x:v>21978</x:v>
      </x:c>
      <x:c r="F1494" s="73" t="str">
        <x:v>NLMK_2026H1.pdf</x:v>
      </x:c>
      <x:c r="G1494" s="73" t="str">
        <x:v>PDF стр. 5, 13</x:v>
      </x:c>
      <x:c r="H1494" s="73" t="str">
        <x:v>Включая долгосрочную часть обязательств по аренде</x:v>
      </x:c>
      <x:c r="I1494"/>
      <x:c r="J1494"/>
      <x:c r="K1494"/>
    </x:row>
    <x:row r="1495">
      <x:c r="A1495" t="str">
        <x:v>NLMK</x:v>
      </x:c>
      <x:c r="B1495" t="str">
        <x:v>1П2026</x:v>
      </x:c>
      <x:c r="C1495" s="73" t="str">
        <x:v>Чистый долг компании</x:v>
      </x:c>
      <x:c r="D1495" s="73" t="str">
        <x:v>Денежные средства и их эквиваленты</x:v>
      </x:c>
      <x:c r="E1495" s="84" t="n">
        <x:v>-76806</x:v>
      </x:c>
      <x:c r="F1495" s="73" t="str">
        <x:v>NLMK_2026H1.pdf</x:v>
      </x:c>
      <x:c r="G1495" s="73" t="str">
        <x:v>PDF стр. 5</x:v>
      </x:c>
      <x:c r="H1495" s="73" t="str">
        <x:v>Вычитается по определению компании</x:v>
      </x:c>
      <x:c r="I1495"/>
      <x:c r="J1495"/>
      <x:c r="K1495"/>
    </x:row>
    <x:row r="1496">
      <x:c r="A1496" t="str">
        <x:v>NLMK</x:v>
      </x:c>
      <x:c r="B1496" t="str">
        <x:v>1П2026</x:v>
      </x:c>
      <x:c r="C1496" s="73" t="str">
        <x:v>Чистый долг компании</x:v>
      </x:c>
      <x:c r="D1496" s="73" t="str">
        <x:v>Краткосрочные банковские депозиты</x:v>
      </x:c>
      <x:c r="E1496" s="84" t="n">
        <x:v>-3528</x:v>
      </x:c>
      <x:c r="F1496" s="73" t="str">
        <x:v>NLMK_2026H1.pdf</x:v>
      </x:c>
      <x:c r="G1496" s="73" t="str">
        <x:v>PDF стр. 11</x:v>
      </x:c>
      <x:c r="H1496" s="73" t="str">
        <x:v>Вычитается по определению компании</x:v>
      </x:c>
      <x:c r="I1496"/>
      <x:c r="J1496"/>
      <x:c r="K1496"/>
    </x:row>
    <x:row r="1497">
      <x:c r="A1497" t="str">
        <x:v>NLMK</x:v>
      </x:c>
      <x:c r="B1497" t="str">
        <x:v>1П2026</x:v>
      </x:c>
      <x:c r="C1497" s="73" t="str">
        <x:v>Чистый долг компании</x:v>
      </x:c>
      <x:c r="D1497" s="73" t="str">
        <x:v>ИТОГО: кредиты и займы − деньги − краткосрочные депозиты</x:v>
      </x:c>
      <x:c r="E1497" s="84" t="n">
        <x:f>SUM(E1493:E1496)</x:f>
        <x:v>-40665</x:v>
      </x:c>
      <x:c r="F1497" s="73" t="str">
        <x:v>NLMK_2026H1.pdf</x:v>
      </x:c>
      <x:c r="G1497" s="73" t="str">
        <x:v>PDF стр. 5, 11, 13</x:v>
      </x:c>
      <x:c r="H1497" s="73" t="str">
        <x:v>Аналитический чистый долг −40 665 млн руб. по раскрытой методике</x:v>
      </x:c>
      <x:c r="I1497" t="n">
        <x:v>-40665</x:v>
      </x:c>
      <x:c r="J1497" s="85" t="n">
        <x:f>ROUND(E1497-I1497,6)</x:f>
        <x:v>0</x:v>
      </x:c>
      <x:c r="K1497"/>
    </x:row>
    <x:row r="1498">
      <x:c r="A1498" t="str">
        <x:v>NLMK</x:v>
      </x:c>
      <x:c r="B1498" t="str">
        <x:v>1П2026</x:v>
      </x:c>
      <x:c r="C1498" s="73" t="str">
        <x:v>Капитал</x:v>
      </x:c>
      <x:c r="D1498" s="73" t="str">
        <x:v>Неконтролирующая доля</x:v>
      </x:c>
      <x:c r="E1498" s="84" t="n">
        <x:v>111</x:v>
      </x:c>
      <x:c r="F1498" s="73" t="str">
        <x:v>NLMK_2026H1.pdf</x:v>
      </x:c>
      <x:c r="G1498" s="73" t="str">
        <x:v>PDF стр. 5</x:v>
      </x:c>
      <x:c r="H1498" s="73" t="str">
        <x:v>Общий капитал 905 761; капитал акционеров 905 650</x:v>
      </x:c>
      <x:c r="I1498"/>
      <x:c r="J1498"/>
      <x:c r="K1498"/>
    </x:row>
    <x:row r="1500">
      <x:c r="A1500" t="str">
        <x:v>RTKM</x:v>
      </x:c>
      <x:c r="B1500" t="str">
        <x:v>2025</x:v>
      </x:c>
      <x:c r="C1500" s="73" t="str">
        <x:v>Чистый долг компании</x:v>
      </x:c>
      <x:c r="D1500" s="73" t="str">
        <x:v>Краткосрочные кредиты и займы</x:v>
      </x:c>
      <x:c r="E1500" s="86" t="n">
        <x:v>285417</x:v>
      </x:c>
      <x:c r="F1500" s="73" t="str">
        <x:v>Ростелеком_МСФО_2025.pdf</x:v>
      </x:c>
      <x:c r="G1500" s="73" t="str">
        <x:v>PDF стр. 2</x:v>
      </x:c>
      <x:c r="H1500" s="73" t="str">
        <x:v>Компонент раскрытой методики</x:v>
      </x:c>
      <x:c r="I1500"/>
      <x:c r="J1500"/>
    </x:row>
    <x:row r="1501">
      <x:c r="A1501" t="str">
        <x:v>RTKM</x:v>
      </x:c>
      <x:c r="B1501" t="str">
        <x:v>2025</x:v>
      </x:c>
      <x:c r="C1501" s="73" t="str">
        <x:v>Чистый долг компании</x:v>
      </x:c>
      <x:c r="D1501" s="73" t="str">
        <x:v>Долгосрочные кредиты и займы</x:v>
      </x:c>
      <x:c r="E1501" s="86" t="n">
        <x:v>286826</x:v>
      </x:c>
      <x:c r="F1501" s="73" t="str">
        <x:v>Ростелеком_МСФО_2025.pdf</x:v>
      </x:c>
      <x:c r="G1501" s="73" t="str">
        <x:v>PDF стр. 2</x:v>
      </x:c>
      <x:c r="H1501" s="73" t="str">
        <x:v>Компонент раскрытой методики</x:v>
      </x:c>
      <x:c r="I1501"/>
      <x:c r="J1501"/>
    </x:row>
    <x:row r="1502">
      <x:c r="A1502" t="str">
        <x:v>RTKM</x:v>
      </x:c>
      <x:c r="B1502" t="str">
        <x:v>2025</x:v>
      </x:c>
      <x:c r="C1502" s="73" t="str">
        <x:v>Чистый долг компании</x:v>
      </x:c>
      <x:c r="D1502" s="73" t="str">
        <x:v>Краткосрочные обязательства по аренде</x:v>
      </x:c>
      <x:c r="E1502" s="86" t="n">
        <x:v>25984</x:v>
      </x:c>
      <x:c r="F1502" s="73" t="str">
        <x:v>Ростелеком_МСФО_2025.pdf</x:v>
      </x:c>
      <x:c r="G1502" s="73" t="str">
        <x:v>PDF стр. 2</x:v>
      </x:c>
      <x:c r="H1502" s="73" t="str">
        <x:v>Включаются по методике эмитента</x:v>
      </x:c>
      <x:c r="I1502"/>
      <x:c r="J1502"/>
    </x:row>
    <x:row r="1503">
      <x:c r="A1503" t="str">
        <x:v>RTKM</x:v>
      </x:c>
      <x:c r="B1503" t="str">
        <x:v>2025</x:v>
      </x:c>
      <x:c r="C1503" s="73" t="str">
        <x:v>Чистый долг компании</x:v>
      </x:c>
      <x:c r="D1503" s="73" t="str">
        <x:v>Долгосрочные обязательства по аренде</x:v>
      </x:c>
      <x:c r="E1503" s="86" t="n">
        <x:v>141647</x:v>
      </x:c>
      <x:c r="F1503" s="73" t="str">
        <x:v>Ростелеком_МСФО_2025.pdf</x:v>
      </x:c>
      <x:c r="G1503" s="73" t="str">
        <x:v>PDF стр. 2</x:v>
      </x:c>
      <x:c r="H1503" s="73" t="str">
        <x:v>Включаются по методике эмитента</x:v>
      </x:c>
      <x:c r="I1503"/>
      <x:c r="J1503"/>
    </x:row>
    <x:row r="1504">
      <x:c r="A1504" t="str">
        <x:v>RTKM</x:v>
      </x:c>
      <x:c r="B1504" t="str">
        <x:v>2025</x:v>
      </x:c>
      <x:c r="C1504" s="73" t="str">
        <x:v>Чистый долг компании</x:v>
      </x:c>
      <x:c r="D1504" s="73" t="str">
        <x:v>Денежные средства и их эквиваленты</x:v>
      </x:c>
      <x:c r="E1504" s="86" t="n">
        <x:v>-26245</x:v>
      </x:c>
      <x:c r="F1504" s="73" t="str">
        <x:v>Ростелеком_МСФО_2025.pdf</x:v>
      </x:c>
      <x:c r="G1504" s="73" t="str">
        <x:v>PDF стр. 2</x:v>
      </x:c>
      <x:c r="H1504" s="73" t="str">
        <x:v>Вычитаются по методике эмитента</x:v>
      </x:c>
      <x:c r="I1504"/>
      <x:c r="J1504"/>
    </x:row>
    <x:row r="1505">
      <x:c r="A1505" t="str">
        <x:v>RTKM</x:v>
      </x:c>
      <x:c r="B1505" t="str">
        <x:v>2025</x:v>
      </x:c>
      <x:c r="C1505" s="73" t="str">
        <x:v>Чистый долг компании</x:v>
      </x:c>
      <x:c r="D1505" s="73" t="str">
        <x:v>Прочие оборотные финансовые активы</x:v>
      </x:c>
      <x:c r="E1505" s="86" t="n">
        <x:v>-23992</x:v>
      </x:c>
      <x:c r="F1505" s="73" t="str">
        <x:v>Ростелеком_МСФО_2025.pdf; Ростелеком_отчет_эмитента_2025.pdf</x:v>
      </x:c>
      <x:c r="G1505" s="73" t="str">
        <x:v>МСФО PDF стр. 2; отчет эмитента PDF стр. 31–32</x:v>
      </x:c>
      <x:c r="H1505" s="73" t="str">
        <x:v>Вычитаются по методике эмитента</x:v>
      </x:c>
      <x:c r="I1505"/>
      <x:c r="J1505"/>
    </x:row>
    <x:row r="1506">
      <x:c r="A1506" t="str">
        <x:v>RTKM</x:v>
      </x:c>
      <x:c r="B1506" t="str">
        <x:v>2025</x:v>
      </x:c>
      <x:c r="C1506" s="73" t="str">
        <x:v>Чистый долг компании</x:v>
      </x:c>
      <x:c r="D1506" s="73" t="str">
        <x:v>ИТОГО — расчет</x:v>
      </x:c>
      <x:c r="E1506" s="87" t="n">
        <x:f>SUM(E1500:E1505)</x:f>
        <x:v>689637</x:v>
      </x:c>
      <x:c r="F1506" s="73" t="str">
        <x:v>Ростелеком_отчет_эмитента_2025.pdf</x:v>
      </x:c>
      <x:c r="G1506" s="73" t="str">
        <x:v>PDF стр. 29, 31–32</x:v>
      </x:c>
      <x:c r="H1506" s="73" t="str">
        <x:v>Опубликованный чистый долг 689 637 млн руб.; мост совпадает точно</x:v>
      </x:c>
      <x:c r="I1506" s="89" t="n">
        <x:v>689637</x:v>
      </x:c>
      <x:c r="J1506" s="88" t="n">
        <x:f>E1506-I1506</x:f>
        <x:v>0</x:v>
      </x:c>
    </x:row>
    <x:row r="1507">
      <x:c r="A1507" t="str">
        <x:v>RTKM</x:v>
      </x:c>
      <x:c r="B1507" t="str">
        <x:v>2025</x:v>
      </x:c>
      <x:c r="C1507" s="73" t="str">
        <x:v>Чистый долг без аренды</x:v>
      </x:c>
      <x:c r="D1507" s="73" t="str">
        <x:v>Обязательства по аренде</x:v>
      </x:c>
      <x:c r="E1507" s="87" t="n">
        <x:f>SUM(E1502:E1503)</x:f>
        <x:v>167631</x:v>
      </x:c>
      <x:c r="F1507" s="73" t="str">
        <x:v>Ростелеком_МСФО_2025.pdf</x:v>
      </x:c>
      <x:c r="G1507" s="73" t="str">
        <x:v>PDF стр. 2</x:v>
      </x:c>
      <x:c r="H1507" s="73" t="str">
        <x:v>Существенная корректировка: 24% чистого долга</x:v>
      </x:c>
      <x:c r="I1507" s="89" t="n">
        <x:v>167631</x:v>
      </x:c>
      <x:c r="J1507" s="88" t="n">
        <x:f>E1507-I1507</x:f>
        <x:v>0</x:v>
      </x:c>
    </x:row>
    <x:row r="1508">
      <x:c r="A1508" t="str">
        <x:v>RTKM</x:v>
      </x:c>
      <x:c r="B1508" t="str">
        <x:v>2025</x:v>
      </x:c>
      <x:c r="C1508" s="73" t="str">
        <x:v>Чистый долг без аренды</x:v>
      </x:c>
      <x:c r="D1508" s="73" t="str">
        <x:v>ИТОГО — аналитический расчет</x:v>
      </x:c>
      <x:c r="E1508" s="87" t="n">
        <x:f>E1506-E1507</x:f>
        <x:v>522006</x:v>
      </x:c>
      <x:c r="F1508" s="73" t="str">
        <x:v>Ростелеком_МСФО_2025.pdf; Ростелеком_отчет_эмитента_2025.pdf</x:v>
      </x:c>
      <x:c r="G1508" s="73" t="str">
        <x:v>МСФО PDF стр. 2; отчет эмитента PDF стр. 31–32</x:v>
      </x:c>
      <x:c r="H1508" s="73" t="str">
        <x:v>Чистый долг компании минус обязательства по аренде</x:v>
      </x:c>
      <x:c r="I1508"/>
      <x:c r="J1508" s="85"/>
    </x:row>
    <x:row r="1509">
      <x:c r="A1509" t="str">
        <x:v>RTKM</x:v>
      </x:c>
      <x:c r="B1509" t="str">
        <x:v>2025</x:v>
      </x:c>
      <x:c r="C1509" s="73" t="str">
        <x:v>Капитал</x:v>
      </x:c>
      <x:c r="D1509" s="73" t="str">
        <x:v>Неконтролирующая доля</x:v>
      </x:c>
      <x:c r="E1509" s="86" t="n">
        <x:v>57770</x:v>
      </x:c>
      <x:c r="F1509" s="73" t="str">
        <x:v>Ростелеком_МСФО_2025.pdf</x:v>
      </x:c>
      <x:c r="G1509" s="73" t="str">
        <x:v>PDF стр. 2</x:v>
      </x:c>
      <x:c r="H1509" s="73" t="str">
        <x:v>Общий капитал 280 199; капитал акционеров 222 429</x:v>
      </x:c>
      <x:c r="I1509"/>
      <x:c r="J1509"/>
    </x:row>
    <x:row r="1511">
      <x:c r="A1511" t="str">
        <x:v>RTKM</x:v>
      </x:c>
      <x:c r="B1511" t="str">
        <x:v>1П2025</x:v>
      </x:c>
      <x:c r="C1511" s="73" t="str">
        <x:v>Чистый долг компании</x:v>
      </x:c>
      <x:c r="D1511" s="73" t="str">
        <x:v>Опубликованный итог</x:v>
      </x:c>
      <x:c r="E1511" s="86" t="n">
        <x:v>708484</x:v>
      </x:c>
      <x:c r="F1511" s="73" t="str">
        <x:v>Официальный пресс-релиз Ростелекома от 05.08.2025</x:v>
      </x:c>
      <x:c r="G1511" s="73" t="str">
        <x:v>Таблица основных показателей 1П2025</x:v>
      </x:c>
      <x:c r="H1511" s="73" t="str">
        <x:v>Чистый долг включает обязательства по аренде</x:v>
      </x:c>
      <x:c r="I1511" s="89" t="n">
        <x:v>708484</x:v>
      </x:c>
      <x:c r="J1511" s="88" t="n">
        <x:f>E1511-I1511</x:f>
        <x:v>0</x:v>
      </x:c>
    </x:row>
    <x:row r="1512">
      <x:c r="A1512" t="str">
        <x:v>RTKM</x:v>
      </x:c>
      <x:c r="B1512" t="str">
        <x:v>1П2025</x:v>
      </x:c>
      <x:c r="C1512" s="73" t="str">
        <x:v>Чистый долг без аренды</x:v>
      </x:c>
      <x:c r="D1512" s="73" t="str">
        <x:v>Точная сумма не раскрыта</x:v>
      </x:c>
      <x:c r="E1512" s="84"/>
      <x:c r="F1512" s="73" t="str">
        <x:v>Официальный пресс-релиз Ростелекома от 05.08.2025</x:v>
      </x:c>
      <x:c r="G1512" s="73" t="str">
        <x:v>Основные финансовые итоги</x:v>
      </x:c>
      <x:c r="H1512" s="73" t="str">
        <x:v>Раскрыт только коэффициент ЧД без аренды / OIBDA 1,8x; обратный расчет не выполнялся</x:v>
      </x:c>
      <x:c r="I1512"/>
      <x:c r="J1512"/>
    </x:row>
    <x:row r="1513">
      <x:c r="A1513" t="str">
        <x:v>RTKM</x:v>
      </x:c>
      <x:c r="B1513" t="str">
        <x:v>1П2025</x:v>
      </x:c>
      <x:c r="C1513" s="73" t="str">
        <x:v>Капитал</x:v>
      </x:c>
      <x:c r="D1513" s="73" t="str">
        <x:v>Капитал акционеров и НКД</x:v>
      </x:c>
      <x:c r="E1513" s="84"/>
      <x:c r="F1513" s="73" t="str">
        <x:v>RTKM_2026H1.pdf</x:v>
      </x:c>
      <x:c r="G1513" s="73" t="str">
        <x:v>PDF стр. 2</x:v>
      </x:c>
      <x:c r="H1513" s="73" t="str">
        <x:v>Сравнительный баланс на 30.06.2025 отсутствует; точные суммы н.д.</x:v>
      </x:c>
      <x:c r="I1513"/>
      <x:c r="J1513"/>
    </x:row>
    <x:row r="1515">
      <x:c r="A1515" t="str">
        <x:v>RTKM</x:v>
      </x:c>
      <x:c r="B1515" t="str">
        <x:v>1П2026</x:v>
      </x:c>
      <x:c r="C1515" s="73" t="str">
        <x:v>Чистый долг компании</x:v>
      </x:c>
      <x:c r="D1515" s="73" t="str">
        <x:v>Краткосрочные кредиты и займы</x:v>
      </x:c>
      <x:c r="E1515" s="86" t="n">
        <x:v>298634</x:v>
      </x:c>
      <x:c r="F1515" s="73" t="str">
        <x:v>RTKM_2026H1.pdf</x:v>
      </x:c>
      <x:c r="G1515" s="73" t="str">
        <x:v>PDF стр. 2</x:v>
      </x:c>
      <x:c r="H1515" s="73" t="str">
        <x:v>Компонент раскрытой методики</x:v>
      </x:c>
      <x:c r="I1515"/>
      <x:c r="J1515"/>
    </x:row>
    <x:row r="1516">
      <x:c r="A1516" t="str">
        <x:v>RTKM</x:v>
      </x:c>
      <x:c r="B1516" t="str">
        <x:v>1П2026</x:v>
      </x:c>
      <x:c r="C1516" s="73" t="str">
        <x:v>Чистый долг компании</x:v>
      </x:c>
      <x:c r="D1516" s="73" t="str">
        <x:v>Долгосрочные кредиты и займы</x:v>
      </x:c>
      <x:c r="E1516" s="86" t="n">
        <x:v>304886</x:v>
      </x:c>
      <x:c r="F1516" s="73" t="str">
        <x:v>RTKM_2026H1.pdf</x:v>
      </x:c>
      <x:c r="G1516" s="73" t="str">
        <x:v>PDF стр. 2</x:v>
      </x:c>
      <x:c r="H1516" s="73" t="str">
        <x:v>Компонент раскрытой методики</x:v>
      </x:c>
      <x:c r="I1516"/>
      <x:c r="J1516"/>
    </x:row>
    <x:row r="1517">
      <x:c r="A1517" t="str">
        <x:v>RTKM</x:v>
      </x:c>
      <x:c r="B1517" t="str">
        <x:v>1П2026</x:v>
      </x:c>
      <x:c r="C1517" s="73" t="str">
        <x:v>Чистый долг компании</x:v>
      </x:c>
      <x:c r="D1517" s="73" t="str">
        <x:v>Краткосрочные обязательства по аренде</x:v>
      </x:c>
      <x:c r="E1517" s="86" t="n">
        <x:v>27822</x:v>
      </x:c>
      <x:c r="F1517" s="73" t="str">
        <x:v>RTKM_2026H1.pdf</x:v>
      </x:c>
      <x:c r="G1517" s="73" t="str">
        <x:v>PDF стр. 2</x:v>
      </x:c>
      <x:c r="H1517" s="73" t="str">
        <x:v>Включаются по методике эмитента</x:v>
      </x:c>
      <x:c r="I1517"/>
      <x:c r="J1517"/>
    </x:row>
    <x:row r="1518">
      <x:c r="A1518" t="str">
        <x:v>RTKM</x:v>
      </x:c>
      <x:c r="B1518" t="str">
        <x:v>1П2026</x:v>
      </x:c>
      <x:c r="C1518" s="73" t="str">
        <x:v>Чистый долг компании</x:v>
      </x:c>
      <x:c r="D1518" s="73" t="str">
        <x:v>Долгосрочные обязательства по аренде</x:v>
      </x:c>
      <x:c r="E1518" s="86" t="n">
        <x:v>145220</x:v>
      </x:c>
      <x:c r="F1518" s="73" t="str">
        <x:v>RTKM_2026H1.pdf</x:v>
      </x:c>
      <x:c r="G1518" s="73" t="str">
        <x:v>PDF стр. 2</x:v>
      </x:c>
      <x:c r="H1518" s="73" t="str">
        <x:v>Включаются по методике эмитента</x:v>
      </x:c>
      <x:c r="I1518"/>
      <x:c r="J1518"/>
    </x:row>
    <x:row r="1519">
      <x:c r="A1519" t="str">
        <x:v>RTKM</x:v>
      </x:c>
      <x:c r="B1519" t="str">
        <x:v>1П2026</x:v>
      </x:c>
      <x:c r="C1519" s="73" t="str">
        <x:v>Чистый долг компании</x:v>
      </x:c>
      <x:c r="D1519" s="73" t="str">
        <x:v>Денежные средства и их эквиваленты</x:v>
      </x:c>
      <x:c r="E1519" s="86" t="n">
        <x:v>-18844</x:v>
      </x:c>
      <x:c r="F1519" s="73" t="str">
        <x:v>RTKM_2026H1.pdf</x:v>
      </x:c>
      <x:c r="G1519" s="73" t="str">
        <x:v>PDF стр. 2</x:v>
      </x:c>
      <x:c r="H1519" s="73" t="str">
        <x:v>Вычитаются по методике эмитента</x:v>
      </x:c>
      <x:c r="I1519"/>
      <x:c r="J1519"/>
    </x:row>
    <x:row r="1520">
      <x:c r="A1520" t="str">
        <x:v>RTKM</x:v>
      </x:c>
      <x:c r="B1520" t="str">
        <x:v>1П2026</x:v>
      </x:c>
      <x:c r="C1520" s="73" t="str">
        <x:v>Чистый долг компании</x:v>
      </x:c>
      <x:c r="D1520" s="73" t="str">
        <x:v>Прочие оборотные финансовые активы</x:v>
      </x:c>
      <x:c r="E1520" s="86" t="n">
        <x:v>-26159</x:v>
      </x:c>
      <x:c r="F1520" s="73" t="str">
        <x:v>RTKM_2026H1.pdf</x:v>
      </x:c>
      <x:c r="G1520" s="73" t="str">
        <x:v>PDF стр. 2</x:v>
      </x:c>
      <x:c r="H1520" s="73" t="str">
        <x:v>Вычитаются по методике эмитента</x:v>
      </x:c>
      <x:c r="I1520"/>
      <x:c r="J1520"/>
    </x:row>
    <x:row r="1521">
      <x:c r="A1521" t="str">
        <x:v>RTKM</x:v>
      </x:c>
      <x:c r="B1521" t="str">
        <x:v>1П2026</x:v>
      </x:c>
      <x:c r="C1521" s="73" t="str">
        <x:v>Чистый долг компании</x:v>
      </x:c>
      <x:c r="D1521" s="73" t="str">
        <x:v>ИТОГО — расчет</x:v>
      </x:c>
      <x:c r="E1521" s="87" t="n">
        <x:f>SUM(E1515:E1520)</x:f>
        <x:v>731559</x:v>
      </x:c>
      <x:c r="F1521" s="73" t="str">
        <x:v>RTKM_IR_2026H1.pdf; RTKM_2026H1.pdf</x:v>
      </x:c>
      <x:c r="G1521" s="73" t="str">
        <x:v>IR PDF стр. 3; МСФО PDF стр. 2</x:v>
      </x:c>
      <x:c r="H1521" s="73" t="str">
        <x:v>Опубликованный чистый долг 731 559 млн руб.; мост совпадает точно</x:v>
      </x:c>
      <x:c r="I1521" s="89" t="n">
        <x:v>731559</x:v>
      </x:c>
      <x:c r="J1521" s="88" t="n">
        <x:f>E1521-I1521</x:f>
        <x:v>0</x:v>
      </x:c>
    </x:row>
    <x:row r="1522">
      <x:c r="A1522" t="str">
        <x:v>RTKM</x:v>
      </x:c>
      <x:c r="B1522" t="str">
        <x:v>1П2026</x:v>
      </x:c>
      <x:c r="C1522" s="73" t="str">
        <x:v>Чистый долг без аренды</x:v>
      </x:c>
      <x:c r="D1522" s="73" t="str">
        <x:v>Обязательства по аренде</x:v>
      </x:c>
      <x:c r="E1522" s="87" t="n">
        <x:f>SUM(E1517:E1518)</x:f>
        <x:v>173042</x:v>
      </x:c>
      <x:c r="F1522" s="73" t="str">
        <x:v>RTKM_2026H1.pdf</x:v>
      </x:c>
      <x:c r="G1522" s="73" t="str">
        <x:v>PDF стр. 2</x:v>
      </x:c>
      <x:c r="H1522" s="73" t="str">
        <x:v>Существенная корректировка: 24% чистого долга</x:v>
      </x:c>
      <x:c r="I1522" s="89" t="n">
        <x:v>173042</x:v>
      </x:c>
      <x:c r="J1522" s="88" t="n">
        <x:f>E1522-I1522</x:f>
        <x:v>0</x:v>
      </x:c>
    </x:row>
    <x:row r="1523">
      <x:c r="A1523" t="str">
        <x:v>RTKM</x:v>
      </x:c>
      <x:c r="B1523" t="str">
        <x:v>1П2026</x:v>
      </x:c>
      <x:c r="C1523" s="73" t="str">
        <x:v>Чистый долг без аренды</x:v>
      </x:c>
      <x:c r="D1523" s="73" t="str">
        <x:v>ИТОГО — аналитический расчет</x:v>
      </x:c>
      <x:c r="E1523" s="87" t="n">
        <x:f>E1521-E1522</x:f>
        <x:v>558517</x:v>
      </x:c>
      <x:c r="F1523" s="73" t="str">
        <x:v>RTKM_IR_2026H1.pdf; RTKM_2026H1.pdf</x:v>
      </x:c>
      <x:c r="G1523" s="73" t="str">
        <x:v>IR PDF стр. 3; МСФО PDF стр. 2</x:v>
      </x:c>
      <x:c r="H1523" s="73" t="str">
        <x:v>Чистый долг компании минус обязательства по аренде; 558 517 / TTM OIBDA округляется до раскрытых 1,6x</x:v>
      </x:c>
      <x:c r="I1523"/>
      <x:c r="J1523" s="85"/>
    </x:row>
    <x:row r="1524">
      <x:c r="A1524" t="str">
        <x:v>RTKM</x:v>
      </x:c>
      <x:c r="B1524" t="str">
        <x:v>1П2026</x:v>
      </x:c>
      <x:c r="C1524" s="73" t="str">
        <x:v>Капитал</x:v>
      </x:c>
      <x:c r="D1524" s="73" t="str">
        <x:v>Неконтролирующая доля</x:v>
      </x:c>
      <x:c r="E1524" s="86" t="n">
        <x:v>59406</x:v>
      </x:c>
      <x:c r="F1524" s="73" t="str">
        <x:v>RTKM_2026H1.pdf</x:v>
      </x:c>
      <x:c r="G1524" s="73" t="str">
        <x:v>PDF стр. 2</x:v>
      </x:c>
      <x:c r="H1524" s="73" t="str">
        <x:v>Общий капитал 282 798; капитал акционеров 223 392</x:v>
      </x:c>
      <x:c r="I1524"/>
      <x:c r="J1524"/>
    </x:row>
    <x:row r="1526">
      <x:c r="A1526" t="str">
        <x:v>RTKM</x:v>
      </x:c>
      <x:c r="B1526" t="str">
        <x:v>2025</x:v>
      </x:c>
      <x:c r="C1526" s="73" t="str">
        <x:v>OIBDA</x:v>
      </x:c>
      <x:c r="D1526" s="73" t="str">
        <x:v>Операционная прибыль</x:v>
      </x:c>
      <x:c r="E1526" s="86" t="n">
        <x:v>149359</x:v>
      </x:c>
      <x:c r="F1526" s="73" t="str">
        <x:v>Ростелеком_МСФО_2025.pdf</x:v>
      </x:c>
      <x:c r="G1526" s="73" t="str">
        <x:v>PDF стр. 3, 105</x:v>
      </x:c>
      <x:c r="H1526" s="73" t="str">
        <x:v>Компонент раскрытой методики</x:v>
      </x:c>
      <x:c r="I1526"/>
      <x:c r="J1526"/>
    </x:row>
    <x:row r="1527">
      <x:c r="A1527" t="str">
        <x:v>RTKM</x:v>
      </x:c>
      <x:c r="B1527" t="str">
        <x:v>2025</x:v>
      </x:c>
      <x:c r="C1527" s="73" t="str">
        <x:v>OIBDA</x:v>
      </x:c>
      <x:c r="D1527" s="73" t="str">
        <x:v>Амортизация и убытки от обесценения</x:v>
      </x:c>
      <x:c r="E1527" s="86" t="n">
        <x:v>177776</x:v>
      </x:c>
      <x:c r="F1527" s="73" t="str">
        <x:v>Ростелеком_МСФО_2025.pdf</x:v>
      </x:c>
      <x:c r="G1527" s="73" t="str">
        <x:v>PDF стр. 3, 105</x:v>
      </x:c>
      <x:c r="H1527" s="73" t="str">
        <x:v>Компонент раскрытой методики</x:v>
      </x:c>
      <x:c r="I1527"/>
      <x:c r="J1527"/>
    </x:row>
    <x:row r="1528">
      <x:c r="A1528" t="str">
        <x:v>RTKM</x:v>
      </x:c>
      <x:c r="B1528" t="str">
        <x:v>2025</x:v>
      </x:c>
      <x:c r="C1528" s="73" t="str">
        <x:v>OIBDA</x:v>
      </x:c>
      <x:c r="D1528" s="73" t="str">
        <x:v>Неденежное долгосрочное вознаграждение и НПО</x:v>
      </x:c>
      <x:c r="E1528" s="86" t="n">
        <x:v>3913</x:v>
      </x:c>
      <x:c r="F1528" s="73" t="str">
        <x:v>Ростелеком_МСФО_2025.pdf; Ростелеком_отчет_эмитента_2025.pdf</x:v>
      </x:c>
      <x:c r="G1528" s="73" t="str">
        <x:v>МСФО PDF стр. 105; отчет эмитента PDF стр. 31</x:v>
      </x:c>
      <x:c r="H1528" s="73" t="str">
        <x:v>Дополнительная корректировка раскрытой методики</x:v>
      </x:c>
      <x:c r="I1528"/>
      <x:c r="J1528"/>
    </x:row>
    <x:row r="1529">
      <x:c r="A1529" t="str">
        <x:v>RTKM</x:v>
      </x:c>
      <x:c r="B1529" t="str">
        <x:v>2025</x:v>
      </x:c>
      <x:c r="C1529" s="73" t="str">
        <x:v>OIBDA</x:v>
      </x:c>
      <x:c r="D1529" s="73" t="str">
        <x:v>ИТОГО — расчет</x:v>
      </x:c>
      <x:c r="E1529" s="87" t="n">
        <x:f>SUM(E1526:E1528)</x:f>
        <x:v>331048</x:v>
      </x:c>
      <x:c r="F1529" s="73" t="str">
        <x:v>Ростелеком_МСФО_2025.pdf</x:v>
      </x:c>
      <x:c r="G1529" s="73" t="str">
        <x:v>PDF стр. 105</x:v>
      </x:c>
      <x:c r="H1529" s="73" t="str">
        <x:v>Опубликовано 331 048 млн руб.; мост совпадает точно</x:v>
      </x:c>
      <x:c r="I1529" s="89" t="n">
        <x:v>331048</x:v>
      </x:c>
      <x:c r="J1529" s="88" t="n">
        <x:f>E1529-I1529</x:f>
        <x:v>0</x:v>
      </x:c>
    </x:row>
    <x:row r="1531">
      <x:c r="A1531" t="str">
        <x:v>RTKM</x:v>
      </x:c>
      <x:c r="B1531" t="str">
        <x:v>1П2025</x:v>
      </x:c>
      <x:c r="C1531" s="73" t="str">
        <x:v>OIBDA</x:v>
      </x:c>
      <x:c r="D1531" s="73" t="str">
        <x:v>Операционная прибыль</x:v>
      </x:c>
      <x:c r="E1531" s="86" t="n">
        <x:v>70338</x:v>
      </x:c>
      <x:c r="F1531" s="73" t="str">
        <x:v>RTKM_IR_2026H1.pdf</x:v>
      </x:c>
      <x:c r="G1531" s="73" t="str">
        <x:v>PDF стр. 17</x:v>
      </x:c>
      <x:c r="H1531" s="73" t="str">
        <x:v>Компонент раскрытой методики</x:v>
      </x:c>
      <x:c r="I1531"/>
      <x:c r="J1531"/>
    </x:row>
    <x:row r="1532">
      <x:c r="A1532" t="str">
        <x:v>RTKM</x:v>
      </x:c>
      <x:c r="B1532" t="str">
        <x:v>1П2025</x:v>
      </x:c>
      <x:c r="C1532" s="73" t="str">
        <x:v>OIBDA</x:v>
      </x:c>
      <x:c r="D1532" s="73" t="str">
        <x:v>Амортизация и убытки от обесценения</x:v>
      </x:c>
      <x:c r="E1532" s="86" t="n">
        <x:v>82472</x:v>
      </x:c>
      <x:c r="F1532" s="73" t="str">
        <x:v>RTKM_IR_2026H1.pdf</x:v>
      </x:c>
      <x:c r="G1532" s="73" t="str">
        <x:v>PDF стр. 17</x:v>
      </x:c>
      <x:c r="H1532" s="73" t="str">
        <x:v>Компонент раскрытой методики</x:v>
      </x:c>
      <x:c r="I1532"/>
      <x:c r="J1532"/>
    </x:row>
    <x:row r="1533">
      <x:c r="A1533" t="str">
        <x:v>RTKM</x:v>
      </x:c>
      <x:c r="B1533" t="str">
        <x:v>1П2025</x:v>
      </x:c>
      <x:c r="C1533" s="73" t="str">
        <x:v>OIBDA</x:v>
      </x:c>
      <x:c r="D1533" s="73" t="str">
        <x:v>Неденежный расход по долгосрочной мотивации</x:v>
      </x:c>
      <x:c r="E1533" s="86" t="n">
        <x:v>640</x:v>
      </x:c>
      <x:c r="F1533" s="73" t="str">
        <x:v>RTKM_IR_2026H1.pdf</x:v>
      </x:c>
      <x:c r="G1533" s="73" t="str">
        <x:v>PDF стр. 17</x:v>
      </x:c>
      <x:c r="H1533" s="73" t="str">
        <x:v>Дополнительная корректировка раскрытой методики</x:v>
      </x:c>
      <x:c r="I1533"/>
      <x:c r="J1533"/>
    </x:row>
    <x:row r="1534">
      <x:c r="A1534" t="str">
        <x:v>RTKM</x:v>
      </x:c>
      <x:c r="B1534" t="str">
        <x:v>1П2025</x:v>
      </x:c>
      <x:c r="C1534" s="73" t="str">
        <x:v>OIBDA</x:v>
      </x:c>
      <x:c r="D1534" s="73" t="str">
        <x:v>Расход по негосударственному пенсионному обеспечению</x:v>
      </x:c>
      <x:c r="E1534" s="86" t="n">
        <x:v>844</x:v>
      </x:c>
      <x:c r="F1534" s="73" t="str">
        <x:v>RTKM_IR_2026H1.pdf</x:v>
      </x:c>
      <x:c r="G1534" s="73" t="str">
        <x:v>PDF стр. 17</x:v>
      </x:c>
      <x:c r="H1534" s="73" t="str">
        <x:v>Дополнительная корректировка раскрытой методики</x:v>
      </x:c>
      <x:c r="I1534"/>
      <x:c r="J1534"/>
    </x:row>
    <x:row r="1535">
      <x:c r="A1535" t="str">
        <x:v>RTKM</x:v>
      </x:c>
      <x:c r="B1535" t="str">
        <x:v>1П2025</x:v>
      </x:c>
      <x:c r="C1535" s="73" t="str">
        <x:v>OIBDA</x:v>
      </x:c>
      <x:c r="D1535" s="73" t="str">
        <x:v>ИТОГО — основной опубликованный показатель</x:v>
      </x:c>
      <x:c r="E1535" s="87" t="n">
        <x:f>SUM(E1531:E1534)</x:f>
        <x:v>154294</x:v>
      </x:c>
      <x:c r="F1535" s="73" t="str">
        <x:v>RTKM_IR_2026H1.pdf; официальный пресс-релиз от 05.08.2025</x:v>
      </x:c>
      <x:c r="G1535" s="73" t="str">
        <x:v>IR PDF стр. 3, 17; таблица основных показателей</x:v>
      </x:c>
      <x:c r="H1535" s="73" t="str">
        <x:v>Опубликовано 154 294 млн руб.; мост совпадает точно</x:v>
      </x:c>
      <x:c r="I1535" s="89" t="n">
        <x:v>154294</x:v>
      </x:c>
      <x:c r="J1535" s="88" t="n">
        <x:f>E1535-I1535</x:f>
        <x:v>0</x:v>
      </x:c>
    </x:row>
    <x:row r="1536">
      <x:c r="A1536" t="str">
        <x:v>RTKM</x:v>
      </x:c>
      <x:c r="B1536" t="str">
        <x:v>1П2025</x:v>
      </x:c>
      <x:c r="C1536" s="73" t="str">
        <x:v>OIBDA</x:v>
      </x:c>
      <x:c r="D1536" s="73" t="str">
        <x:v>Альтернативное сегментное раскрытие</x:v>
      </x:c>
      <x:c r="E1536" s="86" t="n">
        <x:v>154295</x:v>
      </x:c>
      <x:c r="F1536" s="73" t="str">
        <x:v>RTKM_2026H1.pdf</x:v>
      </x:c>
      <x:c r="G1536" s="73" t="str">
        <x:v>PDF стр. 27</x:v>
      </x:c>
      <x:c r="H1536" s="73" t="str">
        <x:v>В МСФО сумма сегментов на 1 млн руб. выше основного KPI; расхождение сохранено видимым</x:v>
      </x:c>
      <x:c r="I1536"/>
      <x:c r="J1536"/>
    </x:row>
    <x:row r="1538">
      <x:c r="A1538" t="str">
        <x:v>RTKM</x:v>
      </x:c>
      <x:c r="B1538" t="str">
        <x:v>1П2026</x:v>
      </x:c>
      <x:c r="C1538" s="73" t="str">
        <x:v>OIBDA</x:v>
      </x:c>
      <x:c r="D1538" s="73" t="str">
        <x:v>Операционная прибыль</x:v>
      </x:c>
      <x:c r="E1538" s="86" t="n">
        <x:v>75877</x:v>
      </x:c>
      <x:c r="F1538" s="73" t="str">
        <x:v>RTKM_IR_2026H1.pdf</x:v>
      </x:c>
      <x:c r="G1538" s="73" t="str">
        <x:v>PDF стр. 17</x:v>
      </x:c>
      <x:c r="H1538" s="73" t="str">
        <x:v>Компонент раскрытой методики</x:v>
      </x:c>
      <x:c r="I1538"/>
      <x:c r="J1538"/>
    </x:row>
    <x:row r="1539">
      <x:c r="A1539" t="str">
        <x:v>RTKM</x:v>
      </x:c>
      <x:c r="B1539" t="str">
        <x:v>1П2026</x:v>
      </x:c>
      <x:c r="C1539" s="73" t="str">
        <x:v>OIBDA</x:v>
      </x:c>
      <x:c r="D1539" s="73" t="str">
        <x:v>Амортизация и убытки от обесценения</x:v>
      </x:c>
      <x:c r="E1539" s="86" t="n">
        <x:v>93298</x:v>
      </x:c>
      <x:c r="F1539" s="73" t="str">
        <x:v>RTKM_IR_2026H1.pdf</x:v>
      </x:c>
      <x:c r="G1539" s="73" t="str">
        <x:v>PDF стр. 17</x:v>
      </x:c>
      <x:c r="H1539" s="73" t="str">
        <x:v>Компонент раскрытой методики</x:v>
      </x:c>
      <x:c r="I1539"/>
      <x:c r="J1539"/>
    </x:row>
    <x:row r="1540">
      <x:c r="A1540" t="str">
        <x:v>RTKM</x:v>
      </x:c>
      <x:c r="B1540" t="str">
        <x:v>1П2026</x:v>
      </x:c>
      <x:c r="C1540" s="73" t="str">
        <x:v>OIBDA</x:v>
      </x:c>
      <x:c r="D1540" s="73" t="str">
        <x:v>Неденежный расход по долгосрочной мотивации</x:v>
      </x:c>
      <x:c r="E1540" s="86" t="n">
        <x:v>1274</x:v>
      </x:c>
      <x:c r="F1540" s="73" t="str">
        <x:v>RTKM_IR_2026H1.pdf</x:v>
      </x:c>
      <x:c r="G1540" s="73" t="str">
        <x:v>PDF стр. 17</x:v>
      </x:c>
      <x:c r="H1540" s="73" t="str">
        <x:v>Дополнительная корректировка раскрытой методики</x:v>
      </x:c>
      <x:c r="I1540"/>
      <x:c r="J1540"/>
    </x:row>
    <x:row r="1541">
      <x:c r="A1541" t="str">
        <x:v>RTKM</x:v>
      </x:c>
      <x:c r="B1541" t="str">
        <x:v>1П2026</x:v>
      </x:c>
      <x:c r="C1541" s="73" t="str">
        <x:v>OIBDA</x:v>
      </x:c>
      <x:c r="D1541" s="73" t="str">
        <x:v>Расход по негосударственному пенсионному обеспечению</x:v>
      </x:c>
      <x:c r="E1541" s="86" t="n">
        <x:v>904</x:v>
      </x:c>
      <x:c r="F1541" s="73" t="str">
        <x:v>RTKM_IR_2026H1.pdf</x:v>
      </x:c>
      <x:c r="G1541" s="73" t="str">
        <x:v>PDF стр. 17</x:v>
      </x:c>
      <x:c r="H1541" s="73" t="str">
        <x:v>Дополнительная корректировка раскрытой методики</x:v>
      </x:c>
      <x:c r="I1541"/>
      <x:c r="J1541"/>
    </x:row>
    <x:row r="1542">
      <x:c r="A1542" t="str">
        <x:v>RTKM</x:v>
      </x:c>
      <x:c r="B1542" t="str">
        <x:v>1П2026</x:v>
      </x:c>
      <x:c r="C1542" s="73" t="str">
        <x:v>OIBDA</x:v>
      </x:c>
      <x:c r="D1542" s="73" t="str">
        <x:v>ИТОГО — расчет</x:v>
      </x:c>
      <x:c r="E1542" s="87" t="n">
        <x:f>SUM(E1538:E1541)</x:f>
        <x:v>171353</x:v>
      </x:c>
      <x:c r="F1542" s="73" t="str">
        <x:v>RTKM_IR_2026H1.pdf; RTKM_2026H1.pdf</x:v>
      </x:c>
      <x:c r="G1542" s="73" t="str">
        <x:v>IR PDF стр. 3, 17; МСФО PDF стр. 26–27</x:v>
      </x:c>
      <x:c r="H1542" s="73" t="str">
        <x:v>Опубликовано 171 353 млн руб.; мост совпадает точно</x:v>
      </x:c>
      <x:c r="I1542" s="89" t="n">
        <x:v>171353</x:v>
      </x:c>
      <x:c r="J1542" s="88" t="n">
        <x:f>E1542-I1542</x:f>
        <x:v>0</x:v>
      </x:c>
    </x:row>
    <x:row r="1544">
      <x:c r="A1544" t="str">
        <x:v>AFLT</x:v>
      </x:c>
      <x:c r="B1544" t="str">
        <x:v>2025</x:v>
      </x:c>
      <x:c r="C1544" s="73" t="str">
        <x:v>Чистый долг компании</x:v>
      </x:c>
      <x:c r="D1544" s="73" t="str">
        <x:v>Общий долг</x:v>
      </x:c>
      <x:c r="E1544" s="87" t="n">
        <x:v>609379</x:v>
      </x:c>
      <x:c r="F1544" s="73" t="str">
        <x:v>Аэрофлот_МСФО_2025.pdf</x:v>
      </x:c>
      <x:c r="G1544" s="73" t="str">
        <x:v>PDF стр. 78</x:v>
      </x:c>
      <x:c r="H1544" s="73" t="str">
        <x:v>Включает кредиты и займы, аренду, таможенные пошлины и пенсионное обязательство</x:v>
      </x:c>
      <x:c r="I1544" s="89"/>
      <x:c r="J1544" s="88"/>
      <x:c r="K1544"/>
    </x:row>
    <x:row r="1545">
      <x:c r="A1545" t="str">
        <x:v>AFLT</x:v>
      </x:c>
      <x:c r="B1545" t="str">
        <x:v>2025</x:v>
      </x:c>
      <x:c r="C1545" s="73" t="str">
        <x:v>Чистый долг компании</x:v>
      </x:c>
      <x:c r="D1545" s="73" t="str">
        <x:v>Денежные средства и краткосрочные финансовые инвестиции</x:v>
      </x:c>
      <x:c r="E1545" s="87" t="n">
        <x:v>-73887</x:v>
      </x:c>
      <x:c r="F1545" s="73" t="str">
        <x:v>Аэрофлот_МСФО_2025.pdf</x:v>
      </x:c>
      <x:c r="G1545" s="73" t="str">
        <x:v>PDF стр. 78</x:v>
      </x:c>
      <x:c r="H1545" s="73" t="str">
        <x:v>Вычитаются по определению компании</x:v>
      </x:c>
      <x:c r="I1545" s="89"/>
      <x:c r="J1545" s="88"/>
      <x:c r="K1545"/>
    </x:row>
    <x:row r="1546">
      <x:c r="A1546" t="str">
        <x:v>AFLT</x:v>
      </x:c>
      <x:c r="B1546" t="str">
        <x:v>2025</x:v>
      </x:c>
      <x:c r="C1546" s="73" t="str">
        <x:v>Чистый долг компании</x:v>
      </x:c>
      <x:c r="D1546" s="73" t="str">
        <x:v>ИТОГО: общий долг − деньги и краткосрочные инвестиции</x:v>
      </x:c>
      <x:c r="E1546" s="84" t="n">
        <x:f>SUM(E1544:E1545)</x:f>
        <x:v>535492</x:v>
      </x:c>
      <x:c r="F1546" s="73" t="str">
        <x:v>Аэрофлот_МСФО_2025.pdf</x:v>
      </x:c>
      <x:c r="G1546" s="73" t="str">
        <x:v>PDF стр. 78</x:v>
      </x:c>
      <x:c r="H1546" s="73" t="str">
        <x:v>Опубликованный ЧД 535 492 млн руб.; мост совпадает точно</x:v>
      </x:c>
      <x:c r="I1546" s="89" t="n">
        <x:v>535492</x:v>
      </x:c>
      <x:c r="J1546" s="85" t="n">
        <x:f>ROUND(E1546-I1546,6)</x:f>
        <x:v>0</x:v>
      </x:c>
      <x:c r="K1546"/>
    </x:row>
    <x:row r="1547">
      <x:c r="A1547" t="str">
        <x:v>AFLT</x:v>
      </x:c>
      <x:c r="B1547" t="str">
        <x:v>2025</x:v>
      </x:c>
      <x:c r="C1547" s="73" t="str">
        <x:v>Аренда</x:v>
      </x:c>
      <x:c r="D1547" s="73" t="str">
        <x:v>Обязательства по аренде вне кредитов</x:v>
      </x:c>
      <x:c r="E1547" s="87" t="n">
        <x:v>426422</x:v>
      </x:c>
      <x:c r="F1547" s="73" t="str">
        <x:v>Аэрофлот_МСФО_2025.pdf</x:v>
      </x:c>
      <x:c r="G1547" s="73" t="str">
        <x:v>PDF стр. 11</x:v>
      </x:c>
      <x:c r="H1547" s="73" t="str">
        <x:v>80 401 краткосрочные + 346 021 долгосрочные; включены в общий долг</x:v>
      </x:c>
      <x:c r="I1547" s="89"/>
      <x:c r="J1547" s="88"/>
      <x:c r="K1547"/>
    </x:row>
    <x:row r="1548">
      <x:c r="A1548" t="str">
        <x:v>AFLT</x:v>
      </x:c>
      <x:c r="B1548" t="str">
        <x:v>2025</x:v>
      </x:c>
      <x:c r="C1548" s="73" t="str">
        <x:v>Капитал</x:v>
      </x:c>
      <x:c r="D1548" s="73" t="str">
        <x:v>Неконтролирующая доля</x:v>
      </x:c>
      <x:c r="E1548" s="87" t="n">
        <x:v>-15832</x:v>
      </x:c>
      <x:c r="F1548" s="73" t="str">
        <x:v>Аэрофлот_МСФО_2025.pdf</x:v>
      </x:c>
      <x:c r="G1548" s="73" t="str">
        <x:v>PDF стр. 11, 14</x:v>
      </x:c>
      <x:c r="H1548" s="73" t="str">
        <x:v>Отдельно от капитала акционеров 66 538</x:v>
      </x:c>
      <x:c r="I1548" s="89"/>
      <x:c r="J1548" s="88"/>
      <x:c r="K1548"/>
    </x:row>
    <x:row r="1549">
      <x:c r="A1549" t="str">
        <x:v>AFLT</x:v>
      </x:c>
      <x:c r="B1549" t="str">
        <x:v>2025</x:v>
      </x:c>
      <x:c r="C1549" s="73" t="str">
        <x:v>Капитал</x:v>
      </x:c>
      <x:c r="D1549" s="73" t="str">
        <x:v>Итого капитал группы</x:v>
      </x:c>
      <x:c r="E1549" s="87" t="n">
        <x:v>50706</x:v>
      </x:c>
      <x:c r="F1549" s="73" t="str">
        <x:v>Аэрофлот_МСФО_2025.pdf</x:v>
      </x:c>
      <x:c r="G1549" s="73" t="str">
        <x:v>PDF стр. 11, 14</x:v>
      </x:c>
      <x:c r="H1549" s="73" t="str">
        <x:v>Капитал акционеров 66 538 + НКД −15 832</x:v>
      </x:c>
      <x:c r="I1549" s="89"/>
      <x:c r="J1549" s="88"/>
      <x:c r="K1549"/>
    </x:row>
    <x:row r="1550">
      <x:c r="A1550" t="str">
        <x:v>AFLT</x:v>
      </x:c>
      <x:c r="B1550" t="str">
        <x:v>2025</x:v>
      </x:c>
      <x:c r="C1550" s="73" t="str">
        <x:v>EBITDA</x:v>
      </x:c>
      <x:c r="D1550" s="73" t="str">
        <x:v>Прибыль от операционной деятельности</x:v>
      </x:c>
      <x:c r="E1550" s="87" t="n">
        <x:v>138638</x:v>
      </x:c>
      <x:c r="F1550" s="73" t="str">
        <x:v>Аэрофлот_МСФО_2025.pdf</x:v>
      </x:c>
      <x:c r="G1550" s="73" t="str">
        <x:v>PDF стр. 70</x:v>
      </x:c>
      <x:c r="H1550" s="73" t="str">
        <x:v>Компонент раскрытой методики</x:v>
      </x:c>
      <x:c r="I1550" s="89"/>
      <x:c r="J1550" s="88"/>
      <x:c r="K1550"/>
    </x:row>
    <x:row r="1551">
      <x:c r="A1551" t="str">
        <x:v>AFLT</x:v>
      </x:c>
      <x:c r="B1551" t="str">
        <x:v>2025</x:v>
      </x:c>
      <x:c r="C1551" s="73" t="str">
        <x:v>EBITDA</x:v>
      </x:c>
      <x:c r="D1551" s="73" t="str">
        <x:v>Амортизация</x:v>
      </x:c>
      <x:c r="E1551" s="87" t="n">
        <x:v>115013</x:v>
      </x:c>
      <x:c r="F1551" s="73" t="str">
        <x:v>Аэрофлот_МСФО_2025.pdf</x:v>
      </x:c>
      <x:c r="G1551" s="73" t="str">
        <x:v>PDF стр. 12, 78</x:v>
      </x:c>
      <x:c r="H1551" s="73" t="str">
        <x:v>Компонент раскрытой методики</x:v>
      </x:c>
      <x:c r="I1551" s="89"/>
      <x:c r="J1551" s="88"/>
      <x:c r="K1551"/>
    </x:row>
    <x:row r="1552">
      <x:c r="A1552" t="str">
        <x:v>AFLT</x:v>
      </x:c>
      <x:c r="B1552" t="str">
        <x:v>2025</x:v>
      </x:c>
      <x:c r="C1552" s="73" t="str">
        <x:v>EBITDA</x:v>
      </x:c>
      <x:c r="D1552" s="73" t="str">
        <x:v>ИТОГО — расчет</x:v>
      </x:c>
      <x:c r="E1552" s="84" t="n">
        <x:f>SUM(E1550:E1551)</x:f>
        <x:v>253651</x:v>
      </x:c>
      <x:c r="F1552" s="73" t="str">
        <x:v>Аэрофлот_МСФО_2025.pdf</x:v>
      </x:c>
      <x:c r="G1552" s="73" t="str">
        <x:v>PDF стр. 70, 78</x:v>
      </x:c>
      <x:c r="H1552" s="73" t="str">
        <x:v>Опубликовано 253 651 млн руб.; мост совпадает точно</x:v>
      </x:c>
      <x:c r="I1552" s="89" t="n">
        <x:v>253651</x:v>
      </x:c>
      <x:c r="J1552" s="85" t="n">
        <x:f>ROUND(E1552-I1552,6)</x:f>
        <x:v>0</x:v>
      </x:c>
      <x:c r="K1552"/>
    </x:row>
    <x:row r="1553">
      <x:c r="A1553" t="str">
        <x:v>AFLT</x:v>
      </x:c>
      <x:c r="B1553" t="str">
        <x:v>2025</x:v>
      </x:c>
      <x:c r="C1553" s="73" t="str">
        <x:v>Скорректированная EBITDA</x:v>
      </x:c>
      <x:c r="D1553" s="73" t="str">
        <x:v>Совокупная корректировка к EBITDA</x:v>
      </x:c>
      <x:c r="E1553" s="87" t="n">
        <x:v>-68615</x:v>
      </x:c>
      <x:c r="F1553" s="73" t="str">
        <x:v>Аэрофлот_презентация_инвесторам_2025.pdf</x:v>
      </x:c>
      <x:c r="G1553" s="73" t="str">
        <x:v>PDF стр. 18</x:v>
      </x:c>
      <x:c r="H1553" s="73" t="str">
        <x:v>Существенная корректировка −27%; включает страховое урегулирование, резервы, списание кредиторской задолженности и прочие эффекты</x:v>
      </x:c>
      <x:c r="I1553" s="89"/>
      <x:c r="J1553" s="88"/>
      <x:c r="K1553"/>
    </x:row>
    <x:row r="1554">
      <x:c r="A1554" t="str">
        <x:v>AFLT</x:v>
      </x:c>
      <x:c r="B1554" t="str">
        <x:v>2025</x:v>
      </x:c>
      <x:c r="C1554" s="73" t="str">
        <x:v>Скорректированная EBITDA</x:v>
      </x:c>
      <x:c r="D1554" s="73" t="str">
        <x:v>ИТОГО — расчет</x:v>
      </x:c>
      <x:c r="E1554" s="84" t="n">
        <x:f>SUM(E1552,E1553)</x:f>
        <x:v>185036</x:v>
      </x:c>
      <x:c r="F1554" s="73" t="str">
        <x:v>Аэрофлот_презентация_инвесторам_2025.pdf</x:v>
      </x:c>
      <x:c r="G1554" s="73" t="str">
        <x:v>PDF стр. 18</x:v>
      </x:c>
      <x:c r="H1554" s="73" t="str">
        <x:v>Опубликовано 185 036 млн руб.; мост совпадает точно</x:v>
      </x:c>
      <x:c r="I1554" s="89" t="n">
        <x:v>185036</x:v>
      </x:c>
      <x:c r="J1554" s="85" t="n">
        <x:f>ROUND(E1554-I1554,6)</x:f>
        <x:v>0</x:v>
      </x:c>
      <x:c r="K1554"/>
    </x:row>
    <x:row r="1556">
      <x:c r="A1556" t="str">
        <x:v>AFLT</x:v>
      </x:c>
      <x:c r="B1556" t="str">
        <x:v>1П2025</x:v>
      </x:c>
      <x:c r="C1556" s="73" t="str">
        <x:v>Выручка</x:v>
      </x:c>
      <x:c r="D1556" s="73" t="str">
        <x:v>МСФО — сравнительный показатель</x:v>
      </x:c>
      <x:c r="E1556" s="87" t="n">
        <x:v>414781</x:v>
      </x:c>
      <x:c r="F1556" s="73" t="str">
        <x:v>AFLT_2026H1_official.pdf; официальный пресс-релиз 1П2025</x:v>
      </x:c>
      <x:c r="G1556" s="73" t="str">
        <x:v>МСФО PDF стр. 3; таблица основных финансовых показателей</x:v>
      </x:c>
      <x:c r="H1556" s="73" t="str">
        <x:v>Сравнительный поток подтвержден отчетностью 1П2026</x:v>
      </x:c>
      <x:c r="I1556" s="89"/>
      <x:c r="J1556" s="88"/>
      <x:c r="K1556"/>
    </x:row>
    <x:row r="1557">
      <x:c r="A1557" t="str">
        <x:v>AFLT</x:v>
      </x:c>
      <x:c r="B1557" t="str">
        <x:v>1П2025</x:v>
      </x:c>
      <x:c r="C1557" s="73" t="str">
        <x:v>Чистая прибыль акционеров</x:v>
      </x:c>
      <x:c r="D1557" s="73" t="str">
        <x:v>МСФО — сравнительный показатель</x:v>
      </x:c>
      <x:c r="E1557" s="87" t="n">
        <x:v>73098</x:v>
      </x:c>
      <x:c r="F1557" s="73" t="str">
        <x:v>AFLT_2026H1_official.pdf</x:v>
      </x:c>
      <x:c r="G1557" s="73" t="str">
        <x:v>PDF стр. 3</x:v>
      </x:c>
      <x:c r="H1557" s="73" t="str">
        <x:v>Прибыль группы 74 314; использована доля акционеров 73 098</x:v>
      </x:c>
      <x:c r="I1557" s="89"/>
      <x:c r="J1557" s="88"/>
      <x:c r="K1557"/>
    </x:row>
    <x:row r="1558">
      <x:c r="A1558" t="str">
        <x:v>AFLT</x:v>
      </x:c>
      <x:c r="B1558" t="str">
        <x:v>1П2025</x:v>
      </x:c>
      <x:c r="C1558" s="73" t="str">
        <x:v>EBITDA</x:v>
      </x:c>
      <x:c r="D1558" s="73" t="str">
        <x:v>Опубликованный показатель</x:v>
      </x:c>
      <x:c r="E1558" s="87" t="n">
        <x:v>141464</x:v>
      </x:c>
      <x:c r="F1558" s="73" t="str">
        <x:v>Официальный пресс-релиз Аэрофлота за 1П2025</x:v>
      </x:c>
      <x:c r="G1558" s="73" t="str">
        <x:v>Таблица основных финансовых показателей</x:v>
      </x:c>
      <x:c r="H1558" s="73" t="str">
        <x:v>Определение компании; показатель включает разовые эффекты</x:v>
      </x:c>
      <x:c r="I1558" s="89"/>
      <x:c r="J1558" s="88"/>
      <x:c r="K1558"/>
    </x:row>
    <x:row r="1559">
      <x:c r="A1559" t="str">
        <x:v>AFLT</x:v>
      </x:c>
      <x:c r="B1559" t="str">
        <x:v>1П2025</x:v>
      </x:c>
      <x:c r="C1559" s="73" t="str">
        <x:v>Скорректированная EBITDA</x:v>
      </x:c>
      <x:c r="D1559" s="73" t="str">
        <x:v>Совокупная корректировка к EBITDA</x:v>
      </x:c>
      <x:c r="E1559" s="87" t="n">
        <x:v>-58704</x:v>
      </x:c>
      <x:c r="F1559" s="73" t="str">
        <x:v>Официальный пресс-релиз Аэрофлота за 1П2025</x:v>
      </x:c>
      <x:c r="G1559" s="73" t="str">
        <x:v>Таблица основных финансовых показателей</x:v>
      </x:c>
      <x:c r="H1559" s="73" t="str">
        <x:v>Существенная корректировка −42%; страховое урегулирование и прочие разовые эффекты</x:v>
      </x:c>
      <x:c r="I1559" s="89"/>
      <x:c r="J1559" s="88"/>
      <x:c r="K1559"/>
    </x:row>
    <x:row r="1560">
      <x:c r="A1560" t="str">
        <x:v>AFLT</x:v>
      </x:c>
      <x:c r="B1560" t="str">
        <x:v>1П2025</x:v>
      </x:c>
      <x:c r="C1560" s="73" t="str">
        <x:v>Скорректированная EBITDA</x:v>
      </x:c>
      <x:c r="D1560" s="73" t="str">
        <x:v>ИТОГО — расчет</x:v>
      </x:c>
      <x:c r="E1560" s="84" t="n">
        <x:f>SUM(E1558:E1559)</x:f>
        <x:v>82760</x:v>
      </x:c>
      <x:c r="F1560" s="73" t="str">
        <x:v>Официальный пресс-релиз Аэрофлота за 1П2025</x:v>
      </x:c>
      <x:c r="G1560" s="73" t="str">
        <x:v>Таблица основных финансовых показателей</x:v>
      </x:c>
      <x:c r="H1560" s="73" t="str">
        <x:v>Опубликовано 82 760 млн руб.; мост совпадает точно</x:v>
      </x:c>
      <x:c r="I1560" s="89" t="n">
        <x:v>82760</x:v>
      </x:c>
      <x:c r="J1560" s="85" t="n">
        <x:f>ROUND(E1560-I1560,6)</x:f>
        <x:v>0</x:v>
      </x:c>
      <x:c r="K1560"/>
    </x:row>
    <x:row r="1561">
      <x:c r="A1561" t="str">
        <x:v>AFLT</x:v>
      </x:c>
      <x:c r="B1561" t="str">
        <x:v>1П2025</x:v>
      </x:c>
      <x:c r="C1561" s="73" t="str">
        <x:v>Чистый долг компании</x:v>
      </x:c>
      <x:c r="D1561" s="73" t="str">
        <x:v>Общий долг</x:v>
      </x:c>
      <x:c r="E1561" s="87" t="n">
        <x:v>579738</x:v>
      </x:c>
      <x:c r="F1561" s="73" t="str">
        <x:v>Официальный пресс-релиз Аэрофлота за 1П2025</x:v>
      </x:c>
      <x:c r="G1561" s="73" t="str">
        <x:v>Таблица «Долговая нагрузка»</x:v>
      </x:c>
      <x:c r="H1561" s="73" t="str">
        <x:v>Включает кредиты и займы, аренду и пенсионные обязательства</x:v>
      </x:c>
      <x:c r="I1561" s="89"/>
      <x:c r="J1561" s="88"/>
      <x:c r="K1561"/>
    </x:row>
    <x:row r="1562">
      <x:c r="A1562" t="str">
        <x:v>AFLT</x:v>
      </x:c>
      <x:c r="B1562" t="str">
        <x:v>1П2025</x:v>
      </x:c>
      <x:c r="C1562" s="73" t="str">
        <x:v>Чистый долг компании</x:v>
      </x:c>
      <x:c r="D1562" s="73" t="str">
        <x:v>Денежные средства и краткосрочные финансовые инвестиции</x:v>
      </x:c>
      <x:c r="E1562" s="87" t="n">
        <x:v>-103699</x:v>
      </x:c>
      <x:c r="F1562" s="73" t="str">
        <x:v>Официальный пресс-релиз Аэрофлота за 1П2025</x:v>
      </x:c>
      <x:c r="G1562" s="73" t="str">
        <x:v>Таблица «Долговая нагрузка»</x:v>
      </x:c>
      <x:c r="H1562" s="73" t="str">
        <x:v>Вычитаются по определению компании</x:v>
      </x:c>
      <x:c r="I1562" s="89"/>
      <x:c r="J1562" s="88"/>
      <x:c r="K1562"/>
    </x:row>
    <x:row r="1563">
      <x:c r="A1563" t="str">
        <x:v>AFLT</x:v>
      </x:c>
      <x:c r="B1563" t="str">
        <x:v>1П2025</x:v>
      </x:c>
      <x:c r="C1563" s="73" t="str">
        <x:v>Чистый долг компании</x:v>
      </x:c>
      <x:c r="D1563" s="73" t="str">
        <x:v>ИТОГО: общий долг − деньги и краткосрочные инвестиции</x:v>
      </x:c>
      <x:c r="E1563" s="84" t="n">
        <x:f>SUM(E1561:E1562)</x:f>
        <x:v>476039</x:v>
      </x:c>
      <x:c r="F1563" s="73" t="str">
        <x:v>Официальный пресс-релиз Аэрофлота за 1П2025</x:v>
      </x:c>
      <x:c r="G1563" s="73" t="str">
        <x:v>Таблица «Долговая нагрузка»</x:v>
      </x:c>
      <x:c r="H1563" s="73" t="str">
        <x:v>Опубликованный ЧД 476 039 млн руб.; мост совпадает точно</x:v>
      </x:c>
      <x:c r="I1563" s="89" t="n">
        <x:v>476039</x:v>
      </x:c>
      <x:c r="J1563" s="85" t="n">
        <x:f>ROUND(E1563-I1563,6)</x:f>
        <x:v>0</x:v>
      </x:c>
      <x:c r="K1563"/>
    </x:row>
    <x:row r="1564">
      <x:c r="A1564" t="str">
        <x:v>AFLT</x:v>
      </x:c>
      <x:c r="B1564" t="str">
        <x:v>1П2025</x:v>
      </x:c>
      <x:c r="C1564" s="73" t="str">
        <x:v>Аренда</x:v>
      </x:c>
      <x:c r="D1564" s="73" t="str">
        <x:v>Обязательства по аренде</x:v>
      </x:c>
      <x:c r="E1564" s="87" t="n">
        <x:v>481147</x:v>
      </x:c>
      <x:c r="F1564" s="73" t="str">
        <x:v>Официальный пресс-релиз Аэрофлота за 1П2025</x:v>
      </x:c>
      <x:c r="G1564" s="73" t="str">
        <x:v>Таблица «Долговая нагрузка»</x:v>
      </x:c>
      <x:c r="H1564" s="73" t="str">
        <x:v>Включены в общий долг</x:v>
      </x:c>
      <x:c r="I1564" s="89"/>
      <x:c r="J1564" s="88"/>
      <x:c r="K1564"/>
    </x:row>
    <x:row r="1565">
      <x:c r="A1565" t="str">
        <x:v>AFLT</x:v>
      </x:c>
      <x:c r="B1565" t="str">
        <x:v>1П2025</x:v>
      </x:c>
      <x:c r="C1565" s="73" t="str">
        <x:v>Чистая прибыль группы</x:v>
      </x:c>
      <x:c r="D1565" s="73" t="str">
        <x:v>Опубликованный показатель</x:v>
      </x:c>
      <x:c r="E1565" s="87" t="n">
        <x:v>74314</x:v>
      </x:c>
      <x:c r="F1565" s="73" t="str">
        <x:v>Официальный пресс-релиз Аэрофлота за 1П2025</x:v>
      </x:c>
      <x:c r="G1565" s="73" t="str">
        <x:v>Таблица основных финансовых показателей</x:v>
      </x:c>
      <x:c r="H1565" s="73" t="str">
        <x:v>Не подменяет прибыль акционеров 73 098</x:v>
      </x:c>
      <x:c r="I1565" s="89"/>
      <x:c r="J1565" s="88"/>
      <x:c r="K1565"/>
    </x:row>
    <x:row r="1567">
      <x:c r="A1567" t="str">
        <x:v>AFLT</x:v>
      </x:c>
      <x:c r="B1567" t="str">
        <x:v>1П2026</x:v>
      </x:c>
      <x:c r="C1567" s="73" t="str">
        <x:v>Выручка</x:v>
      </x:c>
      <x:c r="D1567" s="73" t="str">
        <x:v>МСФО</x:v>
      </x:c>
      <x:c r="E1567" s="87" t="n">
        <x:v>429753</x:v>
      </x:c>
      <x:c r="F1567" s="73" t="str">
        <x:v>AFLT_2026H1_official.pdf</x:v>
      </x:c>
      <x:c r="G1567" s="73" t="str">
        <x:v>PDF стр. 3</x:v>
      </x:c>
      <x:c r="H1567" s="73" t="str">
        <x:v>Первичный показатель МСФО; пресс-релиз отдельно показывает 429 836</x:v>
      </x:c>
      <x:c r="I1567" s="89"/>
      <x:c r="J1567" s="88"/>
      <x:c r="K1567"/>
    </x:row>
    <x:row r="1568">
      <x:c r="A1568" t="str">
        <x:v>AFLT</x:v>
      </x:c>
      <x:c r="B1568" t="str">
        <x:v>1П2026</x:v>
      </x:c>
      <x:c r="C1568" s="73" t="str">
        <x:v>Чистая прибыль акционеров</x:v>
      </x:c>
      <x:c r="D1568" s="73" t="str">
        <x:v>МСФО</x:v>
      </x:c>
      <x:c r="E1568" s="87" t="n">
        <x:v>-367</x:v>
      </x:c>
      <x:c r="F1568" s="73" t="str">
        <x:v>AFLT_2026H1_official.pdf</x:v>
      </x:c>
      <x:c r="G1568" s="73" t="str">
        <x:v>PDF стр. 3</x:v>
      </x:c>
      <x:c r="H1568" s="73" t="str">
        <x:v>Убыток группы −561; использована доля акционеров −367</x:v>
      </x:c>
      <x:c r="I1568" s="89"/>
      <x:c r="J1568" s="88"/>
      <x:c r="K1568"/>
    </x:row>
    <x:row r="1569">
      <x:c r="A1569" t="str">
        <x:v>AFLT</x:v>
      </x:c>
      <x:c r="B1569" t="str">
        <x:v>1П2026</x:v>
      </x:c>
      <x:c r="C1569" s="73" t="str">
        <x:v>Капитал акционеров</x:v>
      </x:c>
      <x:c r="D1569" s="73" t="str">
        <x:v>МСФО</x:v>
      </x:c>
      <x:c r="E1569" s="87" t="n">
        <x:v>44933</x:v>
      </x:c>
      <x:c r="F1569" s="73" t="str">
        <x:v>AFLT_2026H1_official.pdf</x:v>
      </x:c>
      <x:c r="G1569" s="73" t="str">
        <x:v>PDF стр. 5</x:v>
      </x:c>
      <x:c r="H1569" s="73" t="str">
        <x:v>Не смешивается с общим капиталом 29 110</x:v>
      </x:c>
      <x:c r="I1569" s="89"/>
      <x:c r="J1569" s="88"/>
      <x:c r="K1569"/>
    </x:row>
    <x:row r="1570">
      <x:c r="A1570" t="str">
        <x:v>AFLT</x:v>
      </x:c>
      <x:c r="B1570" t="str">
        <x:v>1П2026</x:v>
      </x:c>
      <x:c r="C1570" s="73" t="str">
        <x:v>EBITDA</x:v>
      </x:c>
      <x:c r="D1570" s="73" t="str">
        <x:v>Опубликованный показатель</x:v>
      </x:c>
      <x:c r="E1570" s="87" t="n">
        <x:v>82197</x:v>
      </x:c>
      <x:c r="F1570" s="73" t="str">
        <x:v>Официальный пресс-релиз Аэрофлота за 1П2026</x:v>
      </x:c>
      <x:c r="G1570" s="73" t="str">
        <x:v>Таблица основных финансовых показателей</x:v>
      </x:c>
      <x:c r="H1570" s="73" t="str">
        <x:v>Определение компании</x:v>
      </x:c>
      <x:c r="I1570" s="89"/>
      <x:c r="J1570" s="88"/>
      <x:c r="K1570"/>
    </x:row>
    <x:row r="1571">
      <x:c r="A1571" t="str">
        <x:v>AFLT</x:v>
      </x:c>
      <x:c r="B1571" t="str">
        <x:v>1П2026</x:v>
      </x:c>
      <x:c r="C1571" s="73" t="str">
        <x:v>Скорректированная EBITDA</x:v>
      </x:c>
      <x:c r="D1571" s="73" t="str">
        <x:v>Совокупная корректировка к EBITDA</x:v>
      </x:c>
      <x:c r="E1571" s="87" t="n">
        <x:v>885</x:v>
      </x:c>
      <x:c r="F1571" s="73" t="str">
        <x:v>Официальный пресс-релиз Аэрофлота за 1П2026</x:v>
      </x:c>
      <x:c r="G1571" s="73" t="str">
        <x:v>Таблица основных финансовых показателей</x:v>
      </x:c>
      <x:c r="H1571" s="73" t="str">
        <x:v>Корректировка разовых эффектов</x:v>
      </x:c>
      <x:c r="I1571" s="89"/>
      <x:c r="J1571" s="88"/>
      <x:c r="K1571"/>
    </x:row>
    <x:row r="1572">
      <x:c r="A1572" t="str">
        <x:v>AFLT</x:v>
      </x:c>
      <x:c r="B1572" t="str">
        <x:v>1П2026</x:v>
      </x:c>
      <x:c r="C1572" s="73" t="str">
        <x:v>Скорректированная EBITDA</x:v>
      </x:c>
      <x:c r="D1572" s="73" t="str">
        <x:v>ИТОГО — расчет</x:v>
      </x:c>
      <x:c r="E1572" s="84" t="n">
        <x:f>SUM(E1570:E1571)</x:f>
        <x:v>83082</x:v>
      </x:c>
      <x:c r="F1572" s="73" t="str">
        <x:v>Официальный пресс-релиз Аэрофлота за 1П2026</x:v>
      </x:c>
      <x:c r="G1572" s="73" t="str">
        <x:v>Таблица основных финансовых показателей</x:v>
      </x:c>
      <x:c r="H1572" s="73" t="str">
        <x:v>Опубликовано 83 082 млн руб.; мост совпадает точно</x:v>
      </x:c>
      <x:c r="I1572" s="89" t="n">
        <x:v>83082</x:v>
      </x:c>
      <x:c r="J1572" s="85" t="n">
        <x:f>ROUND(E1572-I1572,6)</x:f>
        <x:v>0</x:v>
      </x:c>
      <x:c r="K1572"/>
    </x:row>
    <x:row r="1573">
      <x:c r="A1573" t="str">
        <x:v>AFLT</x:v>
      </x:c>
      <x:c r="B1573" t="str">
        <x:v>1П2026</x:v>
      </x:c>
      <x:c r="C1573" s="73" t="str">
        <x:v>Чистый долг компании</x:v>
      </x:c>
      <x:c r="D1573" s="73" t="str">
        <x:v>Общий долг</x:v>
      </x:c>
      <x:c r="E1573" s="87" t="n">
        <x:v>574667</x:v>
      </x:c>
      <x:c r="F1573" s="73" t="str">
        <x:v>Официальный пресс-релиз Аэрофлота за 1П2026</x:v>
      </x:c>
      <x:c r="G1573" s="73" t="str">
        <x:v>Таблица «Долговая нагрузка»</x:v>
      </x:c>
      <x:c r="H1573" s="73" t="str">
        <x:v>Включает кредиты и займы, аренду и пенсионные обязательства</x:v>
      </x:c>
      <x:c r="I1573" s="89"/>
      <x:c r="J1573" s="88"/>
      <x:c r="K1573"/>
    </x:row>
    <x:row r="1574">
      <x:c r="A1574" t="str">
        <x:v>AFLT</x:v>
      </x:c>
      <x:c r="B1574" t="str">
        <x:v>1П2026</x:v>
      </x:c>
      <x:c r="C1574" s="73" t="str">
        <x:v>Чистый долг компании</x:v>
      </x:c>
      <x:c r="D1574" s="73" t="str">
        <x:v>Денежные средства и краткосрочные финансовые инвестиции</x:v>
      </x:c>
      <x:c r="E1574" s="87" t="n">
        <x:v>-63167</x:v>
      </x:c>
      <x:c r="F1574" s="73" t="str">
        <x:v>Официальный пресс-релиз Аэрофлота за 1П2026</x:v>
      </x:c>
      <x:c r="G1574" s="73" t="str">
        <x:v>Таблица «Долговая нагрузка»</x:v>
      </x:c>
      <x:c r="H1574" s="73" t="str">
        <x:v>Вычитаются по определению компании</x:v>
      </x:c>
      <x:c r="I1574" s="89"/>
      <x:c r="J1574" s="88"/>
      <x:c r="K1574"/>
    </x:row>
    <x:row r="1575">
      <x:c r="A1575" t="str">
        <x:v>AFLT</x:v>
      </x:c>
      <x:c r="B1575" t="str">
        <x:v>1П2026</x:v>
      </x:c>
      <x:c r="C1575" s="73" t="str">
        <x:v>Чистый долг компании</x:v>
      </x:c>
      <x:c r="D1575" s="73" t="str">
        <x:v>ИТОГО: общий долг − деньги и краткосрочные инвестиции</x:v>
      </x:c>
      <x:c r="E1575" s="84" t="n">
        <x:f>SUM(E1573:E1574)</x:f>
        <x:v>511500</x:v>
      </x:c>
      <x:c r="F1575" s="73" t="str">
        <x:v>Официальный пресс-релиз Аэрофлота за 1П2026</x:v>
      </x:c>
      <x:c r="G1575" s="73" t="str">
        <x:v>Таблица «Долговая нагрузка»</x:v>
      </x:c>
      <x:c r="H1575" s="73" t="str">
        <x:v>Опубликованный ЧД 511 500 млн руб.; мост совпадает точно</x:v>
      </x:c>
      <x:c r="I1575" s="89" t="n">
        <x:v>511500</x:v>
      </x:c>
      <x:c r="J1575" s="85" t="n">
        <x:f>ROUND(E1575-I1575,6)</x:f>
        <x:v>0</x:v>
      </x:c>
      <x:c r="K1575"/>
    </x:row>
    <x:row r="1576">
      <x:c r="A1576" t="str">
        <x:v>AFLT</x:v>
      </x:c>
      <x:c r="B1576" t="str">
        <x:v>1П2026</x:v>
      </x:c>
      <x:c r="C1576" s="73" t="str">
        <x:v>Аренда</x:v>
      </x:c>
      <x:c r="D1576" s="73" t="str">
        <x:v>Обязательства по аренде</x:v>
      </x:c>
      <x:c r="E1576" s="87" t="n">
        <x:v>399030</x:v>
      </x:c>
      <x:c r="F1576" s="73" t="str">
        <x:v>Официальный пресс-релиз Аэрофлота за 1П2026</x:v>
      </x:c>
      <x:c r="G1576" s="73" t="str">
        <x:v>Таблица «Долговая нагрузка»</x:v>
      </x:c>
      <x:c r="H1576" s="73" t="str">
        <x:v>Включены в общий долг</x:v>
      </x:c>
      <x:c r="I1576" s="89"/>
      <x:c r="J1576" s="88"/>
      <x:c r="K1576"/>
    </x:row>
    <x:row r="1577">
      <x:c r="A1577" t="str">
        <x:v>AFLT</x:v>
      </x:c>
      <x:c r="B1577" t="str">
        <x:v>1П2026</x:v>
      </x:c>
      <x:c r="C1577" s="73" t="str">
        <x:v>Капитал</x:v>
      </x:c>
      <x:c r="D1577" s="73" t="str">
        <x:v>Неконтролирующая доля</x:v>
      </x:c>
      <x:c r="E1577" s="87" t="n">
        <x:v>-15823</x:v>
      </x:c>
      <x:c r="F1577" s="73" t="str">
        <x:v>AFLT_2026H1_official.pdf</x:v>
      </x:c>
      <x:c r="G1577" s="73" t="str">
        <x:v>PDF стр. 5</x:v>
      </x:c>
      <x:c r="H1577" s="73" t="str">
        <x:v>Отдельно от капитала акционеров 44 933</x:v>
      </x:c>
      <x:c r="I1577" s="89"/>
      <x:c r="J1577" s="88"/>
      <x:c r="K1577"/>
    </x:row>
    <x:row r="1578">
      <x:c r="A1578" t="str">
        <x:v>AFLT</x:v>
      </x:c>
      <x:c r="B1578" t="str">
        <x:v>1П2026</x:v>
      </x:c>
      <x:c r="C1578" s="73" t="str">
        <x:v>Капитал</x:v>
      </x:c>
      <x:c r="D1578" s="73" t="str">
        <x:v>Итого капитал группы</x:v>
      </x:c>
      <x:c r="E1578" s="87" t="n">
        <x:v>29110</x:v>
      </x:c>
      <x:c r="F1578" s="73" t="str">
        <x:v>AFLT_2026H1_official.pdf</x:v>
      </x:c>
      <x:c r="G1578" s="73" t="str">
        <x:v>PDF стр. 5</x:v>
      </x:c>
      <x:c r="H1578" s="73" t="str">
        <x:v>Капитал акционеров 44 933 + НКД −15 823</x:v>
      </x:c>
      <x:c r="I1578" s="89"/>
      <x:c r="J1578" s="88"/>
      <x:c r="K1578"/>
    </x:row>
    <x:row r="1579">
      <x:c r="A1579" t="str">
        <x:v>AFLT</x:v>
      </x:c>
      <x:c r="B1579" t="str">
        <x:v>1П2026</x:v>
      </x:c>
      <x:c r="C1579" s="73" t="str">
        <x:v>Чистая прибыль группы</x:v>
      </x:c>
      <x:c r="D1579" s="73" t="str">
        <x:v>МСФО</x:v>
      </x:c>
      <x:c r="E1579" s="87" t="n">
        <x:v>-561</x:v>
      </x:c>
      <x:c r="F1579" s="73" t="str">
        <x:v>AFLT_2026H1_official.pdf</x:v>
      </x:c>
      <x:c r="G1579" s="73" t="str">
        <x:v>PDF стр. 3</x:v>
      </x:c>
      <x:c r="H1579" s="73" t="str">
        <x:v>Не подменяет убыток акционеров −367</x:v>
      </x:c>
      <x:c r="I1579" s="89"/>
      <x:c r="J1579" s="88"/>
      <x:c r="K1579"/>
    </x:row>
    <x:row r="1581">
      <x:c r="A1581" t="str">
        <x:v>MAGN</x:v>
      </x:c>
      <x:c r="B1581" t="str">
        <x:v>2025</x:v>
      </x:c>
      <x:c r="C1581" s="73" t="str">
        <x:v>Чистый долг компании</x:v>
      </x:c>
      <x:c r="D1581" s="73" t="str">
        <x:v>Кредиты и займы</x:v>
      </x:c>
      <x:c r="E1581" s="87" t="n">
        <x:v>38314</x:v>
      </x:c>
      <x:c r="F1581" s="73" t="str">
        <x:v>ММК_МСФО_2025.pdf</x:v>
      </x:c>
      <x:c r="G1581" s="73" t="str">
        <x:v>PDF стр. 48</x:v>
      </x:c>
      <x:c r="H1581" s="73" t="str">
        <x:v>15 513 долгосрочные + 22 801 краткосрочные</x:v>
      </x:c>
      <x:c r="I1581" s="89"/>
      <x:c r="J1581" s="88"/>
      <x:c r="K1581"/>
    </x:row>
    <x:row r="1582">
      <x:c r="A1582" t="str">
        <x:v>MAGN</x:v>
      </x:c>
      <x:c r="B1582" t="str">
        <x:v>2025</x:v>
      </x:c>
      <x:c r="C1582" s="73" t="str">
        <x:v>Чистый долг компании</x:v>
      </x:c>
      <x:c r="D1582" s="73" t="str">
        <x:v>Обязательства по аренде</x:v>
      </x:c>
      <x:c r="E1582" s="87" t="n">
        <x:v>2170</x:v>
      </x:c>
      <x:c r="F1582" s="73" t="str">
        <x:v>ММК_МСФО_2025.pdf</x:v>
      </x:c>
      <x:c r="G1582" s="73" t="str">
        <x:v>PDF стр. 10, 48</x:v>
      </x:c>
      <x:c r="H1582" s="73" t="str">
        <x:v>1 763 долгосрочные + 407 краткосрочные; включены в определение компании</x:v>
      </x:c>
      <x:c r="I1582" s="89"/>
      <x:c r="J1582" s="88"/>
      <x:c r="K1582"/>
    </x:row>
    <x:row r="1583">
      <x:c r="A1583" t="str">
        <x:v>MAGN</x:v>
      </x:c>
      <x:c r="B1583" t="str">
        <x:v>2025</x:v>
      </x:c>
      <x:c r="C1583" s="73" t="str">
        <x:v>Чистый долг компании</x:v>
      </x:c>
      <x:c r="D1583" s="73" t="str">
        <x:v>Денежные средства и эквиваленты</x:v>
      </x:c>
      <x:c r="E1583" s="87" t="n">
        <x:v>-38107</x:v>
      </x:c>
      <x:c r="F1583" s="73" t="str">
        <x:v>ММК_МСФО_2025.pdf</x:v>
      </x:c>
      <x:c r="G1583" s="73" t="str">
        <x:v>PDF стр. 10, 48</x:v>
      </x:c>
      <x:c r="H1583" s="73" t="str">
        <x:v>Вычитаются по определению компании</x:v>
      </x:c>
      <x:c r="I1583" s="89"/>
      <x:c r="J1583" s="88"/>
      <x:c r="K1583"/>
    </x:row>
    <x:row r="1584">
      <x:c r="A1584" t="str">
        <x:v>MAGN</x:v>
      </x:c>
      <x:c r="B1584" t="str">
        <x:v>2025</x:v>
      </x:c>
      <x:c r="C1584" s="73" t="str">
        <x:v>Чистый долг компании</x:v>
      </x:c>
      <x:c r="D1584" s="73" t="str">
        <x:v>Банковские депозиты / процентный доход</x:v>
      </x:c>
      <x:c r="E1584" s="87" t="n">
        <x:v>-82300</x:v>
      </x:c>
      <x:c r="F1584" s="73" t="str">
        <x:v>ММК_МСФО_2025.pdf</x:v>
      </x:c>
      <x:c r="G1584" s="73" t="str">
        <x:v>PDF стр. 48</x:v>
      </x:c>
      <x:c r="H1584" s="73" t="str">
        <x:v>Вычитаются по определению компании</x:v>
      </x:c>
      <x:c r="I1584" s="89"/>
      <x:c r="J1584" s="88"/>
      <x:c r="K1584"/>
    </x:row>
    <x:row r="1585">
      <x:c r="A1585" t="str">
        <x:v>MAGN</x:v>
      </x:c>
      <x:c r="B1585" t="str">
        <x:v>2025</x:v>
      </x:c>
      <x:c r="C1585" s="73" t="str">
        <x:v>Чистый долг компании</x:v>
      </x:c>
      <x:c r="D1585" s="73" t="str">
        <x:v>ИТОГО — кредиты + аренда − деньги − депозиты</x:v>
      </x:c>
      <x:c r="E1585" s="84" t="n">
        <x:f>SUM(E1581:E1584)</x:f>
        <x:v>-79923</x:v>
      </x:c>
      <x:c r="F1585" s="73" t="str">
        <x:v>ММК_МСФО_2025.pdf</x:v>
      </x:c>
      <x:c r="G1585" s="73" t="str">
        <x:v>PDF стр. 48</x:v>
      </x:c>
      <x:c r="H1585" s="73" t="str">
        <x:v>Положительная денежная позиция 79 923; в базе ЧД показан со знаком минус</x:v>
      </x:c>
      <x:c r="I1585" s="89" t="n">
        <x:v>-79923</x:v>
      </x:c>
      <x:c r="J1585" s="85" t="n">
        <x:f>ROUND(E1585-I1585,6)</x:f>
        <x:v>0</x:v>
      </x:c>
      <x:c r="K1585"/>
    </x:row>
    <x:row r="1587">
      <x:c r="A1587" t="str">
        <x:v>MAGN</x:v>
      </x:c>
      <x:c r="B1587" t="str">
        <x:v>1П2025</x:v>
      </x:c>
      <x:c r="C1587" s="73" t="str">
        <x:v>Чистый долг компании</x:v>
      </x:c>
      <x:c r="D1587" s="73" t="str">
        <x:v>Кредиты и займы</x:v>
      </x:c>
      <x:c r="E1587" s="87" t="n">
        <x:v>45131</x:v>
      </x:c>
      <x:c r="F1587" s="73" t="str">
        <x:v>MAGN_2025_6_6M_МСФО.pdf (официальная отчетность ММК; зеркало FinanceMarker)</x:v>
      </x:c>
      <x:c r="G1587" s="73" t="str">
        <x:v>PDF стр. 19-20</x:v>
      </x:c>
      <x:c r="H1587" s="73" t="str">
        <x:v>4 585 долгосрочные + 40 546 краткосрочные</x:v>
      </x:c>
      <x:c r="I1587" s="89"/>
      <x:c r="J1587" s="88"/>
      <x:c r="K1587"/>
    </x:row>
    <x:row r="1588">
      <x:c r="A1588" t="str">
        <x:v>MAGN</x:v>
      </x:c>
      <x:c r="B1588" t="str">
        <x:v>1П2025</x:v>
      </x:c>
      <x:c r="C1588" s="73" t="str">
        <x:v>Чистый долг компании</x:v>
      </x:c>
      <x:c r="D1588" s="73" t="str">
        <x:v>Обязательства по аренде</x:v>
      </x:c>
      <x:c r="E1588" s="87" t="n">
        <x:v>1923</x:v>
      </x:c>
      <x:c r="F1588" s="73" t="str">
        <x:v>MAGN_2025_6_6M_МСФО.pdf (официальная отчетность ММК; зеркало FinanceMarker)</x:v>
      </x:c>
      <x:c r="G1588" s="73" t="str">
        <x:v>PDF стр. 19</x:v>
      </x:c>
      <x:c r="H1588" s="73" t="str">
        <x:v>Включены в определение компании</x:v>
      </x:c>
      <x:c r="I1588" s="89"/>
      <x:c r="J1588" s="88"/>
      <x:c r="K1588"/>
    </x:row>
    <x:row r="1589">
      <x:c r="A1589" t="str">
        <x:v>MAGN</x:v>
      </x:c>
      <x:c r="B1589" t="str">
        <x:v>1П2025</x:v>
      </x:c>
      <x:c r="C1589" s="73" t="str">
        <x:v>Чистый долг компании</x:v>
      </x:c>
      <x:c r="D1589" s="73" t="str">
        <x:v>Денежные средства и эквиваленты</x:v>
      </x:c>
      <x:c r="E1589" s="87" t="n">
        <x:v>-31735</x:v>
      </x:c>
      <x:c r="F1589" s="73" t="str">
        <x:v>MAGN_2025_6_6M_МСФО.pdf (официальная отчетность ММК; зеркало FinanceMarker)</x:v>
      </x:c>
      <x:c r="G1589" s="73" t="str">
        <x:v>PDF стр. 18-19</x:v>
      </x:c>
      <x:c r="H1589" s="73" t="str">
        <x:v>Вычитаются по определению компании</x:v>
      </x:c>
      <x:c r="I1589" s="89"/>
      <x:c r="J1589" s="88"/>
      <x:c r="K1589"/>
    </x:row>
    <x:row r="1590">
      <x:c r="A1590" t="str">
        <x:v>MAGN</x:v>
      </x:c>
      <x:c r="B1590" t="str">
        <x:v>1П2025</x:v>
      </x:c>
      <x:c r="C1590" s="73" t="str">
        <x:v>Чистый долг компании</x:v>
      </x:c>
      <x:c r="D1590" s="73" t="str">
        <x:v>Банковские депозиты / процентный доход</x:v>
      </x:c>
      <x:c r="E1590" s="87" t="n">
        <x:v>-84995</x:v>
      </x:c>
      <x:c r="F1590" s="73" t="str">
        <x:v>MAGN_2025_6_6M_МСФО.pdf (официальная отчетность ММК; зеркало FinanceMarker)</x:v>
      </x:c>
      <x:c r="G1590" s="73" t="str">
        <x:v>PDF стр. 19</x:v>
      </x:c>
      <x:c r="H1590" s="73" t="str">
        <x:v>Вычитаются по определению компании</x:v>
      </x:c>
      <x:c r="I1590" s="89"/>
      <x:c r="J1590" s="88"/>
      <x:c r="K1590"/>
    </x:row>
    <x:row r="1591">
      <x:c r="A1591" t="str">
        <x:v>MAGN</x:v>
      </x:c>
      <x:c r="B1591" t="str">
        <x:v>1П2025</x:v>
      </x:c>
      <x:c r="C1591" s="73" t="str">
        <x:v>Чистый долг компании</x:v>
      </x:c>
      <x:c r="D1591" s="73" t="str">
        <x:v>ИТОГО — кредиты + аренда − деньги − депозиты</x:v>
      </x:c>
      <x:c r="E1591" s="84" t="n">
        <x:f>SUM(E1587:E1590)</x:f>
        <x:v>-69676</x:v>
      </x:c>
      <x:c r="F1591" s="73" t="str">
        <x:v>MAGN_2025_6_6M_МСФО.pdf (официальная отчетность ММК; зеркало FinanceMarker)</x:v>
      </x:c>
      <x:c r="G1591" s="73" t="str">
        <x:v>PDF стр. 19</x:v>
      </x:c>
      <x:c r="H1591" s="73" t="str">
        <x:v>Положительная денежная позиция 69 676; в базе ЧД показан со знаком минус</x:v>
      </x:c>
      <x:c r="I1591" s="89" t="n">
        <x:v>-69676</x:v>
      </x:c>
      <x:c r="J1591" s="85" t="n">
        <x:f>ROUND(E1591-I1591,6)</x:f>
        <x:v>0</x:v>
      </x:c>
      <x:c r="K1591"/>
    </x:row>
    <x:row r="1593">
      <x:c r="A1593" t="str">
        <x:v>MAGN</x:v>
      </x:c>
      <x:c r="B1593" t="str">
        <x:v>1П2026</x:v>
      </x:c>
      <x:c r="C1593" s="73" t="str">
        <x:v>Чистый долг компании</x:v>
      </x:c>
      <x:c r="D1593" s="73" t="str">
        <x:v>Кредиты и займы</x:v>
      </x:c>
      <x:c r="E1593" s="87" t="n">
        <x:v>52606</x:v>
      </x:c>
      <x:c r="F1593" s="73" t="str">
        <x:v>MAGN_2026H1.pdf</x:v>
      </x:c>
      <x:c r="G1593" s="73" t="str">
        <x:v>PDF стр. 19</x:v>
      </x:c>
      <x:c r="H1593" s="73" t="str">
        <x:v>21 108 долгосрочные + 31 498 краткосрочные</x:v>
      </x:c>
      <x:c r="I1593" s="89"/>
      <x:c r="J1593" s="88"/>
      <x:c r="K1593"/>
    </x:row>
    <x:row r="1594">
      <x:c r="A1594" t="str">
        <x:v>MAGN</x:v>
      </x:c>
      <x:c r="B1594" t="str">
        <x:v>1П2026</x:v>
      </x:c>
      <x:c r="C1594" s="73" t="str">
        <x:v>Чистый долг компании</x:v>
      </x:c>
      <x:c r="D1594" s="73" t="str">
        <x:v>Обязательства по аренде</x:v>
      </x:c>
      <x:c r="E1594" s="87" t="n">
        <x:v>2259</x:v>
      </x:c>
      <x:c r="F1594" s="73" t="str">
        <x:v>MAGN_2026H1.pdf</x:v>
      </x:c>
      <x:c r="G1594" s="73" t="str">
        <x:v>PDF стр. 7, 19</x:v>
      </x:c>
      <x:c r="H1594" s="73" t="str">
        <x:v>1 838 долгосрочные + 421 краткосрочные; включены в определение компании</x:v>
      </x:c>
      <x:c r="I1594" s="89"/>
      <x:c r="J1594" s="88"/>
      <x:c r="K1594"/>
    </x:row>
    <x:row r="1595">
      <x:c r="A1595" t="str">
        <x:v>MAGN</x:v>
      </x:c>
      <x:c r="B1595" t="str">
        <x:v>1П2026</x:v>
      </x:c>
      <x:c r="C1595" s="73" t="str">
        <x:v>Чистый долг компании</x:v>
      </x:c>
      <x:c r="D1595" s="73" t="str">
        <x:v>Денежные средства и эквиваленты</x:v>
      </x:c>
      <x:c r="E1595" s="87" t="n">
        <x:v>-19821</x:v>
      </x:c>
      <x:c r="F1595" s="73" t="str">
        <x:v>MAGN_2026H1.pdf</x:v>
      </x:c>
      <x:c r="G1595" s="73" t="str">
        <x:v>PDF стр. 7, 19</x:v>
      </x:c>
      <x:c r="H1595" s="73" t="str">
        <x:v>Вычитаются по определению компании</x:v>
      </x:c>
      <x:c r="I1595" s="89"/>
      <x:c r="J1595" s="88"/>
      <x:c r="K1595"/>
    </x:row>
    <x:row r="1596">
      <x:c r="A1596" t="str">
        <x:v>MAGN</x:v>
      </x:c>
      <x:c r="B1596" t="str">
        <x:v>1П2026</x:v>
      </x:c>
      <x:c r="C1596" s="73" t="str">
        <x:v>Чистый долг компании</x:v>
      </x:c>
      <x:c r="D1596" s="73" t="str">
        <x:v>Банковские депозиты / процентный доход</x:v>
      </x:c>
      <x:c r="E1596" s="87" t="n">
        <x:v>-115776</x:v>
      </x:c>
      <x:c r="F1596" s="73" t="str">
        <x:v>MAGN_2026H1.pdf</x:v>
      </x:c>
      <x:c r="G1596" s="73" t="str">
        <x:v>PDF стр. 19</x:v>
      </x:c>
      <x:c r="H1596" s="73" t="str">
        <x:v>Вычитаются по определению компании</x:v>
      </x:c>
      <x:c r="I1596" s="89"/>
      <x:c r="J1596" s="88"/>
      <x:c r="K1596"/>
    </x:row>
    <x:row r="1597">
      <x:c r="A1597" t="str">
        <x:v>MAGN</x:v>
      </x:c>
      <x:c r="B1597" t="str">
        <x:v>1П2026</x:v>
      </x:c>
      <x:c r="C1597" s="73" t="str">
        <x:v>Чистый долг компании</x:v>
      </x:c>
      <x:c r="D1597" s="73" t="str">
        <x:v>ИТОГО — кредиты + аренда − деньги − депозиты</x:v>
      </x:c>
      <x:c r="E1597" s="84" t="n">
        <x:f>SUM(E1593:E1596)</x:f>
        <x:v>-80732</x:v>
      </x:c>
      <x:c r="F1597" s="73" t="str">
        <x:v>MAGN_2026H1.pdf</x:v>
      </x:c>
      <x:c r="G1597" s="73" t="str">
        <x:v>PDF стр. 19</x:v>
      </x:c>
      <x:c r="H1597" s="73" t="str">
        <x:v>Положительная денежная позиция 80 732; в базе ЧД показан со знаком минус</x:v>
      </x:c>
      <x:c r="I1597" s="89" t="n">
        <x:v>-80732</x:v>
      </x:c>
      <x:c r="J1597" s="85" t="n">
        <x:f>ROUND(E1597-I1597,6)</x:f>
        <x:v>0</x:v>
      </x:c>
      <x:c r="K1597"/>
    </x:row>
    <x:row r="1599">
      <x:c r="A1599" t="str">
        <x:v>MAGN</x:v>
      </x:c>
      <x:c r="B1599" t="str">
        <x:v>2025</x:v>
      </x:c>
      <x:c r="C1599" s="73" t="str">
        <x:v>Скорректированная EBITDA</x:v>
      </x:c>
      <x:c r="D1599" s="73" t="str">
        <x:v>Прибыль от операционной деятельности</x:v>
      </x:c>
      <x:c r="E1599" s="87" t="n">
        <x:v>21444</x:v>
      </x:c>
      <x:c r="F1599" s="73" t="str">
        <x:v>ММК_МСФО_2025.pdf</x:v>
      </x:c>
      <x:c r="G1599" s="73" t="str">
        <x:v>PDF стр. 37</x:v>
      </x:c>
      <x:c r="H1599" s="73" t="str">
        <x:v>Компонент раскрытой методики</x:v>
      </x:c>
      <x:c r="I1599" s="89"/>
      <x:c r="J1599" s="88"/>
      <x:c r="K1599"/>
    </x:row>
    <x:row r="1600">
      <x:c r="A1600" t="str">
        <x:v>MAGN</x:v>
      </x:c>
      <x:c r="B1600" t="str">
        <x:v>2025</x:v>
      </x:c>
      <x:c r="C1600" s="73" t="str">
        <x:v>Скорректированная EBITDA</x:v>
      </x:c>
      <x:c r="D1600" s="73" t="str">
        <x:v>Амортизация</x:v>
      </x:c>
      <x:c r="E1600" s="87" t="n">
        <x:v>60064</x:v>
      </x:c>
      <x:c r="F1600" s="73" t="str">
        <x:v>ММК_МСФО_2025.pdf</x:v>
      </x:c>
      <x:c r="G1600" s="73" t="str">
        <x:v>PDF стр. 37</x:v>
      </x:c>
      <x:c r="H1600" s="73" t="str">
        <x:v>Добавляется к операционной прибыли</x:v>
      </x:c>
      <x:c r="I1600" s="89"/>
      <x:c r="J1600" s="88"/>
      <x:c r="K1600"/>
    </x:row>
    <x:row r="1601">
      <x:c r="A1601" t="str">
        <x:v>MAGN</x:v>
      </x:c>
      <x:c r="B1601" t="str">
        <x:v>2025</x:v>
      </x:c>
      <x:c r="C1601" s="73" t="str">
        <x:v>Скорректированная EBITDA</x:v>
      </x:c>
      <x:c r="D1601" s="73" t="str">
        <x:v>Прибыль от выбытия основных средств</x:v>
      </x:c>
      <x:c r="E1601" s="87" t="n">
        <x:v>-760</x:v>
      </x:c>
      <x:c r="F1601" s="73" t="str">
        <x:v>ММК_МСФО_2025.pdf</x:v>
      </x:c>
      <x:c r="G1601" s="73" t="str">
        <x:v>PDF стр. 37</x:v>
      </x:c>
      <x:c r="H1601" s="73" t="str">
        <x:v>Исключается из операционной прибыли</x:v>
      </x:c>
      <x:c r="I1601" s="89"/>
      <x:c r="J1601" s="88"/>
      <x:c r="K1601"/>
    </x:row>
    <x:row r="1602">
      <x:c r="A1602" t="str">
        <x:v>MAGN</x:v>
      </x:c>
      <x:c r="B1602" t="str">
        <x:v>2025</x:v>
      </x:c>
      <x:c r="C1602" s="73" t="str">
        <x:v>Скорректированная EBITDA</x:v>
      </x:c>
      <x:c r="D1602" s="73" t="str">
        <x:v>Доход от инвестиций</x:v>
      </x:c>
      <x:c r="E1602" s="87" t="n">
        <x:v>9</x:v>
      </x:c>
      <x:c r="F1602" s="73" t="str">
        <x:v>ММК_МСФО_2025.pdf</x:v>
      </x:c>
      <x:c r="G1602" s="73" t="str">
        <x:v>PDF стр. 37</x:v>
      </x:c>
      <x:c r="H1602" s="73" t="str">
        <x:v>Знак воспроизводит раскрытый мост EBITDA</x:v>
      </x:c>
      <x:c r="I1602" s="89"/>
      <x:c r="J1602" s="88"/>
      <x:c r="K1602"/>
    </x:row>
    <x:row r="1603">
      <x:c r="A1603" t="str">
        <x:v>MAGN</x:v>
      </x:c>
      <x:c r="B1603" t="str">
        <x:v>2025</x:v>
      </x:c>
      <x:c r="C1603" s="73" t="str">
        <x:v>Скорректированная EBITDA</x:v>
      </x:c>
      <x:c r="D1603" s="73" t="str">
        <x:v>ИТОГО — раскрытая методика компании</x:v>
      </x:c>
      <x:c r="E1603" s="84" t="n">
        <x:f>SUM(E1599:E1602)</x:f>
        <x:v>80757</x:v>
      </x:c>
      <x:c r="F1603" s="73" t="str">
        <x:v>ММК_МСФО_2025.pdf</x:v>
      </x:c>
      <x:c r="G1603" s="73" t="str">
        <x:v>PDF стр. 37</x:v>
      </x:c>
      <x:c r="H1603" s="73" t="str">
        <x:v>Опубликовано как EBITDA 80 757; в базе классифицировано как скорректированная EBITDA</x:v>
      </x:c>
      <x:c r="I1603" s="89" t="n">
        <x:v>80757</x:v>
      </x:c>
      <x:c r="J1603" s="85" t="n">
        <x:f>ROUND(E1603-I1603,6)</x:f>
        <x:v>0</x:v>
      </x:c>
      <x:c r="K1603"/>
    </x:row>
    <x:row r="1605">
      <x:c r="A1605" t="str">
        <x:v>MAGN</x:v>
      </x:c>
      <x:c r="B1605" t="str">
        <x:v>1П2025</x:v>
      </x:c>
      <x:c r="C1605" s="73" t="str">
        <x:v>Скорректированная EBITDA</x:v>
      </x:c>
      <x:c r="D1605" s="73" t="str">
        <x:v>Прибыль от операционной деятельности</x:v>
      </x:c>
      <x:c r="E1605" s="87" t="n">
        <x:v>14191</x:v>
      </x:c>
      <x:c r="F1605" s="73" t="str">
        <x:v>MAGN_2026H1.pdf</x:v>
      </x:c>
      <x:c r="G1605" s="73" t="str">
        <x:v>PDF стр. 14</x:v>
      </x:c>
      <x:c r="H1605" s="73" t="str">
        <x:v>Сравнительный показатель</x:v>
      </x:c>
      <x:c r="I1605" s="89"/>
      <x:c r="J1605" s="88"/>
      <x:c r="K1605"/>
    </x:row>
    <x:row r="1606">
      <x:c r="A1606" t="str">
        <x:v>MAGN</x:v>
      </x:c>
      <x:c r="B1606" t="str">
        <x:v>1П2025</x:v>
      </x:c>
      <x:c r="C1606" s="73" t="str">
        <x:v>Скорректированная EBITDA</x:v>
      </x:c>
      <x:c r="D1606" s="73" t="str">
        <x:v>Амортизация</x:v>
      </x:c>
      <x:c r="E1606" s="87" t="n">
        <x:v>28324</x:v>
      </x:c>
      <x:c r="F1606" s="73" t="str">
        <x:v>MAGN_2026H1.pdf</x:v>
      </x:c>
      <x:c r="G1606" s="73" t="str">
        <x:v>PDF стр. 14</x:v>
      </x:c>
      <x:c r="H1606" s="73" t="str">
        <x:v>Сравнительный показатель</x:v>
      </x:c>
      <x:c r="I1606" s="89"/>
      <x:c r="J1606" s="88"/>
      <x:c r="K1606"/>
    </x:row>
    <x:row r="1607">
      <x:c r="A1607" t="str">
        <x:v>MAGN</x:v>
      </x:c>
      <x:c r="B1607" t="str">
        <x:v>1П2025</x:v>
      </x:c>
      <x:c r="C1607" s="73" t="str">
        <x:v>Скорректированная EBITDA</x:v>
      </x:c>
      <x:c r="D1607" s="73" t="str">
        <x:v>Прибыль от выбытия основных средств</x:v>
      </x:c>
      <x:c r="E1607" s="87" t="n">
        <x:v>-730</x:v>
      </x:c>
      <x:c r="F1607" s="73" t="str">
        <x:v>MAGN_2026H1.pdf</x:v>
      </x:c>
      <x:c r="G1607" s="73" t="str">
        <x:v>PDF стр. 14</x:v>
      </x:c>
      <x:c r="H1607" s="73" t="str">
        <x:v>Исключается из операционной прибыли</x:v>
      </x:c>
      <x:c r="I1607" s="89"/>
      <x:c r="J1607" s="88"/>
      <x:c r="K1607"/>
    </x:row>
    <x:row r="1608">
      <x:c r="A1608" t="str">
        <x:v>MAGN</x:v>
      </x:c>
      <x:c r="B1608" t="str">
        <x:v>1П2025</x:v>
      </x:c>
      <x:c r="C1608" s="73" t="str">
        <x:v>Скорректированная EBITDA</x:v>
      </x:c>
      <x:c r="D1608" s="73" t="str">
        <x:v>ИТОГО — раскрытая методика компании</x:v>
      </x:c>
      <x:c r="E1608" s="84" t="n">
        <x:f>SUM(E1605:E1607)</x:f>
        <x:v>41785</x:v>
      </x:c>
      <x:c r="F1608" s="73" t="str">
        <x:v>MAGN_2026H1.pdf</x:v>
      </x:c>
      <x:c r="G1608" s="73" t="str">
        <x:v>PDF стр. 14</x:v>
      </x:c>
      <x:c r="H1608" s="73" t="str">
        <x:v>Опубликовано как EBITDA 41 785; в базе классифицировано как скорректированная EBITDA</x:v>
      </x:c>
      <x:c r="I1608" s="89" t="n">
        <x:v>41785</x:v>
      </x:c>
      <x:c r="J1608" s="85" t="n">
        <x:f>ROUND(E1608-I1608,6)</x:f>
        <x:v>0</x:v>
      </x:c>
      <x:c r="K1608"/>
    </x:row>
    <x:row r="1610">
      <x:c r="A1610" t="str">
        <x:v>MAGN</x:v>
      </x:c>
      <x:c r="B1610" t="str">
        <x:v>1П2026</x:v>
      </x:c>
      <x:c r="C1610" s="73" t="str">
        <x:v>Скорректированная EBITDA</x:v>
      </x:c>
      <x:c r="D1610" s="73" t="str">
        <x:v>Убыток от операционной деятельности</x:v>
      </x:c>
      <x:c r="E1610" s="87" t="n">
        <x:v>-1874</x:v>
      </x:c>
      <x:c r="F1610" s="73" t="str">
        <x:v>MAGN_2026H1.pdf</x:v>
      </x:c>
      <x:c r="G1610" s="73" t="str">
        <x:v>PDF стр. 14</x:v>
      </x:c>
      <x:c r="H1610" s="73" t="str">
        <x:v>Компонент раскрытой методики</x:v>
      </x:c>
      <x:c r="I1610" s="89"/>
      <x:c r="J1610" s="88"/>
      <x:c r="K1610"/>
    </x:row>
    <x:row r="1611">
      <x:c r="A1611" t="str">
        <x:v>MAGN</x:v>
      </x:c>
      <x:c r="B1611" t="str">
        <x:v>1П2026</x:v>
      </x:c>
      <x:c r="C1611" s="73" t="str">
        <x:v>Скорректированная EBITDA</x:v>
      </x:c>
      <x:c r="D1611" s="73" t="str">
        <x:v>Амортизация</x:v>
      </x:c>
      <x:c r="E1611" s="87" t="n">
        <x:v>26339</x:v>
      </x:c>
      <x:c r="F1611" s="73" t="str">
        <x:v>MAGN_2026H1.pdf</x:v>
      </x:c>
      <x:c r="G1611" s="73" t="str">
        <x:v>PDF стр. 14</x:v>
      </x:c>
      <x:c r="H1611" s="73" t="str">
        <x:v>Добавляется к операционному результату</x:v>
      </x:c>
      <x:c r="I1611" s="89"/>
      <x:c r="J1611" s="88"/>
      <x:c r="K1611"/>
    </x:row>
    <x:row r="1612">
      <x:c r="A1612" t="str">
        <x:v>MAGN</x:v>
      </x:c>
      <x:c r="B1612" t="str">
        <x:v>1П2026</x:v>
      </x:c>
      <x:c r="C1612" s="73" t="str">
        <x:v>Скорректированная EBITDA</x:v>
      </x:c>
      <x:c r="D1612" s="73" t="str">
        <x:v>Убыток от выбытия основных средств</x:v>
      </x:c>
      <x:c r="E1612" s="87" t="n">
        <x:v>245</x:v>
      </x:c>
      <x:c r="F1612" s="73" t="str">
        <x:v>MAGN_2026H1.pdf</x:v>
      </x:c>
      <x:c r="G1612" s="73" t="str">
        <x:v>PDF стр. 14</x:v>
      </x:c>
      <x:c r="H1612" s="73" t="str">
        <x:v>Добавляется обратно</x:v>
      </x:c>
      <x:c r="I1612" s="89"/>
      <x:c r="J1612" s="88"/>
      <x:c r="K1612"/>
    </x:row>
    <x:row r="1613">
      <x:c r="A1613" t="str">
        <x:v>MAGN</x:v>
      </x:c>
      <x:c r="B1613" t="str">
        <x:v>1П2026</x:v>
      </x:c>
      <x:c r="C1613" s="73" t="str">
        <x:v>Скорректированная EBITDA</x:v>
      </x:c>
      <x:c r="D1613" s="73" t="str">
        <x:v>ИТОГО — раскрытая методика компании</x:v>
      </x:c>
      <x:c r="E1613" s="84" t="n">
        <x:f>SUM(E1610:E1612)</x:f>
        <x:v>24710</x:v>
      </x:c>
      <x:c r="F1613" s="73" t="str">
        <x:v>MAGN_2026H1.pdf</x:v>
      </x:c>
      <x:c r="G1613" s="73" t="str">
        <x:v>PDF стр. 14</x:v>
      </x:c>
      <x:c r="H1613" s="73" t="str">
        <x:v>Опубликовано как EBITDA 24 710; в базе классифицировано как скорректированная EBITDA</x:v>
      </x:c>
      <x:c r="I1613" s="89" t="n">
        <x:v>24710</x:v>
      </x:c>
      <x:c r="J1613" s="85" t="n">
        <x:f>ROUND(E1613-I1613,6)</x:f>
        <x:v>0</x:v>
      </x:c>
      <x:c r="K1613"/>
    </x:row>
    <x:row r="1615">
      <x:c r="A1615" t="str">
        <x:v>MAGN</x:v>
      </x:c>
      <x:c r="B1615" t="str">
        <x:v>2025</x:v>
      </x:c>
      <x:c r="C1615" s="73" t="str">
        <x:v>Выручка</x:v>
      </x:c>
      <x:c r="D1615" s="73" t="str">
        <x:v>МСФО</x:v>
      </x:c>
      <x:c r="E1615" s="87" t="n">
        <x:v>609865</x:v>
      </x:c>
      <x:c r="F1615" s="73" t="str">
        <x:v>ММК_МСФО_2025.pdf</x:v>
      </x:c>
      <x:c r="G1615" s="73" t="str">
        <x:v>PDF стр. 9</x:v>
      </x:c>
      <x:c r="H1615" s="73" t="str">
        <x:v>Подтверждено</x:v>
      </x:c>
      <x:c r="I1615" s="89"/>
      <x:c r="J1615" s="88"/>
      <x:c r="K1615"/>
    </x:row>
    <x:row r="1616">
      <x:c r="A1616" t="str">
        <x:v>MAGN</x:v>
      </x:c>
      <x:c r="B1616" t="str">
        <x:v>2025</x:v>
      </x:c>
      <x:c r="C1616" s="73" t="str">
        <x:v>Чистая прибыль акционеров</x:v>
      </x:c>
      <x:c r="D1616" s="73" t="str">
        <x:v>Убыток, относимый на акционеров Материнской компании</x:v>
      </x:c>
      <x:c r="E1616" s="87" t="n">
        <x:v>-14061</x:v>
      </x:c>
      <x:c r="F1616" s="73" t="str">
        <x:v>ММК_МСФО_2025.pdf</x:v>
      </x:c>
      <x:c r="G1616" s="73" t="str">
        <x:v>PDF стр. 9, 11</x:v>
      </x:c>
      <x:c r="H1616" s="73" t="str">
        <x:v>Убыток группы −14 855; не смешивается с долей акционеров</x:v>
      </x:c>
      <x:c r="I1616" s="89"/>
      <x:c r="J1616" s="88"/>
      <x:c r="K1616"/>
    </x:row>
    <x:row r="1617">
      <x:c r="A1617" t="str">
        <x:v>MAGN</x:v>
      </x:c>
      <x:c r="B1617" t="str">
        <x:v>2025</x:v>
      </x:c>
      <x:c r="C1617" s="73" t="str">
        <x:v>Капитал акционеров</x:v>
      </x:c>
      <x:c r="D1617" s="73" t="str">
        <x:v>Капитал, относимый на акционеров Материнской компании</x:v>
      </x:c>
      <x:c r="E1617" s="87" t="n">
        <x:v>664545</x:v>
      </x:c>
      <x:c r="F1617" s="73" t="str">
        <x:v>ММК_МСФО_2025.pdf</x:v>
      </x:c>
      <x:c r="G1617" s="73" t="str">
        <x:v>PDF стр. 10-11</x:v>
      </x:c>
      <x:c r="H1617" s="73" t="str">
        <x:v>Остаток на 31.12.2025</x:v>
      </x:c>
      <x:c r="I1617" s="89"/>
      <x:c r="J1617" s="88"/>
      <x:c r="K1617"/>
    </x:row>
    <x:row r="1618">
      <x:c r="A1618" t="str">
        <x:v>MAGN</x:v>
      </x:c>
      <x:c r="B1618" t="str">
        <x:v>2025</x:v>
      </x:c>
      <x:c r="C1618" s="73" t="str">
        <x:v>Капитал</x:v>
      </x:c>
      <x:c r="D1618" s="73" t="str">
        <x:v>Неконтролирующие доли участия</x:v>
      </x:c>
      <x:c r="E1618" s="87" t="n">
        <x:v>174</x:v>
      </x:c>
      <x:c r="F1618" s="73" t="str">
        <x:v>ММК_МСФО_2025.pdf</x:v>
      </x:c>
      <x:c r="G1618" s="73" t="str">
        <x:v>PDF стр. 10-11</x:v>
      </x:c>
      <x:c r="H1618" s="73" t="str">
        <x:v>Отдельно от капитала акционеров</x:v>
      </x:c>
      <x:c r="I1618" s="89"/>
      <x:c r="J1618" s="88"/>
      <x:c r="K1618"/>
    </x:row>
    <x:row r="1619">
      <x:c r="A1619" t="str">
        <x:v>MAGN</x:v>
      </x:c>
      <x:c r="B1619" t="str">
        <x:v>2025</x:v>
      </x:c>
      <x:c r="C1619" s="73" t="str">
        <x:v>Капитал</x:v>
      </x:c>
      <x:c r="D1619" s="73" t="str">
        <x:v>Итого капитал группы</x:v>
      </x:c>
      <x:c r="E1619" s="87" t="n">
        <x:v>664719</x:v>
      </x:c>
      <x:c r="F1619" s="73" t="str">
        <x:v>ММК_МСФО_2025.pdf</x:v>
      </x:c>
      <x:c r="G1619" s="73" t="str">
        <x:v>PDF стр. 10-11</x:v>
      </x:c>
      <x:c r="H1619" s="73" t="str">
        <x:v>664 545 + 174</x:v>
      </x:c>
      <x:c r="I1619" s="89"/>
      <x:c r="J1619" s="88"/>
      <x:c r="K1619"/>
    </x:row>
    <x:row r="1621">
      <x:c r="A1621" t="str">
        <x:v>MAGN</x:v>
      </x:c>
      <x:c r="B1621" t="str">
        <x:v>1П2025</x:v>
      </x:c>
      <x:c r="C1621" s="73" t="str">
        <x:v>Выручка</x:v>
      </x:c>
      <x:c r="D1621" s="73" t="str">
        <x:v>МСФО — сравнительный поток</x:v>
      </x:c>
      <x:c r="E1621" s="87" t="n">
        <x:v>313515</x:v>
      </x:c>
      <x:c r="F1621" s="73" t="str">
        <x:v>MAGN_2026H1.pdf</x:v>
      </x:c>
      <x:c r="G1621" s="73" t="str">
        <x:v>PDF стр. 6</x:v>
      </x:c>
      <x:c r="H1621" s="73" t="str">
        <x:v>Подтверждено отчетностью 1П2026</x:v>
      </x:c>
      <x:c r="I1621" s="89"/>
      <x:c r="J1621" s="88"/>
      <x:c r="K1621"/>
    </x:row>
    <x:row r="1622">
      <x:c r="A1622" t="str">
        <x:v>MAGN</x:v>
      </x:c>
      <x:c r="B1622" t="str">
        <x:v>1П2025</x:v>
      </x:c>
      <x:c r="C1622" s="73" t="str">
        <x:v>Чистая прибыль акционеров</x:v>
      </x:c>
      <x:c r="D1622" s="73" t="str">
        <x:v>Прибыль, относимая на акционеров Материнской компании</x:v>
      </x:c>
      <x:c r="E1622" s="87" t="n">
        <x:v>5540</x:v>
      </x:c>
      <x:c r="F1622" s="73" t="str">
        <x:v>MAGN_2026H1.pdf</x:v>
      </x:c>
      <x:c r="G1622" s="73" t="str">
        <x:v>PDF стр. 6, 8</x:v>
      </x:c>
      <x:c r="H1622" s="73" t="str">
        <x:v>Прибыль группы 5 614; не смешивается с долей акционеров</x:v>
      </x:c>
      <x:c r="I1622" s="89"/>
      <x:c r="J1622" s="88"/>
      <x:c r="K1622"/>
    </x:row>
    <x:row r="1623">
      <x:c r="A1623" t="str">
        <x:v>MAGN</x:v>
      </x:c>
      <x:c r="B1623" t="str">
        <x:v>1П2025</x:v>
      </x:c>
      <x:c r="C1623" s="73" t="str">
        <x:v>Капитал акционеров</x:v>
      </x:c>
      <x:c r="D1623" s="73" t="str">
        <x:v>Капитал, относимый на акционеров Материнской компании</x:v>
      </x:c>
      <x:c r="E1623" s="87" t="n">
        <x:v>684317</x:v>
      </x:c>
      <x:c r="F1623" s="73" t="str">
        <x:v>MAGN_2026H1.pdf</x:v>
      </x:c>
      <x:c r="G1623" s="73" t="str">
        <x:v>PDF стр. 8</x:v>
      </x:c>
      <x:c r="H1623" s="73" t="str">
        <x:v>Остаток на 30.06.2025</x:v>
      </x:c>
      <x:c r="I1623" s="89"/>
      <x:c r="J1623" s="88"/>
      <x:c r="K1623"/>
    </x:row>
    <x:row r="1624">
      <x:c r="A1624" t="str">
        <x:v>MAGN</x:v>
      </x:c>
      <x:c r="B1624" t="str">
        <x:v>1П2025</x:v>
      </x:c>
      <x:c r="C1624" s="73" t="str">
        <x:v>Капитал</x:v>
      </x:c>
      <x:c r="D1624" s="73" t="str">
        <x:v>Неконтролирующие доли участия</x:v>
      </x:c>
      <x:c r="E1624" s="87" t="n">
        <x:v>995</x:v>
      </x:c>
      <x:c r="F1624" s="73" t="str">
        <x:v>MAGN_2026H1.pdf</x:v>
      </x:c>
      <x:c r="G1624" s="73" t="str">
        <x:v>PDF стр. 8</x:v>
      </x:c>
      <x:c r="H1624" s="73" t="str">
        <x:v>Отдельно от капитала акционеров</x:v>
      </x:c>
      <x:c r="I1624" s="89"/>
      <x:c r="J1624" s="88"/>
      <x:c r="K1624"/>
    </x:row>
    <x:row r="1625">
      <x:c r="A1625" t="str">
        <x:v>MAGN</x:v>
      </x:c>
      <x:c r="B1625" t="str">
        <x:v>1П2025</x:v>
      </x:c>
      <x:c r="C1625" s="73" t="str">
        <x:v>Капитал</x:v>
      </x:c>
      <x:c r="D1625" s="73" t="str">
        <x:v>Итого капитал группы</x:v>
      </x:c>
      <x:c r="E1625" s="87" t="n">
        <x:v>685312</x:v>
      </x:c>
      <x:c r="F1625" s="73" t="str">
        <x:v>MAGN_2026H1.pdf</x:v>
      </x:c>
      <x:c r="G1625" s="73" t="str">
        <x:v>PDF стр. 8</x:v>
      </x:c>
      <x:c r="H1625" s="73" t="str">
        <x:v>684 317 + 995</x:v>
      </x:c>
      <x:c r="I1625" s="89"/>
      <x:c r="J1625" s="88"/>
      <x:c r="K1625"/>
    </x:row>
    <x:row r="1627">
      <x:c r="A1627" t="str">
        <x:v>MAGN</x:v>
      </x:c>
      <x:c r="B1627" t="str">
        <x:v>1П2026</x:v>
      </x:c>
      <x:c r="C1627" s="73" t="str">
        <x:v>Выручка</x:v>
      </x:c>
      <x:c r="D1627" s="73" t="str">
        <x:v>МСФО</x:v>
      </x:c>
      <x:c r="E1627" s="87" t="n">
        <x:v>282311</x:v>
      </x:c>
      <x:c r="F1627" s="73" t="str">
        <x:v>MAGN_2026H1.pdf</x:v>
      </x:c>
      <x:c r="G1627" s="73" t="str">
        <x:v>PDF стр. 6</x:v>
      </x:c>
      <x:c r="H1627" s="73" t="str">
        <x:v>Подтверждено</x:v>
      </x:c>
      <x:c r="I1627" s="89"/>
      <x:c r="J1627" s="88"/>
      <x:c r="K1627"/>
    </x:row>
    <x:row r="1628">
      <x:c r="A1628" t="str">
        <x:v>MAGN</x:v>
      </x:c>
      <x:c r="B1628" t="str">
        <x:v>1П2026</x:v>
      </x:c>
      <x:c r="C1628" s="73" t="str">
        <x:v>Чистая прибыль акционеров</x:v>
      </x:c>
      <x:c r="D1628" s="73" t="str">
        <x:v>Убыток, относимый на акционеров Материнской компании</x:v>
      </x:c>
      <x:c r="E1628" s="87" t="n">
        <x:v>-19112</x:v>
      </x:c>
      <x:c r="F1628" s="73" t="str">
        <x:v>MAGN_2026H1.pdf</x:v>
      </x:c>
      <x:c r="G1628" s="73" t="str">
        <x:v>PDF стр. 6, 8</x:v>
      </x:c>
      <x:c r="H1628" s="73" t="str">
        <x:v>Убыток группы также −19 112; НКД за период 0</x:v>
      </x:c>
      <x:c r="I1628" s="89"/>
      <x:c r="J1628" s="88"/>
      <x:c r="K1628"/>
    </x:row>
    <x:row r="1629">
      <x:c r="A1629" t="str">
        <x:v>MAGN</x:v>
      </x:c>
      <x:c r="B1629" t="str">
        <x:v>1П2026</x:v>
      </x:c>
      <x:c r="C1629" s="73" t="str">
        <x:v>Капитал акционеров</x:v>
      </x:c>
      <x:c r="D1629" s="73" t="str">
        <x:v>Капитал, относимый на акционеров Материнской компании</x:v>
      </x:c>
      <x:c r="E1629" s="87" t="n">
        <x:v>645191</x:v>
      </x:c>
      <x:c r="F1629" s="73" t="str">
        <x:v>MAGN_2026H1.pdf</x:v>
      </x:c>
      <x:c r="G1629" s="73" t="str">
        <x:v>PDF стр. 7-8</x:v>
      </x:c>
      <x:c r="H1629" s="73" t="str">
        <x:v>Остаток на 30.06.2026</x:v>
      </x:c>
      <x:c r="I1629" s="89"/>
      <x:c r="J1629" s="88"/>
      <x:c r="K1629"/>
    </x:row>
    <x:row r="1630">
      <x:c r="A1630" t="str">
        <x:v>MAGN</x:v>
      </x:c>
      <x:c r="B1630" t="str">
        <x:v>1П2026</x:v>
      </x:c>
      <x:c r="C1630" s="73" t="str">
        <x:v>Капитал</x:v>
      </x:c>
      <x:c r="D1630" s="73" t="str">
        <x:v>Неконтролирующие доли участия</x:v>
      </x:c>
      <x:c r="E1630" s="87" t="n">
        <x:v>155</x:v>
      </x:c>
      <x:c r="F1630" s="73" t="str">
        <x:v>MAGN_2026H1.pdf</x:v>
      </x:c>
      <x:c r="G1630" s="73" t="str">
        <x:v>PDF стр. 7-8</x:v>
      </x:c>
      <x:c r="H1630" s="73" t="str">
        <x:v>Отдельно от капитала акционеров</x:v>
      </x:c>
      <x:c r="I1630" s="89"/>
      <x:c r="J1630" s="88"/>
      <x:c r="K1630"/>
    </x:row>
    <x:row r="1631">
      <x:c r="A1631" t="str">
        <x:v>MAGN</x:v>
      </x:c>
      <x:c r="B1631" t="str">
        <x:v>1П2026</x:v>
      </x:c>
      <x:c r="C1631" s="73" t="str">
        <x:v>Капитал</x:v>
      </x:c>
      <x:c r="D1631" s="73" t="str">
        <x:v>Итого капитал группы</x:v>
      </x:c>
      <x:c r="E1631" s="87" t="n">
        <x:v>645346</x:v>
      </x:c>
      <x:c r="F1631" s="73" t="str">
        <x:v>MAGN_2026H1.pdf</x:v>
      </x:c>
      <x:c r="G1631" s="73" t="str">
        <x:v>PDF стр. 7-8</x:v>
      </x:c>
      <x:c r="H1631" s="73" t="str">
        <x:v>645 191 + 155</x:v>
      </x:c>
      <x:c r="I1631" s="89"/>
      <x:c r="J1631" s="88"/>
      <x:c r="K1631"/>
    </x:row>
    <x:row r="1633">
      <x:c r="A1633" t="str">
        <x:v>ENPG</x:v>
      </x:c>
      <x:c r="B1633" t="str">
        <x:v>2025</x:v>
      </x:c>
      <x:c r="C1633" s="73" t="str">
        <x:v>Чистый долг компании</x:v>
      </x:c>
      <x:c r="D1633" s="73" t="str">
        <x:v>Кредиты, займы и облигации: 13 223 млн долл. США × курс на 31.12.2025</x:v>
      </x:c>
      <x:c r="E1633" s="84" t="n">
        <x:f>13223*78.2267</x:f>
        <x:v>1034391.6540999999</x:v>
      </x:c>
      <x:c r="F1633" s="73" t="str">
        <x:v>Эн+_отчет_МСФО_2025.pdf</x:v>
      </x:c>
      <x:c r="G1633" s="73" t="str">
        <x:v>PDF стр. 11, 24</x:v>
      </x:c>
      <x:c r="H1633" s="73" t="str">
        <x:v>3 724 долгосрочные + 9 499 краткосрочные</x:v>
      </x:c>
      <x:c r="I1633" s="89"/>
      <x:c r="J1633" s="88"/>
      <x:c r="K1633"/>
    </x:row>
    <x:row r="1634">
      <x:c r="A1634" t="str">
        <x:v>ENPG</x:v>
      </x:c>
      <x:c r="B1634" t="str">
        <x:v>2025</x:v>
      </x:c>
      <x:c r="C1634" s="73" t="str">
        <x:v>Чистый долг компании</x:v>
      </x:c>
      <x:c r="D1634" s="73" t="str">
        <x:v>Денежные средства и эквиваленты: −2 114 млн долл. США × курс</x:v>
      </x:c>
      <x:c r="E1634" s="84" t="n">
        <x:f>-2114*78.2267</x:f>
        <x:v>-165371.2438</x:v>
      </x:c>
      <x:c r="F1634" s="73" t="str">
        <x:v>Эн+_отчет_МСФО_2025.pdf</x:v>
      </x:c>
      <x:c r="G1634" s="73" t="str">
        <x:v>PDF стр. 11, 24</x:v>
      </x:c>
      <x:c r="H1634" s="73" t="str">
        <x:v>Вычитаются; краткосрочные инвестиции не входят в определение компании</x:v>
      </x:c>
      <x:c r="I1634" s="89"/>
      <x:c r="J1634" s="88"/>
      <x:c r="K1634"/>
    </x:row>
    <x:row r="1635">
      <x:c r="A1635" t="str">
        <x:v>ENPG</x:v>
      </x:c>
      <x:c r="B1635" t="str">
        <x:v>2025</x:v>
      </x:c>
      <x:c r="C1635" s="73" t="str">
        <x:v>Чистый долг компании</x:v>
      </x:c>
      <x:c r="D1635" s="73" t="str">
        <x:v>ИТОГО — долг минус денежные средства</x:v>
      </x:c>
      <x:c r="E1635" s="84" t="n">
        <x:f>SUM(E1633:E1634)</x:f>
        <x:v>869020.4102999999</x:v>
      </x:c>
      <x:c r="F1635" s="73" t="str">
        <x:v>Эн+_отчет_эмитента_2025.pdf</x:v>
      </x:c>
      <x:c r="G1635" s="73" t="str">
        <x:v>PDF стр. 19, 21</x:v>
      </x:c>
      <x:c r="H1635" s="73" t="str">
        <x:v>Опубликовано 11 109 млн долл. США; методика компании воспроизведена полностью</x:v>
      </x:c>
      <x:c r="I1635" s="89" t="n">
        <x:v>869020.4103</x:v>
      </x:c>
      <x:c r="J1635" s="85" t="n">
        <x:f>ROUND(E1635-I1635,6)</x:f>
        <x:v>0</x:v>
      </x:c>
      <x:c r="K1635"/>
    </x:row>
    <x:row r="1636">
      <x:c r="A1636" t="str">
        <x:v>ENPG</x:v>
      </x:c>
      <x:c r="B1636" t="str">
        <x:v>2025</x:v>
      </x:c>
      <x:c r="C1636" s="73" t="str">
        <x:v>Скорректированная EBITDA</x:v>
      </x:c>
      <x:c r="D1636" s="73" t="str">
        <x:v>Результат от операционной деятельности: 1 414 млн долл. США × средний курс</x:v>
      </x:c>
      <x:c r="E1636" s="84" t="n">
        <x:f>1414*83.6203424657534</x:f>
        <x:v>118239.1642465753</x:v>
      </x:c>
      <x:c r="F1636" s="73" t="str">
        <x:v>Эн+_отчет_МСФО_2025.pdf</x:v>
      </x:c>
      <x:c r="G1636" s="73" t="str">
        <x:v>PDF стр. 9, 23</x:v>
      </x:c>
      <x:c r="H1636" s="73" t="str">
        <x:v>База раскрытого мостика</x:v>
      </x:c>
      <x:c r="I1636" s="89"/>
      <x:c r="J1636" s="88"/>
      <x:c r="K1636"/>
    </x:row>
    <x:row r="1637">
      <x:c r="A1637" t="str">
        <x:v>ENPG</x:v>
      </x:c>
      <x:c r="B1637" t="str">
        <x:v>2025</x:v>
      </x:c>
      <x:c r="C1637" s="73" t="str">
        <x:v>Скорректированная EBITDA</x:v>
      </x:c>
      <x:c r="D1637" s="73" t="str">
        <x:v>Амортизация: 951 млн долл. США × средний курс</x:v>
      </x:c>
      <x:c r="E1637" s="84" t="n">
        <x:f>951*83.6203424657534</x:f>
        <x:v>79522.94568493147</x:v>
      </x:c>
      <x:c r="F1637" s="73" t="str">
        <x:v>Эн+_отчет_МСФО_2025.pdf</x:v>
      </x:c>
      <x:c r="G1637" s="73" t="str">
        <x:v>PDF стр. 23</x:v>
      </x:c>
      <x:c r="H1637" s="73" t="str">
        <x:v>Добавляется обратно</x:v>
      </x:c>
      <x:c r="I1637" s="89"/>
      <x:c r="J1637" s="88"/>
      <x:c r="K1637"/>
    </x:row>
    <x:row r="1638">
      <x:c r="A1638" t="str">
        <x:v>ENPG</x:v>
      </x:c>
      <x:c r="B1638" t="str">
        <x:v>2025</x:v>
      </x:c>
      <x:c r="C1638" s="73" t="str">
        <x:v>Скорректированная EBITDA</x:v>
      </x:c>
      <x:c r="D1638" s="73" t="str">
        <x:v>Обесценение: 324 млн долл. США × средний курс</x:v>
      </x:c>
      <x:c r="E1638" s="84" t="n">
        <x:f>324*83.6203424657534</x:f>
        <x:v>27092.9909589041</x:v>
      </x:c>
      <x:c r="F1638" s="73" t="str">
        <x:v>Эн+_отчет_МСФО_2025.pdf</x:v>
      </x:c>
      <x:c r="G1638" s="73" t="str">
        <x:v>PDF стр. 23</x:v>
      </x:c>
      <x:c r="H1638" s="73" t="str">
        <x:v>Дополнительная корректировка; показана отдельно</x:v>
      </x:c>
      <x:c r="I1638" s="89"/>
      <x:c r="J1638" s="88"/>
      <x:c r="K1638"/>
    </x:row>
    <x:row r="1639">
      <x:c r="A1639" t="str">
        <x:v>ENPG</x:v>
      </x:c>
      <x:c r="B1639" t="str">
        <x:v>2025</x:v>
      </x:c>
      <x:c r="C1639" s="73" t="str">
        <x:v>Скорректированная EBITDA</x:v>
      </x:c>
      <x:c r="D1639" s="73" t="str">
        <x:v>Убыток от выбытия основных средств: 11 млн долл. США × средний курс</x:v>
      </x:c>
      <x:c r="E1639" s="84" t="n">
        <x:f>11*83.6203424657534</x:f>
        <x:v>919.8237671232873</x:v>
      </x:c>
      <x:c r="F1639" s="73" t="str">
        <x:v>Эн+_отчет_МСФО_2025.pdf</x:v>
      </x:c>
      <x:c r="G1639" s="73" t="str">
        <x:v>PDF стр. 23</x:v>
      </x:c>
      <x:c r="H1639" s="73" t="str">
        <x:v>Добавляется обратно</x:v>
      </x:c>
      <x:c r="I1639" s="89"/>
      <x:c r="J1639" s="88"/>
      <x:c r="K1639"/>
    </x:row>
    <x:row r="1640">
      <x:c r="A1640" t="str">
        <x:v>ENPG</x:v>
      </x:c>
      <x:c r="B1640" t="str">
        <x:v>2025</x:v>
      </x:c>
      <x:c r="C1640" s="73" t="str">
        <x:v>Скорректированная EBITDA</x:v>
      </x:c>
      <x:c r="D1640" s="73" t="str">
        <x:v>ИТОГО — раскрытая методика компании</x:v>
      </x:c>
      <x:c r="E1640" s="84" t="n">
        <x:f>SUM(E1636:E1639)</x:f>
        <x:v>225774.92465753414</x:v>
      </x:c>
      <x:c r="F1640" s="73" t="str">
        <x:v>Эн+_отчет_эмитента_2025.pdf</x:v>
      </x:c>
      <x:c r="G1640" s="73" t="str">
        <x:v>PDF стр. 18, 20</x:v>
      </x:c>
      <x:c r="H1640" s="73" t="str">
        <x:v>Опубликовано 2 700 млн долл. США; обычная EBITDA отдельно не раскрыта</x:v>
      </x:c>
      <x:c r="I1640" s="89" t="n">
        <x:v>225774.92465753417</x:v>
      </x:c>
      <x:c r="J1640" s="85" t="n">
        <x:f>ROUND(E1640-I1640,6)</x:f>
        <x:v>0</x:v>
      </x:c>
      <x:c r="K1640"/>
    </x:row>
    <x:row r="1641">
      <x:c r="A1641" t="str">
        <x:v>ENPG</x:v>
      </x:c>
      <x:c r="B1641" t="str">
        <x:v>2025</x:v>
      </x:c>
      <x:c r="C1641" s="73" t="str">
        <x:v>Выручка</x:v>
      </x:c>
      <x:c r="D1641" s="73" t="str">
        <x:v>17 703 млн долл. США × средний курс</x:v>
      </x:c>
      <x:c r="E1641" s="84" t="n">
        <x:f>17703*83.6203424657534</x:f>
        <x:v>1480330.9226712324</x:v>
      </x:c>
      <x:c r="F1641" s="73" t="str">
        <x:v>Эн+_отчет_МСФО_2025.pdf</x:v>
      </x:c>
      <x:c r="G1641" s="73" t="str">
        <x:v>PDF стр. 9, 23</x:v>
      </x:c>
      <x:c r="H1641" s="73" t="str">
        <x:v>Подтверждено</x:v>
      </x:c>
      <x:c r="I1641" s="89"/>
      <x:c r="J1641" s="88"/>
      <x:c r="K1641"/>
    </x:row>
    <x:row r="1642">
      <x:c r="A1642" t="str">
        <x:v>ENPG</x:v>
      </x:c>
      <x:c r="B1642" t="str">
        <x:v>2025</x:v>
      </x:c>
      <x:c r="C1642" s="73" t="str">
        <x:v>Чистая прибыль акционеров</x:v>
      </x:c>
      <x:c r="D1642" s="73" t="str">
        <x:v>428 млн долл. США × средний курс</x:v>
      </x:c>
      <x:c r="E1642" s="84" t="n">
        <x:f>428*83.6203424657534</x:f>
        <x:v>35789.50657534246</x:v>
      </x:c>
      <x:c r="F1642" s="73" t="str">
        <x:v>Эн+_отчет_МСФО_2025.pdf</x:v>
      </x:c>
      <x:c r="G1642" s="73" t="str">
        <x:v>PDF стр. 9</x:v>
      </x:c>
      <x:c r="H1642" s="73" t="str">
        <x:v>Не смешивается с прибылью группы</x:v>
      </x:c>
      <x:c r="I1642" s="89"/>
      <x:c r="J1642" s="88"/>
      <x:c r="K1642"/>
    </x:row>
    <x:row r="1643">
      <x:c r="A1643" t="str">
        <x:v>ENPG</x:v>
      </x:c>
      <x:c r="B1643" t="str">
        <x:v>2025</x:v>
      </x:c>
      <x:c r="C1643" s="73" t="str">
        <x:v>Чистая прибыль группы</x:v>
      </x:c>
      <x:c r="D1643" s="73" t="str">
        <x:v>235 млн долл. США × средний курс</x:v>
      </x:c>
      <x:c r="E1643" s="84" t="n">
        <x:f>235*83.6203424657534</x:f>
        <x:v>19650.78047945205</x:v>
      </x:c>
      <x:c r="F1643" s="73" t="str">
        <x:v>Эн+_отчет_МСФО_2025.pdf</x:v>
      </x:c>
      <x:c r="G1643" s="73" t="str">
        <x:v>PDF стр. 9</x:v>
      </x:c>
      <x:c r="H1643" s="73" t="str">
        <x:v>Справочно; в базе не заменяет прибыль акционеров</x:v>
      </x:c>
      <x:c r="I1643" s="89"/>
      <x:c r="J1643" s="88"/>
      <x:c r="K1643"/>
    </x:row>
    <x:row r="1644">
      <x:c r="A1644" t="str">
        <x:v>ENPG</x:v>
      </x:c>
      <x:c r="B1644" t="str">
        <x:v>2025</x:v>
      </x:c>
      <x:c r="C1644" s="73" t="str">
        <x:v>Капитал акционеров</x:v>
      </x:c>
      <x:c r="D1644" s="73" t="str">
        <x:v>9 043 млн долл. США × курс на 31.12.2025</x:v>
      </x:c>
      <x:c r="E1644" s="84" t="n">
        <x:f>9043*78.2267</x:f>
        <x:v>707404.0480999999</x:v>
      </x:c>
      <x:c r="F1644" s="73" t="str">
        <x:v>Эн+_отчет_МСФО_2025.pdf</x:v>
      </x:c>
      <x:c r="G1644" s="73" t="str">
        <x:v>PDF стр. 11</x:v>
      </x:c>
      <x:c r="H1644" s="73" t="str">
        <x:v>Остаток на дату баланса</x:v>
      </x:c>
      <x:c r="I1644" s="89"/>
      <x:c r="J1644" s="88"/>
      <x:c r="K1644"/>
    </x:row>
    <x:row r="1645">
      <x:c r="A1645" t="str">
        <x:v>ENPG</x:v>
      </x:c>
      <x:c r="B1645" t="str">
        <x:v>2025</x:v>
      </x:c>
      <x:c r="C1645" s="73" t="str">
        <x:v>Капитал</x:v>
      </x:c>
      <x:c r="D1645" s="73" t="str">
        <x:v>Неконтролирующие доли: 4 996 млн долл. США × курс</x:v>
      </x:c>
      <x:c r="E1645" s="84" t="n">
        <x:f>4996*78.2267</x:f>
        <x:v>390820.59319999994</x:v>
      </x:c>
      <x:c r="F1645" s="73" t="str">
        <x:v>Эн+_отчет_МСФО_2025.pdf</x:v>
      </x:c>
      <x:c r="G1645" s="73" t="str">
        <x:v>PDF стр. 11</x:v>
      </x:c>
      <x:c r="H1645" s="73" t="str">
        <x:v>Отдельно от капитала акционеров</x:v>
      </x:c>
      <x:c r="I1645" s="89"/>
      <x:c r="J1645" s="88"/>
      <x:c r="K1645"/>
    </x:row>
    <x:row r="1646">
      <x:c r="A1646" t="str">
        <x:v>ENPG</x:v>
      </x:c>
      <x:c r="B1646" t="str">
        <x:v>2025</x:v>
      </x:c>
      <x:c r="C1646" s="73" t="str">
        <x:v>Капитал</x:v>
      </x:c>
      <x:c r="D1646" s="73" t="str">
        <x:v>Итого капитал группы</x:v>
      </x:c>
      <x:c r="E1646" s="84" t="n">
        <x:f>SUM(E1644:E1645)</x:f>
        <x:v>1098224.6412999998</x:v>
      </x:c>
      <x:c r="F1646" s="73" t="str">
        <x:v>Эн+_отчет_МСФО_2025.pdf</x:v>
      </x:c>
      <x:c r="G1646" s="73" t="str">
        <x:v>PDF стр. 11</x:v>
      </x:c>
      <x:c r="H1646" s="73" t="str">
        <x:v>9 043 + 4 996 = 14 039 млн долл. США</x:v>
      </x:c>
      <x:c r="I1646" s="89"/>
      <x:c r="J1646" s="88"/>
      <x:c r="K1646"/>
    </x:row>
    <x:row r="1648">
      <x:c r="A1648" t="str">
        <x:v>ENPG</x:v>
      </x:c>
      <x:c r="B1648" t="str">
        <x:v>1П2025</x:v>
      </x:c>
      <x:c r="C1648" s="73" t="str">
        <x:v>Чистый долг компании</x:v>
      </x:c>
      <x:c r="D1648" s="73" t="str">
        <x:v>Кредиты, займы и облигации: 11 621 млн долл. США × курс на 30.06.2025</x:v>
      </x:c>
      <x:c r="E1648" s="84" t="n">
        <x:f>11621*78.4685</x:f>
        <x:v>911882.4385</x:v>
      </x:c>
      <x:c r="F1648" s="73" t="str">
        <x:v>Finansovye-i-operatstsionnye-otchety-za-pervoe-polugodnie-2025-goda-RU.pdf (официальный сайт Эн+)</x:v>
      </x:c>
      <x:c r="G1648" s="73" t="str">
        <x:v>PDF стр. 8, 17, 26</x:v>
      </x:c>
      <x:c r="H1648" s="73" t="str">
        <x:v>3 671 долгосрочные + 7 950 краткосрочные</x:v>
      </x:c>
      <x:c r="I1648" s="89"/>
      <x:c r="J1648" s="88"/>
      <x:c r="K1648"/>
    </x:row>
    <x:row r="1649">
      <x:c r="A1649" t="str">
        <x:v>ENPG</x:v>
      </x:c>
      <x:c r="B1649" t="str">
        <x:v>1П2025</x:v>
      </x:c>
      <x:c r="C1649" s="73" t="str">
        <x:v>Чистый долг компании</x:v>
      </x:c>
      <x:c r="D1649" s="73" t="str">
        <x:v>Денежные средства и эквиваленты: −1 379 млн долл. США × курс</x:v>
      </x:c>
      <x:c r="E1649" s="84" t="n">
        <x:f>-1379*78.4685</x:f>
        <x:v>-108208.06150000001</x:v>
      </x:c>
      <x:c r="F1649" s="73" t="str">
        <x:v>Finansovye-i-operatstsionnye-otchety-za-pervoe-polugodnie-2025-goda-RU.pdf (официальный сайт Эн+)</x:v>
      </x:c>
      <x:c r="G1649" s="73" t="str">
        <x:v>PDF стр. 8, 17</x:v>
      </x:c>
      <x:c r="H1649" s="73" t="str">
        <x:v>Вычитаются по определению компании</x:v>
      </x:c>
      <x:c r="I1649" s="89"/>
      <x:c r="J1649" s="88"/>
      <x:c r="K1649"/>
    </x:row>
    <x:row r="1650">
      <x:c r="A1650" t="str">
        <x:v>ENPG</x:v>
      </x:c>
      <x:c r="B1650" t="str">
        <x:v>1П2025</x:v>
      </x:c>
      <x:c r="C1650" s="73" t="str">
        <x:v>Чистый долг компании</x:v>
      </x:c>
      <x:c r="D1650" s="73" t="str">
        <x:v>ИТОГО — долг минус денежные средства</x:v>
      </x:c>
      <x:c r="E1650" s="84" t="n">
        <x:f>SUM(E1648:E1649)</x:f>
        <x:v>803674.3770000001</x:v>
      </x:c>
      <x:c r="F1650" s="73" t="str">
        <x:v>EN_-1H-2025-FINANCIAL-AND-OPERATIONAL-RESULTS.pdf (официальный сайт Эн+)</x:v>
      </x:c>
      <x:c r="G1650" s="73" t="str">
        <x:v>PDF стр. 1, 3</x:v>
      </x:c>
      <x:c r="H1650" s="73" t="str">
        <x:v>Опубликовано 10 242 млн долл. США; мост совпадает точно</x:v>
      </x:c>
      <x:c r="I1650" s="89" t="n">
        <x:v>803674.3770000001</x:v>
      </x:c>
      <x:c r="J1650" s="85" t="n">
        <x:f>ROUND(E1650-I1650,6)</x:f>
        <x:v>0</x:v>
      </x:c>
      <x:c r="K1650"/>
    </x:row>
    <x:row r="1651">
      <x:c r="A1651" t="str">
        <x:v>ENPG</x:v>
      </x:c>
      <x:c r="B1651" t="str">
        <x:v>1П2025</x:v>
      </x:c>
      <x:c r="C1651" s="73" t="str">
        <x:v>Скорректированная EBITDA</x:v>
      </x:c>
      <x:c r="D1651" s="73" t="str">
        <x:v>Результат от операционной деятельности: 893 млн долл. США × средний курс</x:v>
      </x:c>
      <x:c r="E1651" s="84" t="n">
        <x:f>893*87.0345635359116</x:f>
        <x:v>77721.86523756906</x:v>
      </x:c>
      <x:c r="F1651" s="73" t="str">
        <x:v>ENPG_2026H1.pdf</x:v>
      </x:c>
      <x:c r="G1651" s="73" t="str">
        <x:v>PDF стр. 19</x:v>
      </x:c>
      <x:c r="H1651" s="73" t="str">
        <x:v>Сравнительный поток</x:v>
      </x:c>
      <x:c r="I1651" s="89"/>
      <x:c r="J1651" s="88"/>
      <x:c r="K1651"/>
    </x:row>
    <x:row r="1652">
      <x:c r="A1652" t="str">
        <x:v>ENPG</x:v>
      </x:c>
      <x:c r="B1652" t="str">
        <x:v>1П2025</x:v>
      </x:c>
      <x:c r="C1652" s="73" t="str">
        <x:v>Скорректированная EBITDA</x:v>
      </x:c>
      <x:c r="D1652" s="73" t="str">
        <x:v>Амортизация: 455 млн долл. США × средний курс</x:v>
      </x:c>
      <x:c r="E1652" s="84" t="n">
        <x:f>455*87.0345635359116</x:f>
        <x:v>39600.72640883978</x:v>
      </x:c>
      <x:c r="F1652" s="73" t="str">
        <x:v>ENPG_2026H1.pdf</x:v>
      </x:c>
      <x:c r="G1652" s="73" t="str">
        <x:v>PDF стр. 19</x:v>
      </x:c>
      <x:c r="H1652" s="73" t="str">
        <x:v>Добавляется обратно</x:v>
      </x:c>
      <x:c r="I1652" s="89"/>
      <x:c r="J1652" s="88"/>
      <x:c r="K1652"/>
    </x:row>
    <x:row r="1653">
      <x:c r="A1653" t="str">
        <x:v>ENPG</x:v>
      </x:c>
      <x:c r="B1653" t="str">
        <x:v>1П2025</x:v>
      </x:c>
      <x:c r="C1653" s="73" t="str">
        <x:v>Скорректированная EBITDA</x:v>
      </x:c>
      <x:c r="D1653" s="73" t="str">
        <x:v>Обесценение: 178 млн долл. США × средний курс</x:v>
      </x:c>
      <x:c r="E1653" s="84" t="n">
        <x:f>178*87.0345635359116</x:f>
        <x:v>15492.152309392264</x:v>
      </x:c>
      <x:c r="F1653" s="73" t="str">
        <x:v>ENPG_2026H1.pdf</x:v>
      </x:c>
      <x:c r="G1653" s="73" t="str">
        <x:v>PDF стр. 19</x:v>
      </x:c>
      <x:c r="H1653" s="73" t="str">
        <x:v>Дополнительная корректировка; показана отдельно</x:v>
      </x:c>
      <x:c r="I1653" s="89"/>
      <x:c r="J1653" s="88"/>
      <x:c r="K1653"/>
    </x:row>
    <x:row r="1654">
      <x:c r="A1654" t="str">
        <x:v>ENPG</x:v>
      </x:c>
      <x:c r="B1654" t="str">
        <x:v>1П2025</x:v>
      </x:c>
      <x:c r="C1654" s="73" t="str">
        <x:v>Скорректированная EBITDA</x:v>
      </x:c>
      <x:c r="D1654" s="73" t="str">
        <x:v>Убыток от выбытия основных средств: 3 млн долл. США × средний курс</x:v>
      </x:c>
      <x:c r="E1654" s="84" t="n">
        <x:f>3*87.0345635359116</x:f>
        <x:v>261.1036906077348</x:v>
      </x:c>
      <x:c r="F1654" s="73" t="str">
        <x:v>ENPG_2026H1.pdf</x:v>
      </x:c>
      <x:c r="G1654" s="73" t="str">
        <x:v>PDF стр. 19</x:v>
      </x:c>
      <x:c r="H1654" s="73" t="str">
        <x:v>Добавляется обратно</x:v>
      </x:c>
      <x:c r="I1654" s="89"/>
      <x:c r="J1654" s="88"/>
      <x:c r="K1654"/>
    </x:row>
    <x:row r="1655">
      <x:c r="A1655" t="str">
        <x:v>ENPG</x:v>
      </x:c>
      <x:c r="B1655" t="str">
        <x:v>1П2025</x:v>
      </x:c>
      <x:c r="C1655" s="73" t="str">
        <x:v>Скорректированная EBITDA</x:v>
      </x:c>
      <x:c r="D1655" s="73" t="str">
        <x:v>ИТОГО — раскрытая методика компании</x:v>
      </x:c>
      <x:c r="E1655" s="84" t="n">
        <x:f>SUM(E1651:E1654)</x:f>
        <x:v>133075.84764640883</x:v>
      </x:c>
      <x:c r="F1655" s="73" t="str">
        <x:v>EN_-1H-2025-FINANCIAL-AND-OPERATIONAL-RESULTS.pdf (официальный сайт Эн+)</x:v>
      </x:c>
      <x:c r="G1655" s="73" t="str">
        <x:v>PDF стр. 2-3</x:v>
      </x:c>
      <x:c r="H1655" s="73" t="str">
        <x:v>Опубликовано 1 529 млн долл. США; обычная EBITDA отдельно не раскрыта</x:v>
      </x:c>
      <x:c r="I1655" s="89" t="n">
        <x:v>133075.84764640883</x:v>
      </x:c>
      <x:c r="J1655" s="85" t="n">
        <x:f>ROUND(E1655-I1655,6)</x:f>
        <x:v>0</x:v>
      </x:c>
      <x:c r="K1655"/>
    </x:row>
    <x:row r="1656">
      <x:c r="A1656" t="str">
        <x:v>ENPG</x:v>
      </x:c>
      <x:c r="B1656" t="str">
        <x:v>1П2025</x:v>
      </x:c>
      <x:c r="C1656" s="73" t="str">
        <x:v>Выручка</x:v>
      </x:c>
      <x:c r="D1656" s="73" t="str">
        <x:v>8 938 млн долл. США × средний курс</x:v>
      </x:c>
      <x:c r="E1656" s="84" t="n">
        <x:f>8938*87.0345635359116</x:f>
        <x:v>777914.9288839779</x:v>
      </x:c>
      <x:c r="F1656" s="73" t="str">
        <x:v>ENPG_2026H1.pdf</x:v>
      </x:c>
      <x:c r="G1656" s="73" t="str">
        <x:v>PDF стр. 6, 19</x:v>
      </x:c>
      <x:c r="H1656" s="73" t="str">
        <x:v>Сравнительный поток подтвержден</x:v>
      </x:c>
      <x:c r="I1656" s="89"/>
      <x:c r="J1656" s="88"/>
      <x:c r="K1656"/>
    </x:row>
    <x:row r="1657">
      <x:c r="A1657" t="str">
        <x:v>ENPG</x:v>
      </x:c>
      <x:c r="B1657" t="str">
        <x:v>1П2025</x:v>
      </x:c>
      <x:c r="C1657" s="73" t="str">
        <x:v>Чистая прибыль акционеров</x:v>
      </x:c>
      <x:c r="D1657" s="73" t="str">
        <x:v>373 млн долл. США × средний курс</x:v>
      </x:c>
      <x:c r="E1657" s="84" t="n">
        <x:f>373*87.0345635359116</x:f>
        <x:v>32463.892198895028</x:v>
      </x:c>
      <x:c r="F1657" s="73" t="str">
        <x:v>ENPG_2026H1.pdf</x:v>
      </x:c>
      <x:c r="G1657" s="73" t="str">
        <x:v>PDF стр. 6</x:v>
      </x:c>
      <x:c r="H1657" s="73" t="str">
        <x:v>Не смешивается с прибылью группы</x:v>
      </x:c>
      <x:c r="I1657" s="89"/>
      <x:c r="J1657" s="88"/>
      <x:c r="K1657"/>
    </x:row>
    <x:row r="1658">
      <x:c r="A1658" t="str">
        <x:v>ENPG</x:v>
      </x:c>
      <x:c r="B1658" t="str">
        <x:v>1П2025</x:v>
      </x:c>
      <x:c r="C1658" s="73" t="str">
        <x:v>Чистая прибыль группы</x:v>
      </x:c>
      <x:c r="D1658" s="73" t="str">
        <x:v>333 млн долл. США × средний курс</x:v>
      </x:c>
      <x:c r="E1658" s="84" t="n">
        <x:f>333*87.0345635359116</x:f>
        <x:v>28982.509657458562</x:v>
      </x:c>
      <x:c r="F1658" s="73" t="str">
        <x:v>ENPG_2026H1.pdf</x:v>
      </x:c>
      <x:c r="G1658" s="73" t="str">
        <x:v>PDF стр. 6, 19</x:v>
      </x:c>
      <x:c r="H1658" s="73" t="str">
        <x:v>Справочно; в базе не заменяет прибыль акционеров</x:v>
      </x:c>
      <x:c r="I1658" s="89"/>
      <x:c r="J1658" s="88"/>
      <x:c r="K1658"/>
    </x:row>
    <x:row r="1659">
      <x:c r="A1659" t="str">
        <x:v>ENPG</x:v>
      </x:c>
      <x:c r="B1659" t="str">
        <x:v>1П2025</x:v>
      </x:c>
      <x:c r="C1659" s="73" t="str">
        <x:v>Капитал акционеров</x:v>
      </x:c>
      <x:c r="D1659" s="73" t="str">
        <x:v>8 995 млн долл. США × курс на 30.06.2025</x:v>
      </x:c>
      <x:c r="E1659" s="84" t="n">
        <x:f>8995*78.4685</x:f>
        <x:v>705824.1575000001</x:v>
      </x:c>
      <x:c r="F1659" s="73" t="str">
        <x:v>Finansovye-i-operatstsionnye-otchety-za-pervoe-polugodnie-2025-goda-RU.pdf (официальный сайт Эн+)</x:v>
      </x:c>
      <x:c r="G1659" s="73" t="str">
        <x:v>PDF стр. 8, 11</x:v>
      </x:c>
      <x:c r="H1659" s="73" t="str">
        <x:v>Остаток на дату баланса</x:v>
      </x:c>
      <x:c r="I1659" s="89"/>
      <x:c r="J1659" s="88"/>
      <x:c r="K1659"/>
    </x:row>
    <x:row r="1660">
      <x:c r="A1660" t="str">
        <x:v>ENPG</x:v>
      </x:c>
      <x:c r="B1660" t="str">
        <x:v>1П2025</x:v>
      </x:c>
      <x:c r="C1660" s="73" t="str">
        <x:v>Капитал</x:v>
      </x:c>
      <x:c r="D1660" s="73" t="str">
        <x:v>Неконтролирующие доли: 5 146 млн долл. США × курс</x:v>
      </x:c>
      <x:c r="E1660" s="84" t="n">
        <x:f>5146*78.4685</x:f>
        <x:v>403798.901</x:v>
      </x:c>
      <x:c r="F1660" s="73" t="str">
        <x:v>Finansovye-i-operatstsionnye-otchety-za-pervoe-polugodnie-2025-goda-RU.pdf (официальный сайт Эн+)</x:v>
      </x:c>
      <x:c r="G1660" s="73" t="str">
        <x:v>PDF стр. 8, 11</x:v>
      </x:c>
      <x:c r="H1660" s="73" t="str">
        <x:v>Отдельно от капитала акционеров</x:v>
      </x:c>
      <x:c r="I1660" s="89"/>
      <x:c r="J1660" s="88"/>
      <x:c r="K1660"/>
    </x:row>
    <x:row r="1661">
      <x:c r="A1661" t="str">
        <x:v>ENPG</x:v>
      </x:c>
      <x:c r="B1661" t="str">
        <x:v>1П2025</x:v>
      </x:c>
      <x:c r="C1661" s="73" t="str">
        <x:v>Капитал</x:v>
      </x:c>
      <x:c r="D1661" s="73" t="str">
        <x:v>Итого капитал группы</x:v>
      </x:c>
      <x:c r="E1661" s="84" t="n">
        <x:f>SUM(E1659:E1660)</x:f>
        <x:v>1109623.0585</x:v>
      </x:c>
      <x:c r="F1661" s="73" t="str">
        <x:v>Finansovye-i-operatstsionnye-otchety-za-pervoe-polugodnie-2025-goda-RU.pdf (официальный сайт Эн+)</x:v>
      </x:c>
      <x:c r="G1661" s="73" t="str">
        <x:v>PDF стр. 8, 11</x:v>
      </x:c>
      <x:c r="H1661" s="73" t="str">
        <x:v>8 995 + 5 146 = 14 141 млн долл. США</x:v>
      </x:c>
      <x:c r="I1661" s="89"/>
      <x:c r="J1661" s="88"/>
      <x:c r="K1661"/>
    </x:row>
    <x:row r="1663">
      <x:c r="A1663" t="str">
        <x:v>ENPG</x:v>
      </x:c>
      <x:c r="B1663" t="str">
        <x:v>1П2026</x:v>
      </x:c>
      <x:c r="C1663" s="73" t="str">
        <x:v>Чистый долг компании</x:v>
      </x:c>
      <x:c r="D1663" s="73" t="str">
        <x:v>Кредиты, займы и облигации: 13 590 млн долл. США × курс на 30.06.2026</x:v>
      </x:c>
      <x:c r="E1663" s="84" t="n">
        <x:f>13590*77.7539</x:f>
        <x:v>1056675.501</x:v>
      </x:c>
      <x:c r="F1663" s="73" t="str">
        <x:v>ENPG_2026H1.pdf</x:v>
      </x:c>
      <x:c r="G1663" s="73" t="str">
        <x:v>PDF стр. 8</x:v>
      </x:c>
      <x:c r="H1663" s="73" t="str">
        <x:v>1 799 долгосрочные + 11 791 краткосрочные</x:v>
      </x:c>
      <x:c r="I1663" s="89"/>
      <x:c r="J1663" s="88"/>
      <x:c r="K1663"/>
    </x:row>
    <x:row r="1664">
      <x:c r="A1664" t="str">
        <x:v>ENPG</x:v>
      </x:c>
      <x:c r="B1664" t="str">
        <x:v>1П2026</x:v>
      </x:c>
      <x:c r="C1664" s="73" t="str">
        <x:v>Чистый долг компании</x:v>
      </x:c>
      <x:c r="D1664" s="73" t="str">
        <x:v>Денежные средства и эквиваленты: −1 630 млн долл. США × курс</x:v>
      </x:c>
      <x:c r="E1664" s="84" t="n">
        <x:f>-1630*77.7539</x:f>
        <x:v>-126738.857</x:v>
      </x:c>
      <x:c r="F1664" s="73" t="str">
        <x:v>ENPG_2026H1.pdf</x:v>
      </x:c>
      <x:c r="G1664" s="73" t="str">
        <x:v>PDF стр. 8</x:v>
      </x:c>
      <x:c r="H1664" s="73" t="str">
        <x:v>Вычитаются по определению компании</x:v>
      </x:c>
      <x:c r="I1664" s="89"/>
      <x:c r="J1664" s="88"/>
      <x:c r="K1664"/>
    </x:row>
    <x:row r="1665">
      <x:c r="A1665" t="str">
        <x:v>ENPG</x:v>
      </x:c>
      <x:c r="B1665" t="str">
        <x:v>1П2026</x:v>
      </x:c>
      <x:c r="C1665" s="73" t="str">
        <x:v>Чистый долг компании</x:v>
      </x:c>
      <x:c r="D1665" s="73" t="str">
        <x:v>ИТОГО — долг минус денежные средства</x:v>
      </x:c>
      <x:c r="E1665" s="84" t="n">
        <x:f>SUM(E1663:E1664)</x:f>
        <x:v>929936.644</x:v>
      </x:c>
      <x:c r="F1665" s="73" t="str">
        <x:v>En_-Group-1H-2026-results_RUS.pdf (официальный сайт Эн+)</x:v>
      </x:c>
      <x:c r="G1665" s="73" t="str">
        <x:v>PDF стр. 1-2, 4</x:v>
      </x:c>
      <x:c r="H1665" s="73" t="str">
        <x:v>Опубликовано 11 960 млн долл. США; мост совпадает точно</x:v>
      </x:c>
      <x:c r="I1665" s="89" t="n">
        <x:v>929936.644</x:v>
      </x:c>
      <x:c r="J1665" s="85" t="n">
        <x:f>ROUND(E1665-I1665,6)</x:f>
        <x:v>0</x:v>
      </x:c>
      <x:c r="K1665"/>
    </x:row>
    <x:row r="1666">
      <x:c r="A1666" t="str">
        <x:v>ENPG</x:v>
      </x:c>
      <x:c r="B1666" t="str">
        <x:v>1П2026</x:v>
      </x:c>
      <x:c r="C1666" s="73" t="str">
        <x:v>Скорректированная EBITDA</x:v>
      </x:c>
      <x:c r="D1666" s="73" t="str">
        <x:v>Результат от операционной деятельности: 1 707 млн долл. США × средний курс</x:v>
      </x:c>
      <x:c r="E1666" s="84" t="n">
        <x:f>1707*76.39120994475138</x:f>
        <x:v>130399.7953756906</x:v>
      </x:c>
      <x:c r="F1666" s="73" t="str">
        <x:v>ENPG_2026H1.pdf</x:v>
      </x:c>
      <x:c r="G1666" s="73" t="str">
        <x:v>PDF стр. 6, 17</x:v>
      </x:c>
      <x:c r="H1666" s="73" t="str">
        <x:v>База раскрытого мостика</x:v>
      </x:c>
      <x:c r="I1666" s="89"/>
      <x:c r="J1666" s="88"/>
      <x:c r="K1666"/>
    </x:row>
    <x:row r="1667">
      <x:c r="A1667" t="str">
        <x:v>ENPG</x:v>
      </x:c>
      <x:c r="B1667" t="str">
        <x:v>1П2026</x:v>
      </x:c>
      <x:c r="C1667" s="73" t="str">
        <x:v>Скорректированная EBITDA</x:v>
      </x:c>
      <x:c r="D1667" s="73" t="str">
        <x:v>Амортизация: 534 млн долл. США × средний курс</x:v>
      </x:c>
      <x:c r="E1667" s="84" t="n">
        <x:f>534*76.39120994475138</x:f>
        <x:v>40792.906110497235</x:v>
      </x:c>
      <x:c r="F1667" s="73" t="str">
        <x:v>ENPG_2026H1.pdf</x:v>
      </x:c>
      <x:c r="G1667" s="73" t="str">
        <x:v>PDF стр. 17</x:v>
      </x:c>
      <x:c r="H1667" s="73" t="str">
        <x:v>Добавляется обратно</x:v>
      </x:c>
      <x:c r="I1667" s="89"/>
      <x:c r="J1667" s="88"/>
      <x:c r="K1667"/>
    </x:row>
    <x:row r="1668">
      <x:c r="A1668" t="str">
        <x:v>ENPG</x:v>
      </x:c>
      <x:c r="B1668" t="str">
        <x:v>1П2026</x:v>
      </x:c>
      <x:c r="C1668" s="73" t="str">
        <x:v>Скорректированная EBITDA</x:v>
      </x:c>
      <x:c r="D1668" s="73" t="str">
        <x:v>Обесценение: 83 млн долл. США × средний курс</x:v>
      </x:c>
      <x:c r="E1668" s="84" t="n">
        <x:f>83*76.39120994475138</x:f>
        <x:v>6340.470425414364</x:v>
      </x:c>
      <x:c r="F1668" s="73" t="str">
        <x:v>ENPG_2026H1.pdf</x:v>
      </x:c>
      <x:c r="G1668" s="73" t="str">
        <x:v>PDF стр. 17</x:v>
      </x:c>
      <x:c r="H1668" s="73" t="str">
        <x:v>Дополнительная корректировка; показана отдельно</x:v>
      </x:c>
      <x:c r="I1668" s="89"/>
      <x:c r="J1668" s="88"/>
      <x:c r="K1668"/>
    </x:row>
    <x:row r="1669">
      <x:c r="A1669" t="str">
        <x:v>ENPG</x:v>
      </x:c>
      <x:c r="B1669" t="str">
        <x:v>1П2026</x:v>
      </x:c>
      <x:c r="C1669" s="73" t="str">
        <x:v>Скорректированная EBITDA</x:v>
      </x:c>
      <x:c r="D1669" s="73" t="str">
        <x:v>Убыток от выбытия основных средств: 3 млн долл. США × средний курс</x:v>
      </x:c>
      <x:c r="E1669" s="84" t="n">
        <x:f>3*76.39120994475138</x:f>
        <x:v>229.17362983425414</x:v>
      </x:c>
      <x:c r="F1669" s="73" t="str">
        <x:v>ENPG_2026H1.pdf</x:v>
      </x:c>
      <x:c r="G1669" s="73" t="str">
        <x:v>PDF стр. 17</x:v>
      </x:c>
      <x:c r="H1669" s="73" t="str">
        <x:v>Добавляется обратно</x:v>
      </x:c>
      <x:c r="I1669" s="89"/>
      <x:c r="J1669" s="88"/>
      <x:c r="K1669"/>
    </x:row>
    <x:row r="1670">
      <x:c r="A1670" t="str">
        <x:v>ENPG</x:v>
      </x:c>
      <x:c r="B1670" t="str">
        <x:v>1П2026</x:v>
      </x:c>
      <x:c r="C1670" s="73" t="str">
        <x:v>Скорректированная EBITDA</x:v>
      </x:c>
      <x:c r="D1670" s="73" t="str">
        <x:v>ИТОГО — раскрытая методика компании</x:v>
      </x:c>
      <x:c r="E1670" s="84" t="n">
        <x:f>SUM(E1666:E1669)</x:f>
        <x:v>177762.34554143646</x:v>
      </x:c>
      <x:c r="F1670" s="73" t="str">
        <x:v>En_-Group-1H-2026-results_RUS.pdf (официальный сайт Эн+)</x:v>
      </x:c>
      <x:c r="G1670" s="73" t="str">
        <x:v>PDF стр. 2-3</x:v>
      </x:c>
      <x:c r="H1670" s="73" t="str">
        <x:v>Опубликовано 2 327 млн долл. США; обычная EBITDA отдельно не раскрыта</x:v>
      </x:c>
      <x:c r="I1670" s="89" t="n">
        <x:v>177762.34554143646</x:v>
      </x:c>
      <x:c r="J1670" s="85" t="n">
        <x:f>ROUND(E1670-I1670,6)</x:f>
        <x:v>0</x:v>
      </x:c>
      <x:c r="K1670"/>
    </x:row>
    <x:row r="1671">
      <x:c r="A1671" t="str">
        <x:v>ENPG</x:v>
      </x:c>
      <x:c r="B1671" t="str">
        <x:v>1П2026</x:v>
      </x:c>
      <x:c r="C1671" s="73" t="str">
        <x:v>Выручка</x:v>
      </x:c>
      <x:c r="D1671" s="73" t="str">
        <x:v>10 106 млн долл. США × средний курс</x:v>
      </x:c>
      <x:c r="E1671" s="84" t="n">
        <x:f>10106*76.39120994475138</x:f>
        <x:v>772009.5677016574</x:v>
      </x:c>
      <x:c r="F1671" s="73" t="str">
        <x:v>ENPG_2026H1.pdf</x:v>
      </x:c>
      <x:c r="G1671" s="73" t="str">
        <x:v>PDF стр. 6, 17</x:v>
      </x:c>
      <x:c r="H1671" s="73" t="str">
        <x:v>Подтверждено</x:v>
      </x:c>
      <x:c r="I1671" s="89"/>
      <x:c r="J1671" s="88"/>
      <x:c r="K1671"/>
    </x:row>
    <x:row r="1672">
      <x:c r="A1672" t="str">
        <x:v>ENPG</x:v>
      </x:c>
      <x:c r="B1672" t="str">
        <x:v>1П2026</x:v>
      </x:c>
      <x:c r="C1672" s="73" t="str">
        <x:v>Чистая прибыль акционеров</x:v>
      </x:c>
      <x:c r="D1672" s="73" t="str">
        <x:v>725 млн долл. США × средний курс</x:v>
      </x:c>
      <x:c r="E1672" s="84" t="n">
        <x:f>725*76.39120994475138</x:f>
        <x:v>55383.62720994475</x:v>
      </x:c>
      <x:c r="F1672" s="73" t="str">
        <x:v>ENPG_2026H1.pdf</x:v>
      </x:c>
      <x:c r="G1672" s="73" t="str">
        <x:v>PDF стр. 6</x:v>
      </x:c>
      <x:c r="H1672" s="73" t="str">
        <x:v>Не смешивается с прибылью группы</x:v>
      </x:c>
      <x:c r="I1672" s="89"/>
      <x:c r="J1672" s="88"/>
      <x:c r="K1672"/>
    </x:row>
    <x:row r="1673">
      <x:c r="A1673" t="str">
        <x:v>ENPG</x:v>
      </x:c>
      <x:c r="B1673" t="str">
        <x:v>1П2026</x:v>
      </x:c>
      <x:c r="C1673" s="73" t="str">
        <x:v>Чистая прибыль группы</x:v>
      </x:c>
      <x:c r="D1673" s="73" t="str">
        <x:v>905 млн долл. США × средний курс</x:v>
      </x:c>
      <x:c r="E1673" s="84" t="n">
        <x:f>905*76.39120994475138</x:f>
        <x:v>69134.045</x:v>
      </x:c>
      <x:c r="F1673" s="73" t="str">
        <x:v>ENPG_2026H1.pdf</x:v>
      </x:c>
      <x:c r="G1673" s="73" t="str">
        <x:v>PDF стр. 6, 17</x:v>
      </x:c>
      <x:c r="H1673" s="73" t="str">
        <x:v>Справочно; в базе не заменяет прибыль акционеров</x:v>
      </x:c>
      <x:c r="I1673" s="89"/>
      <x:c r="J1673" s="88"/>
      <x:c r="K1673"/>
    </x:row>
    <x:row r="1674">
      <x:c r="A1674" t="str">
        <x:v>ENPG</x:v>
      </x:c>
      <x:c r="B1674" t="str">
        <x:v>1П2026</x:v>
      </x:c>
      <x:c r="C1674" s="73" t="str">
        <x:v>Капитал акционеров</x:v>
      </x:c>
      <x:c r="D1674" s="73" t="str">
        <x:v>9 781 млн долл. США × курс на 30.06.2026</x:v>
      </x:c>
      <x:c r="E1674" s="84" t="n">
        <x:f>9781*77.7539</x:f>
        <x:v>760510.8959</x:v>
      </x:c>
      <x:c r="F1674" s="73" t="str">
        <x:v>ENPG_2026H1.pdf</x:v>
      </x:c>
      <x:c r="G1674" s="73" t="str">
        <x:v>PDF стр. 8</x:v>
      </x:c>
      <x:c r="H1674" s="73" t="str">
        <x:v>Остаток на дату баланса</x:v>
      </x:c>
      <x:c r="I1674" s="89"/>
      <x:c r="J1674" s="88"/>
      <x:c r="K1674"/>
    </x:row>
    <x:row r="1675">
      <x:c r="A1675" t="str">
        <x:v>ENPG</x:v>
      </x:c>
      <x:c r="B1675" t="str">
        <x:v>1П2026</x:v>
      </x:c>
      <x:c r="C1675" s="73" t="str">
        <x:v>Капитал</x:v>
      </x:c>
      <x:c r="D1675" s="73" t="str">
        <x:v>Неконтролирующие доли: 5 181 млн долл. США × курс</x:v>
      </x:c>
      <x:c r="E1675" s="84" t="n">
        <x:f>5181*77.7539</x:f>
        <x:v>402842.9559</x:v>
      </x:c>
      <x:c r="F1675" s="73" t="str">
        <x:v>ENPG_2026H1.pdf</x:v>
      </x:c>
      <x:c r="G1675" s="73" t="str">
        <x:v>PDF стр. 8</x:v>
      </x:c>
      <x:c r="H1675" s="73" t="str">
        <x:v>Отдельно от капитала акционеров</x:v>
      </x:c>
      <x:c r="I1675" s="89"/>
      <x:c r="J1675" s="88"/>
      <x:c r="K1675"/>
    </x:row>
    <x:row r="1676">
      <x:c r="A1676" t="str">
        <x:v>ENPG</x:v>
      </x:c>
      <x:c r="B1676" t="str">
        <x:v>1П2026</x:v>
      </x:c>
      <x:c r="C1676" s="73" t="str">
        <x:v>Капитал</x:v>
      </x:c>
      <x:c r="D1676" s="73" t="str">
        <x:v>Итого капитал группы</x:v>
      </x:c>
      <x:c r="E1676" s="84" t="n">
        <x:f>SUM(E1674:E1675)</x:f>
        <x:v>1163353.8518</x:v>
      </x:c>
      <x:c r="F1676" s="73" t="str">
        <x:v>ENPG_2026H1.pdf</x:v>
      </x:c>
      <x:c r="G1676" s="73" t="str">
        <x:v>PDF стр. 8</x:v>
      </x:c>
      <x:c r="H1676" s="73" t="str">
        <x:v>9 781 + 5 181 = 14 962 млн долл. США</x:v>
      </x:c>
      <x:c r="I1676" s="89"/>
      <x:c r="J1676" s="88"/>
      <x:c r="K1676"/>
    </x:row>
    <x:row r="1677">
      <x:c r="A1677" t="str">
        <x:v>MDMG</x:v>
      </x:c>
      <x:c r="B1677" t="str">
        <x:v>2025</x:v>
      </x:c>
      <x:c r="C1677" s="73" t="str">
        <x:v>Чистый долг компании</x:v>
      </x:c>
      <x:c r="D1677" s="73" t="str">
        <x:v>Итого долг и аренда минус денежные средства</x:v>
      </x:c>
      <x:c r="E1677" s="84" t="n">
        <x:v>368.416</x:v>
      </x:c>
      <x:c r="F1677" s="73" t="str">
        <x:v>MD Medical Group — Consolidated Financial Statements for 2025 (официальный сайт компании)</x:v>
      </x:c>
      <x:c r="G1677" s="73" t="str">
        <x:v>PDF стр. 52</x:v>
      </x:c>
      <x:c r="H1677" s="73" t="str">
        <x:v>Раскрытый компанией adjusted net debt; пресс-релиз округляет до 369 млн руб.</x:v>
      </x:c>
      <x:c r="I1677" s="89"/>
      <x:c r="J1677" s="88"/>
      <x:c r="K1677"/>
    </x:row>
    <x:row r="1678">
      <x:c r="A1678" t="str">
        <x:v>MDMG</x:v>
      </x:c>
      <x:c r="B1678" t="str">
        <x:v>2025</x:v>
      </x:c>
      <x:c r="C1678" s="73" t="str">
        <x:v>Краткосрочный долг и аренда</x:v>
      </x:c>
      <x:c r="D1678" s="73" t="str">
        <x:v>Краткосрочная часть арендных обязательств</x:v>
      </x:c>
      <x:c r="E1678" s="84" t="n">
        <x:v>273.353</x:v>
      </x:c>
      <x:c r="F1678" s="73" t="str">
        <x:v>MD Medical Group — Consolidated Financial Statements for 2025 (официальный сайт компании)</x:v>
      </x:c>
      <x:c r="G1678" s="73" t="str">
        <x:v>PDF стр. 52</x:v>
      </x:c>
      <x:c r="H1678" s="73" t="str">
        <x:v>Компонент раскрытого чистого долга</x:v>
      </x:c>
      <x:c r="I1678" s="89"/>
      <x:c r="J1678" s="88"/>
      <x:c r="K1678"/>
    </x:row>
    <x:row r="1679">
      <x:c r="A1679" t="str">
        <x:v>MDMG</x:v>
      </x:c>
      <x:c r="B1679" t="str">
        <x:v>2025</x:v>
      </x:c>
      <x:c r="C1679" s="73" t="str">
        <x:v>Долгосрочный долг и аренда</x:v>
      </x:c>
      <x:c r="D1679" s="73" t="str">
        <x:v>Долгосрочная часть арендных обязательств</x:v>
      </x:c>
      <x:c r="E1679" s="84" t="n">
        <x:v>2824.362</x:v>
      </x:c>
      <x:c r="F1679" s="73" t="str">
        <x:v>MD Medical Group — Consolidated Financial Statements for 2025 (официальный сайт компании)</x:v>
      </x:c>
      <x:c r="G1679" s="73" t="str">
        <x:v>PDF стр. 52</x:v>
      </x:c>
      <x:c r="H1679" s="73" t="str">
        <x:v>Компонент раскрытого чистого долга</x:v>
      </x:c>
      <x:c r="I1679" s="89"/>
      <x:c r="J1679" s="88"/>
      <x:c r="K1679"/>
    </x:row>
    <x:row r="1680">
      <x:c r="A1680" t="str">
        <x:v>MDMG</x:v>
      </x:c>
      <x:c r="B1680" t="str">
        <x:v>2025</x:v>
      </x:c>
      <x:c r="C1680" s="73" t="str">
        <x:v>Денежные средства</x:v>
      </x:c>
      <x:c r="D1680" s="73" t="str">
        <x:v>Денежные средства и эквиваленты</x:v>
      </x:c>
      <x:c r="E1680" s="84" t="n">
        <x:v>2729.299</x:v>
      </x:c>
      <x:c r="F1680" s="73" t="str">
        <x:v>MD Medical Group — Consolidated Financial Statements for 2025 (официальный сайт компании)</x:v>
      </x:c>
      <x:c r="G1680" s="73" t="str">
        <x:v>PDF стр. 52</x:v>
      </x:c>
      <x:c r="H1680" s="73" t="str">
        <x:v>Вычитаются при расчете чистого долга</x:v>
      </x:c>
      <x:c r="I1680" s="89"/>
      <x:c r="J1680" s="88"/>
      <x:c r="K1680"/>
    </x:row>
    <x:row r="1681">
      <x:c r="A1681" t="str">
        <x:v>MDMG</x:v>
      </x:c>
      <x:c r="B1681" t="str">
        <x:v>2025</x:v>
      </x:c>
      <x:c r="C1681" s="73" t="str">
        <x:v>Неконтролирующие доли</x:v>
      </x:c>
      <x:c r="D1681" s="73" t="str">
        <x:v>Неконтролирующие доли в капитале</x:v>
      </x:c>
      <x:c r="E1681" s="84" t="n">
        <x:v>187.227</x:v>
      </x:c>
      <x:c r="F1681" s="73" t="str">
        <x:v>MD Medical Group — Consolidated Financial Statements for 2025 (официальный сайт компании)</x:v>
      </x:c>
      <x:c r="G1681" s="73" t="str">
        <x:v>PDF стр. 18, 20</x:v>
      </x:c>
      <x:c r="H1681" s="73" t="str">
        <x:v>Показаны отдельно от капитала акционеров</x:v>
      </x:c>
      <x:c r="I1681" s="89"/>
      <x:c r="J1681" s="88"/>
      <x:c r="K1681"/>
    </x:row>
    <x:row r="1682">
      <x:c r="A1682" t="str">
        <x:v>MDMG</x:v>
      </x:c>
      <x:c r="B1682" t="str">
        <x:v>1П2025</x:v>
      </x:c>
      <x:c r="C1682" s="73" t="str">
        <x:v>Капитал акционеров</x:v>
      </x:c>
      <x:c r="D1682" s="73" t="str">
        <x:v>Капитал, относимый к акционерам материнской компании</x:v>
      </x:c>
      <x:c r="E1682" s="84" t="n">
        <x:v>33850.291</x:v>
      </x:c>
      <x:c r="F1682" s="73" t="str">
        <x:v>MD Medical Group — Interim Condensed Consolidated Financial Statements, 6M 2025 (официальный сайт компании)</x:v>
      </x:c>
      <x:c r="G1682" s="73" t="str">
        <x:v>PDF стр. 5, 7</x:v>
      </x:c>
      <x:c r="H1682" s="73" t="str">
        <x:v>Остаток на 30.06.2025</x:v>
      </x:c>
      <x:c r="I1682" s="89"/>
      <x:c r="J1682" s="88"/>
      <x:c r="K1682"/>
    </x:row>
    <x:row r="1683">
      <x:c r="A1683" t="str">
        <x:v>MDMG</x:v>
      </x:c>
      <x:c r="B1683" t="str">
        <x:v>1П2025</x:v>
      </x:c>
      <x:c r="C1683" s="73" t="str">
        <x:v>Краткосрочный долг и аренда</x:v>
      </x:c>
      <x:c r="D1683" s="73" t="str">
        <x:v>Краткосрочная часть арендных обязательств</x:v>
      </x:c>
      <x:c r="E1683" s="84" t="n">
        <x:v>271.921</x:v>
      </x:c>
      <x:c r="F1683" s="73" t="str">
        <x:v>MD Medical Group — Interim Condensed Consolidated Financial Statements, 6M 2025 (официальный сайт компании)</x:v>
      </x:c>
      <x:c r="G1683" s="73" t="str">
        <x:v>PDF стр. 5, 20</x:v>
      </x:c>
      <x:c r="H1683" s="73" t="str">
        <x:v>Компонент аналитического чистого долга</x:v>
      </x:c>
      <x:c r="I1683" s="89"/>
      <x:c r="J1683" s="88"/>
      <x:c r="K1683"/>
    </x:row>
    <x:row r="1684">
      <x:c r="A1684" t="str">
        <x:v>MDMG</x:v>
      </x:c>
      <x:c r="B1684" t="str">
        <x:v>1П2025</x:v>
      </x:c>
      <x:c r="C1684" s="73" t="str">
        <x:v>Долгосрочный долг и аренда</x:v>
      </x:c>
      <x:c r="D1684" s="73" t="str">
        <x:v>Долгосрочная часть арендных обязательств</x:v>
      </x:c>
      <x:c r="E1684" s="84" t="n">
        <x:v>2797.766</x:v>
      </x:c>
      <x:c r="F1684" s="73" t="str">
        <x:v>MD Medical Group — Interim Condensed Consolidated Financial Statements, 6M 2025 (официальный сайт компании)</x:v>
      </x:c>
      <x:c r="G1684" s="73" t="str">
        <x:v>PDF стр. 5, 20</x:v>
      </x:c>
      <x:c r="H1684" s="73" t="str">
        <x:v>Компонент аналитического чистого долга</x:v>
      </x:c>
      <x:c r="I1684" s="89"/>
      <x:c r="J1684" s="88"/>
      <x:c r="K1684"/>
    </x:row>
    <x:row r="1685">
      <x:c r="A1685" t="str">
        <x:v>MDMG</x:v>
      </x:c>
      <x:c r="B1685" t="str">
        <x:v>1П2025</x:v>
      </x:c>
      <x:c r="C1685" s="73" t="str">
        <x:v>Денежные средства</x:v>
      </x:c>
      <x:c r="D1685" s="73" t="str">
        <x:v>Денежные средства и эквиваленты</x:v>
      </x:c>
      <x:c r="E1685" s="84" t="n">
        <x:v>3458.94</x:v>
      </x:c>
      <x:c r="F1685" s="73" t="str">
        <x:v>MD Medical Group — Interim Condensed Consolidated Financial Statements, 6M 2025 (официальный сайт компании)</x:v>
      </x:c>
      <x:c r="G1685" s="73" t="str">
        <x:v>PDF стр. 5</x:v>
      </x:c>
      <x:c r="H1685" s="73" t="str">
        <x:v>Вычитаются при расчете чистого долга</x:v>
      </x:c>
      <x:c r="I1685" s="89"/>
      <x:c r="J1685" s="88"/>
      <x:c r="K1685"/>
    </x:row>
    <x:row r="1686">
      <x:c r="A1686" t="str">
        <x:v>MDMG</x:v>
      </x:c>
      <x:c r="B1686" t="str">
        <x:v>1П2025</x:v>
      </x:c>
      <x:c r="C1686" s="73" t="str">
        <x:v>Неконтролирующие доли</x:v>
      </x:c>
      <x:c r="D1686" s="73" t="str">
        <x:v>Неконтролирующие доли в капитале</x:v>
      </x:c>
      <x:c r="E1686" s="84" t="n">
        <x:v>215.79</x:v>
      </x:c>
      <x:c r="F1686" s="73" t="str">
        <x:v>MD Medical Group — Interim Condensed Consolidated Financial Statements, 6M 2025 (официальный сайт компании)</x:v>
      </x:c>
      <x:c r="G1686" s="73" t="str">
        <x:v>PDF стр. 5, 7</x:v>
      </x:c>
      <x:c r="H1686" s="73" t="str">
        <x:v>Показаны отдельно от капитала акционеров</x:v>
      </x:c>
      <x:c r="I1686" s="89"/>
      <x:c r="J1686" s="88"/>
      <x:c r="K1686"/>
    </x:row>
    <x:row r="1687">
      <x:c r="A1687" t="str">
        <x:v>MDMG</x:v>
      </x:c>
      <x:c r="B1687" t="str">
        <x:v>1П2026</x:v>
      </x:c>
      <x:c r="C1687" s="73" t="str">
        <x:v>Краткосрочный долг и аренда</x:v>
      </x:c>
      <x:c r="D1687" s="73" t="str">
        <x:v>Кредиты, займы и аренда — краткосрочная часть</x:v>
      </x:c>
      <x:c r="E1687" s="84" t="n">
        <x:v>844.737</x:v>
      </x:c>
      <x:c r="F1687" s="73" t="str">
        <x:v>MD Medical Group — Interim Condensed Consolidated Financial Statements, 6M 2026 (официальный сайт компании)</x:v>
      </x:c>
      <x:c r="G1687" s="73" t="str">
        <x:v>PDF стр. 5</x:v>
      </x:c>
      <x:c r="H1687" s="73" t="str">
        <x:v>Компонент раскрытого чистого долга</x:v>
      </x:c>
      <x:c r="I1687" s="89"/>
      <x:c r="J1687" s="88"/>
      <x:c r="K1687"/>
    </x:row>
    <x:row r="1688">
      <x:c r="A1688" t="str">
        <x:v>MDMG</x:v>
      </x:c>
      <x:c r="B1688" t="str">
        <x:v>1П2026</x:v>
      </x:c>
      <x:c r="C1688" s="73" t="str">
        <x:v>Долгосрочный долг и аренда</x:v>
      </x:c>
      <x:c r="D1688" s="73" t="str">
        <x:v>Кредиты, займы и аренда — долгосрочная часть</x:v>
      </x:c>
      <x:c r="E1688" s="84" t="n">
        <x:v>10025.341</x:v>
      </x:c>
      <x:c r="F1688" s="73" t="str">
        <x:v>MD Medical Group — Interim Condensed Consolidated Financial Statements, 6M 2026 (официальный сайт компании)</x:v>
      </x:c>
      <x:c r="G1688" s="73" t="str">
        <x:v>PDF стр. 5</x:v>
      </x:c>
      <x:c r="H1688" s="73" t="str">
        <x:v>Компонент раскрытого чистого долга</x:v>
      </x:c>
      <x:c r="I1688" s="89"/>
      <x:c r="J1688" s="88"/>
      <x:c r="K1688"/>
    </x:row>
    <x:row r="1689">
      <x:c r="A1689" t="str">
        <x:v>MDMG</x:v>
      </x:c>
      <x:c r="B1689" t="str">
        <x:v>1П2026</x:v>
      </x:c>
      <x:c r="C1689" s="73" t="str">
        <x:v>Денежные средства</x:v>
      </x:c>
      <x:c r="D1689" s="73" t="str">
        <x:v>Денежные средства и эквиваленты</x:v>
      </x:c>
      <x:c r="E1689" s="84" t="n">
        <x:v>4609.307</x:v>
      </x:c>
      <x:c r="F1689" s="73" t="str">
        <x:v>MD Medical Group — Interim Condensed Consolidated Financial Statements, 6M 2026 (официальный сайт компании)</x:v>
      </x:c>
      <x:c r="G1689" s="73" t="str">
        <x:v>PDF стр. 5</x:v>
      </x:c>
      <x:c r="H1689" s="73" t="str">
        <x:v>Вычитаются при расчете чистого долга</x:v>
      </x:c>
      <x:c r="I1689" s="89"/>
      <x:c r="J1689" s="88"/>
      <x:c r="K1689"/>
    </x:row>
    <x:row r="1691">
      <x:c r="A1691" t="str">
        <x:v>LENT</x:v>
      </x:c>
      <x:c r="B1691" t="str">
        <x:v>2025</x:v>
      </x:c>
      <x:c r="C1691" s="73" t="str">
        <x:v>EBITDA IAS 17</x:v>
      </x:c>
      <x:c r="D1691" s="73" t="str">
        <x:v>EBITDA до применения IFRS 16</x:v>
      </x:c>
      <x:c r="E1691" s="84" t="n">
        <x:v>83684</x:v>
      </x:c>
      <x:c r="F1691" s="73" t="str">
        <x:v>Группа Лента — результаты 4К и 2025, 26.03.2026; официальный IR</x:v>
      </x:c>
      <x:c r="G1691" s="73" t="str">
        <x:v>таблица финансовых результатов</x:v>
      </x:c>
      <x:c r="H1691" s="73" t="str">
        <x:v>Опубликованный компанией итог; отдельная версия от IFRS 16 EBITDA</x:v>
      </x:c>
      <x:c r="I1691" s="89"/>
      <x:c r="J1691" s="88"/>
      <x:c r="K1691"/>
    </x:row>
    <x:row r="1692">
      <x:c r="A1692" t="str">
        <x:v>LENT</x:v>
      </x:c>
      <x:c r="B1692" t="str">
        <x:v>2025</x:v>
      </x:c>
      <x:c r="C1692" s="73" t="str">
        <x:v>Капитал</x:v>
      </x:c>
      <x:c r="D1692" s="73" t="str">
        <x:v>Неконтролирующие доли участия</x:v>
      </x:c>
      <x:c r="E1692" s="84" t="n">
        <x:v>935.604</x:v>
      </x:c>
      <x:c r="F1692" s="73" t="str">
        <x:v>Лента_МСФО_2025.pdf</x:v>
      </x:c>
      <x:c r="G1692" s="73" t="str">
        <x:v>PDF стр. 9</x:v>
      </x:c>
      <x:c r="H1692" s="73" t="str">
        <x:v>Отдельно от капитала акционеров</x:v>
      </x:c>
      <x:c r="I1692" s="89"/>
      <x:c r="J1692" s="88"/>
      <x:c r="K1692"/>
    </x:row>
    <x:row r="1693">
      <x:c r="A1693" t="str">
        <x:v>LENT</x:v>
      </x:c>
      <x:c r="B1693" t="str">
        <x:v>2025</x:v>
      </x:c>
      <x:c r="C1693" s="73" t="str">
        <x:v>Капитал</x:v>
      </x:c>
      <x:c r="D1693" s="73" t="str">
        <x:v>Итого капитал группы</x:v>
      </x:c>
      <x:c r="E1693" s="84" t="n">
        <x:v>180051.401</x:v>
      </x:c>
      <x:c r="F1693" s="73" t="str">
        <x:v>Лента_МСФО_2025.pdf</x:v>
      </x:c>
      <x:c r="G1693" s="73" t="str">
        <x:v>PDF стр. 9</x:v>
      </x:c>
      <x:c r="H1693" s="73" t="str">
        <x:v>179 115,797 + 935,604</x:v>
      </x:c>
      <x:c r="I1693" s="89"/>
      <x:c r="J1693" s="88"/>
      <x:c r="K1693"/>
    </x:row>
    <x:row r="1695">
      <x:c r="A1695" t="str">
        <x:v>LENT</x:v>
      </x:c>
      <x:c r="B1695" t="str">
        <x:v>1П2025</x:v>
      </x:c>
      <x:c r="C1695" s="73" t="str">
        <x:v>Чистый долг IFRS 16</x:v>
      </x:c>
      <x:c r="D1695" s="73" t="str">
        <x:v>Краткосрочные заемные средства</x:v>
      </x:c>
      <x:c r="E1695" s="84" t="n">
        <x:v>56983</x:v>
      </x:c>
      <x:c r="F1695" s="73" t="str">
        <x:v>Группа Лента — результаты 2К и 1П2025; официальный IR</x:v>
      </x:c>
      <x:c r="G1695" s="73" t="str">
        <x:v>таблица финансового положения</x:v>
      </x:c>
      <x:c r="H1695" s="73" t="str">
        <x:v>Опубликовано с округлением до млн руб.</x:v>
      </x:c>
      <x:c r="I1695" s="89"/>
      <x:c r="J1695" s="88"/>
      <x:c r="K1695"/>
    </x:row>
    <x:row r="1696">
      <x:c r="A1696" t="str">
        <x:v>LENT</x:v>
      </x:c>
      <x:c r="B1696" t="str">
        <x:v>1П2025</x:v>
      </x:c>
      <x:c r="C1696" s="73" t="str">
        <x:v>Чистый долг IFRS 16</x:v>
      </x:c>
      <x:c r="D1696" s="73" t="str">
        <x:v>Долгосрочные заемные средства</x:v>
      </x:c>
      <x:c r="E1696" s="84" t="n">
        <x:v>43118</x:v>
      </x:c>
      <x:c r="F1696" s="73" t="str">
        <x:v>Группа Лента — результаты 2К и 1П2025; официальный IR</x:v>
      </x:c>
      <x:c r="G1696" s="73" t="str">
        <x:v>таблица финансового положения</x:v>
      </x:c>
      <x:c r="H1696" s="73" t="str">
        <x:v>Опубликовано с округлением до млн руб.</x:v>
      </x:c>
      <x:c r="I1696" s="89"/>
      <x:c r="J1696" s="88"/>
      <x:c r="K1696"/>
    </x:row>
    <x:row r="1697">
      <x:c r="A1697" t="str">
        <x:v>LENT</x:v>
      </x:c>
      <x:c r="B1697" t="str">
        <x:v>1П2025</x:v>
      </x:c>
      <x:c r="C1697" s="73" t="str">
        <x:v>Чистый долг IFRS 16</x:v>
      </x:c>
      <x:c r="D1697" s="73" t="str">
        <x:v>Обязательства по аренде</x:v>
      </x:c>
      <x:c r="E1697" s="84" t="n">
        <x:v>99673.261</x:v>
      </x:c>
      <x:c r="F1697" s="73" t="str">
        <x:v>LENT_2026H1.pdf</x:v>
      </x:c>
      <x:c r="G1697" s="73" t="str">
        <x:v>PDF стр. 21</x:v>
      </x:c>
      <x:c r="H1697" s="73" t="str">
        <x:v>Точный остаток на 30.06.2025; IR округляет до 99 673</x:v>
      </x:c>
      <x:c r="I1697" s="89"/>
      <x:c r="J1697" s="88"/>
      <x:c r="K1697"/>
    </x:row>
    <x:row r="1698">
      <x:c r="A1698" t="str">
        <x:v>LENT</x:v>
      </x:c>
      <x:c r="B1698" t="str">
        <x:v>1П2025</x:v>
      </x:c>
      <x:c r="C1698" s="73" t="str">
        <x:v>Чистый долг IFRS 16</x:v>
      </x:c>
      <x:c r="D1698" s="73" t="str">
        <x:v>Денежные средства и эквиваленты</x:v>
      </x:c>
      <x:c r="E1698" s="84" t="n">
        <x:v>30936</x:v>
      </x:c>
      <x:c r="F1698" s="73" t="str">
        <x:v>Группа Лента — результаты 2К и 1П2025; официальный IR</x:v>
      </x:c>
      <x:c r="G1698" s="73" t="str">
        <x:v>таблица финансового положения</x:v>
      </x:c>
      <x:c r="H1698" s="73" t="str">
        <x:v>Вычитаются; опубликовано с округлением до млн руб.</x:v>
      </x:c>
      <x:c r="I1698" s="89"/>
      <x:c r="J1698" s="88"/>
      <x:c r="K1698"/>
    </x:row>
    <x:row r="1699">
      <x:c r="A1699" t="str">
        <x:v>LENT</x:v>
      </x:c>
      <x:c r="B1699" t="str">
        <x:v>1П2025</x:v>
      </x:c>
      <x:c r="C1699" s="73" t="str">
        <x:v>Чистый долг IFRS 16</x:v>
      </x:c>
      <x:c r="D1699" s="73" t="str">
        <x:v>Опубликованный итог</x:v>
      </x:c>
      <x:c r="E1699" s="84" t="n">
        <x:v>168838</x:v>
      </x:c>
      <x:c r="F1699" s="73" t="str">
        <x:v>Группа Лента — результаты 2К и 1П2025; официальный IR</x:v>
      </x:c>
      <x:c r="G1699" s="73" t="str">
        <x:v>таблица финансового положения</x:v>
      </x:c>
      <x:c r="H1699" s="73" t="str">
        <x:v>Опубликованный округленный итог на 30.06.2025</x:v>
      </x:c>
      <x:c r="I1699" s="89"/>
      <x:c r="J1699" s="88"/>
      <x:c r="K1699"/>
    </x:row>
    <x:row r="1700">
      <x:c r="A1700" t="str">
        <x:v>LENT</x:v>
      </x:c>
      <x:c r="B1700" t="str">
        <x:v>1П2025</x:v>
      </x:c>
      <x:c r="C1700" s="73" t="str">
        <x:v>Чистый долг IFRS 16</x:v>
      </x:c>
      <x:c r="D1700" s="73" t="str">
        <x:v>Балансный мост</x:v>
      </x:c>
      <x:c r="E1700" s="84" t="n">
        <x:f>SUM(E1695:E1697)-E1698</x:f>
        <x:v>168838.261</x:v>
      </x:c>
      <x:c r="F1700" s="73" t="str">
        <x:v>IR 1П2025 + LENT_2026H1.pdf</x:v>
      </x:c>
      <x:c r="G1700" s="73" t="str">
        <x:v>таблица финансового положения; PDF стр. 21</x:v>
      </x:c>
      <x:c r="H1700" s="73" t="str">
        <x:v>Точный мост отличается от опубликованного округленного итога на 0,261 млн руб.</x:v>
      </x:c>
      <x:c r="I1700" s="89" t="n">
        <x:v>168838.261</x:v>
      </x:c>
      <x:c r="J1700" s="85" t="n">
        <x:f>ROUND(E1700-I1700,6)</x:f>
        <x:v>0</x:v>
      </x:c>
      <x:c r="K1700"/>
    </x:row>
    <x:row r="1701">
      <x:c r="A1701" t="str">
        <x:v>LENT</x:v>
      </x:c>
      <x:c r="B1701" t="str">
        <x:v>1П2025</x:v>
      </x:c>
      <x:c r="C1701" s="73" t="str">
        <x:v>Чистый долг IAS 17</x:v>
      </x:c>
      <x:c r="D1701" s="73" t="str">
        <x:v>Заемные средства минус деньги</x:v>
      </x:c>
      <x:c r="E1701" s="84" t="n">
        <x:f>SUM(E1695:E1696)-E1698</x:f>
        <x:v>69165</x:v>
      </x:c>
      <x:c r="F1701" s="73" t="str">
        <x:v>Группа Лента — результаты 2К и 1П2025; официальный IR</x:v>
      </x:c>
      <x:c r="G1701" s="73" t="str">
        <x:v>таблица финансового положения</x:v>
      </x:c>
      <x:c r="H1701" s="73" t="str">
        <x:v>Опубликовано 69 165 млн руб.</x:v>
      </x:c>
      <x:c r="I1701" s="89" t="n">
        <x:v>69165</x:v>
      </x:c>
      <x:c r="J1701" s="85" t="n">
        <x:f>ROUND(E1701-I1701,6)</x:f>
        <x:v>0</x:v>
      </x:c>
      <x:c r="K1701"/>
    </x:row>
    <x:row r="1702">
      <x:c r="A1702" t="str">
        <x:v>LENT</x:v>
      </x:c>
      <x:c r="B1702" t="str">
        <x:v>1П2025</x:v>
      </x:c>
      <x:c r="C1702" s="73" t="str">
        <x:v>EBITDA IAS 17</x:v>
      </x:c>
      <x:c r="D1702" s="73" t="str">
        <x:v>EBITDA до применения IFRS 16</x:v>
      </x:c>
      <x:c r="E1702" s="84" t="n">
        <x:v>38531</x:v>
      </x:c>
      <x:c r="F1702" s="73" t="str">
        <x:v>Группа Лента — результаты 2К и 1П2025; официальный IR</x:v>
      </x:c>
      <x:c r="G1702" s="73" t="str">
        <x:v>таблица финансовых результатов</x:v>
      </x:c>
      <x:c r="H1702" s="73" t="str">
        <x:v>Опубликованный компанией итог</x:v>
      </x:c>
      <x:c r="I1702" s="89"/>
      <x:c r="J1702" s="88"/>
      <x:c r="K1702"/>
    </x:row>
    <x:row r="1703">
      <x:c r="A1703" t="str">
        <x:v>LENT</x:v>
      </x:c>
      <x:c r="B1703" t="str">
        <x:v>1П2025</x:v>
      </x:c>
      <x:c r="C1703" s="73" t="str">
        <x:v>Капитал</x:v>
      </x:c>
      <x:c r="D1703" s="73" t="str">
        <x:v>Неконтролирующие доли участия</x:v>
      </x:c>
      <x:c r="E1703" s="84" t="n">
        <x:v>0</x:v>
      </x:c>
      <x:c r="F1703" s="73" t="str">
        <x:v>LENT_2026H1.pdf</x:v>
      </x:c>
      <x:c r="G1703" s="73" t="str">
        <x:v>PDF стр. 9</x:v>
      </x:c>
      <x:c r="H1703" s="73" t="str">
        <x:v>На 30.06.2025 НКД отсутствует</x:v>
      </x:c>
      <x:c r="I1703" s="89"/>
      <x:c r="J1703" s="88"/>
      <x:c r="K1703"/>
    </x:row>
    <x:row r="1704">
      <x:c r="A1704" t="str">
        <x:v>LENT</x:v>
      </x:c>
      <x:c r="B1704" t="str">
        <x:v>1П2025</x:v>
      </x:c>
      <x:c r="C1704" s="73" t="str">
        <x:v>Капитал</x:v>
      </x:c>
      <x:c r="D1704" s="73" t="str">
        <x:v>Итого капитал группы</x:v>
      </x:c>
      <x:c r="E1704" s="84" t="n">
        <x:v>163301.853</x:v>
      </x:c>
      <x:c r="F1704" s="73" t="str">
        <x:v>LENT_2026H1.pdf</x:v>
      </x:c>
      <x:c r="G1704" s="73" t="str">
        <x:v>PDF стр. 9</x:v>
      </x:c>
      <x:c r="H1704" s="73" t="str">
        <x:v>Совпадает с капиталом акционеров</x:v>
      </x:c>
      <x:c r="I1704" s="89"/>
      <x:c r="J1704" s="88"/>
      <x:c r="K1704"/>
    </x:row>
    <x:row r="1706">
      <x:c r="A1706" t="str">
        <x:v>LENT</x:v>
      </x:c>
      <x:c r="B1706" t="str">
        <x:v>1П2026</x:v>
      </x:c>
      <x:c r="C1706" s="73" t="str">
        <x:v>EBITDA IAS 17</x:v>
      </x:c>
      <x:c r="D1706" s="73" t="str">
        <x:v>EBITDA до применения IFRS 16</x:v>
      </x:c>
      <x:c r="E1706" s="84" t="n">
        <x:v>39279</x:v>
      </x:c>
      <x:c r="F1706" s="73" t="str">
        <x:v>Группа Лента — результаты 2К и 1П2026; официальный IR</x:v>
      </x:c>
      <x:c r="G1706" s="73" t="str">
        <x:v>таблица финансовых результатов</x:v>
      </x:c>
      <x:c r="H1706" s="73" t="str">
        <x:v>Опубликованный компанией итог</x:v>
      </x:c>
      <x:c r="I1706" s="89"/>
      <x:c r="J1706" s="88"/>
      <x:c r="K1706"/>
    </x:row>
    <x:row r="1707">
      <x:c r="A1707" t="str">
        <x:v>LENT</x:v>
      </x:c>
      <x:c r="B1707" t="str">
        <x:v>1П2026</x:v>
      </x:c>
      <x:c r="C1707" s="73" t="str">
        <x:v>Капитал</x:v>
      </x:c>
      <x:c r="D1707" s="73" t="str">
        <x:v>Итого капитал группы</x:v>
      </x:c>
      <x:c r="E1707" s="84" t="n">
        <x:v>190720.331</x:v>
      </x:c>
      <x:c r="F1707" s="73" t="str">
        <x:v>LENT_2026H1.pdf</x:v>
      </x:c>
      <x:c r="G1707" s="73" t="str">
        <x:v>PDF стр. 8-9</x:v>
      </x:c>
      <x:c r="H1707" s="73" t="str">
        <x:v>189 728,624 + 991,707</x:v>
      </x:c>
      <x:c r="I1707" s="89"/>
      <x:c r="J1707" s="88"/>
      <x:c r="K1707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2" max="2" width="17" customWidth="1"/>
    <x:col min="3" max="3" width="26.28515625" customWidth="1"/>
    <x:col min="4" max="4" width="31.28515625" customWidth="1"/>
    <x:col min="5" max="5" width="32.42578125" customWidth="1"/>
    <x:col min="6" max="6" width="37.42578125" customWidth="1"/>
  </x:cols>
  <x:sheetData>
    <x:row r="2" ht="27">
      <x:c r="B2" s="43" t="s">
        <x:v>120</x:v>
      </x:c>
      <x:c r="C2" s="43" t="s">
        <x:v>140</x:v>
      </x:c>
      <x:c r="D2" s="43" t="s">
        <x:v>141</x:v>
      </x:c>
      <x:c r="E2" s="43" t="s">
        <x:v>142</x:v>
      </x:c>
      <x:c r="F2" s="43" t="s">
        <x:v>143</x:v>
      </x:c>
    </x:row>
    <x:row r="3">
      <x:c r="B3" s="44" t="s">
        <x:v>70</x:v>
      </x:c>
      <x:c r="C3" s="45">
        <x:v>5162.7857142860003</x:v>
      </x:c>
      <x:c r="D3" s="45">
        <x:v>0</x:v>
      </x:c>
      <x:c r="E3" s="46">
        <x:v>692865762</x:v>
      </x:c>
      <x:c r="F3" s="45">
        <x:v>0</x:v>
      </x:c>
    </x:row>
    <x:row r="4">
      <x:c r="B4" s="47" t="s">
        <x:v>72</x:v>
      </x:c>
      <x:c r="C4" s="48">
        <x:v>93.515714286000005</x:v>
      </x:c>
      <x:c r="D4" s="48">
        <x:v>0</x:v>
      </x:c>
      <x:c r="E4" s="46" t="n">
        <x:v>23673512900</x:v>
      </x:c>
      <x:c r="F4" s="48">
        <x:v>0</x:v>
      </x:c>
    </x:row>
    <x:row r="5">
      <x:c r="B5" s="49" t="s">
        <x:v>73</x:v>
      </x:c>
      <x:c r="C5" s="46">
        <x:v>3730.4047619050002</x:v>
      </x:c>
      <x:c r="D5" s="46">
        <x:v>0</x:v>
      </x:c>
      <x:c r="E5" s="46">
        <x:v>396907079</x:v>
      </x:c>
      <x:c r="F5" s="46">
        <x:v>0</x:v>
      </x:c>
    </x:row>
    <x:row r="6">
      <x:c r="B6" s="49" t="s">
        <x:v>75</x:v>
      </x:c>
      <x:c r="C6" s="46">
        <x:v>258.12476190500001</x:v>
      </x:c>
      <x:c r="D6" s="46">
        <x:v>0</x:v>
      </x:c>
      <x:c r="E6" s="46" t="n">
        <x:v>2682747860</x:v>
      </x:c>
      <x:c r="F6" s="46">
        <x:v>0</x:v>
      </x:c>
    </x:row>
    <x:row r="7">
      <x:c r="B7" s="49" t="s">
        <x:v>77</x:v>
      </x:c>
      <x:c r="C7" s="46">
        <x:v>610.728571429</x:v>
      </x:c>
      <x:c r="D7" s="46">
        <x:v>585.97142857100005</x:v>
      </x:c>
      <x:c r="E7" s="46" t="n">
        <x:v>2178690700</x:v>
      </x:c>
      <x:c r="F7" s="46" t="n">
        <x:v>147508500</x:v>
      </x:c>
    </x:row>
    <x:row r="8">
      <x:c r="B8" s="49" t="s">
        <x:v>78</x:v>
      </x:c>
      <x:c r="C8" s="46">
        <x:v>1023.219047619</x:v>
      </x:c>
      <x:c r="D8" s="46">
        <x:v>0</x:v>
      </x:c>
      <x:c r="E8" s="46" t="n">
        <x:v>3036306000</x:v>
      </x:c>
      <x:c r="F8" s="46">
        <x:v>0</x:v>
      </x:c>
    </x:row>
    <x:row r="9">
      <x:c r="B9" s="49" t="s">
        <x:v>79</x:v>
      </x:c>
      <x:c r="C9" s="46">
        <x:v>128.48952381000001</x:v>
      </x:c>
      <x:c r="D9" s="46">
        <x:v>0</x:v>
      </x:c>
      <x:c r="E9" s="46" t="n">
        <x:v>15286339700</x:v>
      </x:c>
      <x:c r="F9" s="46">
        <x:v>0</x:v>
      </x:c>
    </x:row>
    <x:row r="10">
      <x:c r="B10" s="49" t="s">
        <x:v>81</x:v>
      </x:c>
      <x:c r="C10" s="46">
        <x:v>2648.5714285710001</x:v>
      </x:c>
      <x:c r="D10" s="46">
        <x:v>0</x:v>
      </x:c>
      <x:c r="E10" s="46">
        <x:v>216413733</x:v>
      </x:c>
      <x:c r="F10" s="46">
        <x:v>0</x:v>
      </x:c>
    </x:row>
    <x:row r="11">
      <x:c r="B11" s="49" t="s">
        <x:v>83</x:v>
      </x:c>
      <x:c r="C11" s="46">
        <x:v>1805.9285714289999</x:v>
      </x:c>
      <x:c r="D11" s="46">
        <x:v>0</x:v>
      </x:c>
      <x:c r="E11" s="46">
        <x:v>271572872</x:v>
      </x:c>
      <x:c r="F11" s="46">
        <x:v>0</x:v>
      </x:c>
    </x:row>
    <x:row r="12">
      <x:c r="B12" s="49" t="s">
        <x:v>85</x:v>
      </x:c>
      <x:c r="C12" s="46">
        <x:v>345.25476190500001</x:v>
      </x:c>
      <x:c r="D12" s="46">
        <x:v>0</x:v>
      </x:c>
      <x:c r="E12" s="46">
        <x:v>10598177817</x:v>
      </x:c>
      <x:c r="F12" s="46">
        <x:v>0</x:v>
      </x:c>
    </x:row>
    <x:row r="13">
      <x:c r="B13" s="49" t="s">
        <x:v>86</x:v>
      </x:c>
      <x:c r="C13" s="46">
        <x:v>985.99047618999998</x:v>
      </x:c>
      <x:c r="D13" s="46">
        <x:v>0</x:v>
      </x:c>
      <x:c r="E13" s="46">
        <x:v>1360694001</x:v>
      </x:c>
      <x:c r="F13" s="46">
        <x:v>0</x:v>
      </x:c>
    </x:row>
    <x:row r="14">
      <x:c r="B14" s="49" t="s">
        <x:v>87</x:v>
      </x:c>
      <x:c r="C14" s="46">
        <x:v>15.810238095000001</x:v>
      </x:c>
      <x:c r="D14" s="46">
        <x:v>41.465952381000001</x:v>
      </x:c>
      <x:c r="E14" s="46">
        <x:v>35725994705</x:v>
      </x:c>
      <x:c r="F14" s="46">
        <x:v>7701998235</x:v>
      </x:c>
    </x:row>
    <x:row r="15">
      <x:c r="B15" s="49" t="s">
        <x:v>88</x:v>
      </x:c>
      <x:c r="C15" s="46">
        <x:v>2795.4761904759998</x:v>
      </x:c>
      <x:c r="D15" s="46">
        <x:v>0</x:v>
      </x:c>
      <x:c r="E15" s="46">
        <x:v>47184918</x:v>
      </x:c>
      <x:c r="F15" s="46">
        <x:v>0</x:v>
      </x:c>
    </x:row>
    <x:row r="16">
      <x:c r="B16" s="49" t="s">
        <x:v>89</x:v>
      </x:c>
      <x:c r="C16" s="46">
        <x:v>184.352380952</x:v>
      </x:c>
      <x:c r="D16" s="46">
        <x:v>0</x:v>
      </x:c>
      <x:c r="E16" s="46">
        <x:v>1998381575</x:v>
      </x:c>
      <x:c r="F16" s="46">
        <x:v>0</x:v>
      </x:c>
    </x:row>
    <x:row r="17">
      <x:c r="B17" s="49" t="s">
        <x:v>91</x:v>
      </x:c>
      <x:c r="C17" s="46">
        <x:v>2.364142857</x:v>
      </x:c>
      <x:c r="D17" s="46">
        <x:v>0</x:v>
      </x:c>
      <x:c r="E17" s="46" t="n">
        <x:v>104400000000</x:v>
      </x:c>
      <x:c r="F17" s="46">
        <x:v>0</x:v>
      </x:c>
    </x:row>
    <x:row r="18">
      <x:c r="B18" s="49" t="s">
        <x:v>93</x:v>
      </x:c>
      <x:c r="C18" s="46">
        <x:v>645.05714285700003</x:v>
      </x:c>
      <x:c r="D18" s="46">
        <x:v>0</x:v>
      </x:c>
      <x:c r="E18" s="46" t="n">
        <x:v>837718660</x:v>
      </x:c>
      <x:c r="F18" s="46">
        <x:v>0</x:v>
      </x:c>
    </x:row>
    <x:row r="19">
      <x:c r="B19" s="49" t="s">
        <x:v>94</x:v>
      </x:c>
      <x:c r="C19" s="46">
        <x:v>25.681428571000001</x:v>
      </x:c>
      <x:c r="D19" s="46">
        <x:v>0</x:v>
      </x:c>
      <x:c r="E19" s="46">
        <x:v>15193014862</x:v>
      </x:c>
      <x:c r="F19" s="46">
        <x:v>0</x:v>
      </x:c>
    </x:row>
    <x:row r="20">
      <x:c r="B20" s="49" t="s">
        <x:v>95</x:v>
      </x:c>
      <x:c r="C20" s="46">
        <x:v>71.818095237999998</x:v>
      </x:c>
      <x:c r="D20" s="46">
        <x:v>0</x:v>
      </x:c>
      <x:c r="E20" s="46" t="n">
        <x:v>5993227240</x:v>
      </x:c>
      <x:c r="F20" s="46">
        <x:v>0</x:v>
      </x:c>
    </x:row>
    <x:row r="21">
      <x:c r="B21" s="49" t="s">
        <x:v>96</x:v>
      </x:c>
      <x:c r="C21" s="46">
        <x:v>5376.9523809519997</x:v>
      </x:c>
      <x:c r="D21" s="46">
        <x:v>0</x:v>
      </x:c>
      <x:c r="E21" s="46">
        <x:v>129500000</x:v>
      </x:c>
      <x:c r="F21" s="46">
        <x:v>0</x:v>
      </x:c>
    </x:row>
    <x:row r="22">
      <x:c r="B22" s="49" t="s">
        <x:v>98</x:v>
      </x:c>
      <x:c r="C22" s="46">
        <x:v>40.247142857</x:v>
      </x:c>
      <x:c r="D22" s="46">
        <x:v>41.435714286</x:v>
      </x:c>
      <x:c r="E22" s="46">
        <x:v>3282997929</x:v>
      </x:c>
      <x:c r="F22" s="46">
        <x:v>209565147</x:v>
      </x:c>
    </x:row>
    <x:row r="23">
      <x:c r="B23" s="49" t="s">
        <x:v>99</x:v>
      </x:c>
      <x:c r="C23" s="46">
        <x:v>32.501904762000002</x:v>
      </x:c>
      <x:c r="D23" s="46">
        <x:v>0</x:v>
      </x:c>
      <x:c r="E23" s="46">
        <x:v>3975771215</x:v>
      </x:c>
      <x:c r="F23" s="46">
        <x:v>0</x:v>
      </x:c>
    </x:row>
    <x:row r="24">
      <x:c r="B24" s="49" t="s">
        <x:v>101</x:v>
      </x:c>
      <x:c r="C24" s="46">
        <x:v>22.206904762000001</x:v>
      </x:c>
      <x:c r="D24" s="46">
        <x:v>0</x:v>
      </x:c>
      <x:c r="E24" s="46">
        <x:v>11174330000</x:v>
      </x:c>
      <x:c r="F24" s="46">
        <x:v>0</x:v>
      </x:c>
    </x:row>
    <x:row r="25">
      <x:c r="B25" s="49" t="s">
        <x:v>102</x:v>
      </x:c>
      <x:c r="C25" s="46">
        <x:v>305.17857142899999</x:v>
      </x:c>
      <x:c r="D25" s="46">
        <x:v>0</x:v>
      </x:c>
      <x:c r="E25" s="46">
        <x:v>638848896</x:v>
      </x:c>
      <x:c r="F25" s="46">
        <x:v>0</x:v>
      </x:c>
    </x:row>
    <x:row r="26">
      <x:c r="B26" s="49" t="s">
        <x:v>103</x:v>
      </x:c>
      <x:c r="C26" s="46">
        <x:v>1307.2904761899999</x:v>
      </x:c>
      <x:c r="D26" s="46">
        <x:v>0</x:v>
      </x:c>
      <x:c r="E26" s="46" t="n">
        <x:v>75125010</x:v>
      </x:c>
      <x:c r="F26" s="46">
        <x:v>0</x:v>
      </x:c>
    </x:row>
    <x:row r="27">
      <x:c r="B27" s="49" t="s">
        <x:v>105</x:v>
      </x:c>
      <x:c r="C27" s="46">
        <x:v>1735.904761905</x:v>
      </x:c>
      <x:c r="D27" s="46">
        <x:v>0</x:v>
      </x:c>
      <x:c r="E27" s="46">
        <x:v>115985197</x:v>
      </x:c>
      <x:c r="F27" s="46">
        <x:v>0</x:v>
      </x:c>
    </x:row>
    <x:row r="28">
      <x:c r="B28" s="49" t="s">
        <x:v>106</x:v>
      </x:c>
      <x:c r="C28" s="46">
        <x:v>80.603809523999999</x:v>
      </x:c>
      <x:c r="D28" s="46">
        <x:v>0</x:v>
      </x:c>
      <x:c r="E28" s="46">
        <x:v>2374993901</x:v>
      </x:c>
      <x:c r="F28" s="46">
        <x:v>0</x:v>
      </x:c>
    </x:row>
    <x:row r="29">
      <x:c r="B29" s="49" t="s">
        <x:v>108</x:v>
      </x:c>
      <x:c r="C29" s="46">
        <x:v>250.89380952400001</x:v>
      </x:c>
      <x:c r="D29" s="46">
        <x:v>33.607142856999999</x:v>
      </x:c>
      <x:c r="E29" s="46">
        <x:v>445368521</x:v>
      </x:c>
      <x:c r="F29" s="46" t="n">
        <x:v>20100000</x:v>
      </x:c>
    </x:row>
    <x:row r="30">
      <x:c r="B30" s="49" t="s">
        <x:v>109</x:v>
      </x:c>
      <x:c r="C30" s="46">
        <x:v>19.944285713999999</x:v>
      </x:c>
      <x:c r="D30" s="46">
        <x:v>0</x:v>
      </x:c>
      <x:c r="E30" s="46" t="n">
        <x:v>7364965630</x:v>
      </x:c>
      <x:c r="F30" s="46">
        <x:v>0</x:v>
      </x:c>
    </x:row>
    <x:row r="31">
      <x:c r="B31" s="49" t="s">
        <x:v>110</x:v>
      </x:c>
      <x:c r="C31" s="46">
        <x:v>634.20952380999995</x:v>
      </x:c>
      <x:c r="D31" s="46">
        <x:v>0</x:v>
      </x:c>
      <x:c r="E31" s="46" t="n">
        <x:v>77670490</x:v>
      </x:c>
      <x:c r="F31" s="46">
        <x:v>0</x:v>
      </x:c>
    </x:row>
    <x:row r="32">
      <x:c r="B32" s="49" t="s">
        <x:v>111</x:v>
      </x:c>
      <x:c r="C32" s="46">
        <x:v>7.4329047619999997</x:v>
      </x:c>
      <x:c r="D32" s="46">
        <x:v>0</x:v>
      </x:c>
      <x:c r="E32" s="46">
        <x:v>9650000000</x:v>
      </x:c>
      <x:c r="F32" s="46">
        <x:v>0</x:v>
      </x:c>
    </x:row>
    <x:row r="33">
      <x:c r="B33" s="49" t="s">
        <x:v>113</x:v>
      </x:c>
      <x:c r="C33" s="46">
        <x:v>0.72037142899999995</x:v>
      </x:c>
      <x:c r="D33" s="46">
        <x:v>0</x:v>
      </x:c>
      <x:c r="E33" s="46">
        <x:v>222778849052</x:v>
      </x:c>
      <x:c r="F33" s="46">
        <x:v>0</x:v>
      </x:c>
    </x:row>
    <x:row r="34">
      <x:c r="B34" s="49" t="s">
        <x:v>114</x:v>
      </x:c>
      <x:c r="C34" s="46">
        <x:v>1008.380952381</x:v>
      </x:c>
      <x:c r="D34" s="46">
        <x:v>0</x:v>
      </x:c>
      <x:c r="E34" s="46">
        <x:v>71214000</x:v>
      </x:c>
      <x:c r="F34" s="46">
        <x:v>0</x:v>
      </x:c>
    </x:row>
    <x:row r="35">
      <x:c r="B35" s="49" t="s">
        <x:v>115</x:v>
      </x:c>
      <x:c r="C35" s="46">
        <x:v>116.807142857</x:v>
      </x:c>
      <x:c r="D35" s="46">
        <x:v>0</x:v>
      </x:c>
      <x:c r="E35" s="46" t="n">
        <x:v>572904180</x:v>
      </x:c>
      <x:c r="F35" s="46">
        <x:v>0</x:v>
      </x:c>
    </x:row>
    <x:row r="36">
      <x:c r="B36" s="49" t="s">
        <x:v>116</x:v>
      </x:c>
      <x:c r="C36" s="46">
        <x:v>70.220952381000004</x:v>
      </x:c>
      <x:c r="D36" s="46">
        <x:v>0</x:v>
      </x:c>
      <x:c r="E36" s="46" t="n">
        <x:v>958749600</x:v>
      </x:c>
      <x:c r="F36" s="46"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26.28515625" style="8" customWidth="1"/>
    <x:col min="2" max="4" width="12.5703125" style="8" customWidth="1"/>
    <x:col min="5" max="19" width="18.28515625" style="8" customWidth="1"/>
    <x:col min="20" max="20" width="49.140625" style="8" customWidth="1"/>
    <x:col min="21" max="22" width="22.85546875" style="8" customWidth="1"/>
    <x:col min="23" max="16384" width="9.140625" style="8" customWidth="0"/>
  </x:cols>
  <x:sheetData>
    <x:row r="1" ht="27" customHeight="1">
      <x:c r="A1" s="18" t="s">
        <x:v>144</x:v>
      </x:c>
      <x:c r="B1" s="18"/>
      <x:c r="C1" s="18"/>
      <x:c r="D1" s="18"/>
      <x:c r="E1" s="18"/>
      <x:c r="F1" s="18"/>
      <x:c r="G1" s="18"/>
      <x:c r="H1" s="18"/>
      <x:c r="I1" s="18"/>
      <x:c r="J1" s="18"/>
      <x:c r="K1" s="18"/>
      <x:c r="L1" s="18"/>
      <x:c r="M1" s="18"/>
      <x:c r="N1" s="18"/>
      <x:c r="O1" s="18"/>
      <x:c r="P1" s="18"/>
      <x:c r="Q1" s="18"/>
      <x:c r="R1" s="18"/>
      <x:c r="S1" s="18"/>
      <x:c r="T1" s="18"/>
      <x:c r="U1" s="18"/>
      <x:c r="V1" s="18"/>
    </x:row>
    <x:row r="2" ht="32.099998474121094" customHeight="1">
      <x:c r="A2" s="19" t="s">
        <x:v>145</x:v>
      </x:c>
      <x:c r="B2" s="19"/>
      <x:c r="C2" s="19"/>
      <x:c r="D2" s="19"/>
      <x:c r="E2" s="19"/>
      <x:c r="F2" s="19"/>
      <x:c r="G2" s="19"/>
      <x:c r="H2" s="19"/>
      <x:c r="I2" s="19"/>
      <x:c r="J2" s="19"/>
      <x:c r="K2" s="19"/>
      <x:c r="L2" s="19"/>
      <x:c r="M2" s="19"/>
      <x:c r="N2" s="19"/>
      <x:c r="O2" s="19"/>
      <x:c r="P2" s="19"/>
      <x:c r="Q2" s="19"/>
      <x:c r="R2" s="19"/>
      <x:c r="S2" s="19"/>
      <x:c r="T2" s="19"/>
      <x:c r="U2" s="19"/>
      <x:c r="V2" s="19"/>
    </x:row>
    <x:row r="4" ht="48" customHeight="1">
      <x:c r="A4" s="17" t="s">
        <x:v>120</x:v>
      </x:c>
      <x:c r="B4" s="17" t="s">
        <x:v>146</x:v>
      </x:c>
      <x:c r="C4" s="17" t="s">
        <x:v>147</x:v>
      </x:c>
      <x:c r="D4" s="17" t="s">
        <x:v>148</x:v>
      </x:c>
      <x:c r="E4" s="17" t="s">
        <x:v>149</x:v>
      </x:c>
      <x:c r="F4" s="17" t="s">
        <x:v>150</x:v>
      </x:c>
      <x:c r="G4" s="17" t="s">
        <x:v>151</x:v>
      </x:c>
      <x:c r="H4" s="17" t="s">
        <x:v>64</x:v>
      </x:c>
      <x:c r="I4" s="17" t="s">
        <x:v>152</x:v>
      </x:c>
      <x:c r="J4" s="17" t="s">
        <x:v>66</x:v>
      </x:c>
      <x:c r="K4" s="17" t="s">
        <x:v>67</x:v>
      </x:c>
      <x:c r="L4" s="17" t="s">
        <x:v>137</x:v>
      </x:c>
      <x:c r="M4" s="17" t="s">
        <x:v>153</x:v>
      </x:c>
      <x:c r="N4" s="17" t="s">
        <x:v>154</x:v>
      </x:c>
      <x:c r="O4" s="17" t="s">
        <x:v>155</x:v>
      </x:c>
      <x:c r="P4" s="17" t="s">
        <x:v>156</x:v>
      </x:c>
      <x:c r="Q4" s="17" t="s">
        <x:v>59</x:v>
      </x:c>
      <x:c r="R4" s="17" t="s">
        <x:v>157</x:v>
      </x:c>
      <x:c r="S4" s="17" t="s">
        <x:v>54</x:v>
      </x:c>
      <x:c r="T4" s="17" t="s">
        <x:v>158</x:v>
      </x:c>
      <x:c r="U4" s="17" t="s">
        <x:v>159</x:v>
      </x:c>
      <x:c r="V4" s="17" t="s">
        <x:v>160</x:v>
      </x:c>
    </x:row>
    <x:row r="5" ht="15">
      <x:c r="A5" s="15" t="s">
        <x:v>70</x:v>
      </x:c>
      <x:c r="B5" s="15" t="s">
        <x:v>161</x:v>
      </x:c>
      <x:c r="C5" s="15">
        <x:v>2023</x:v>
      </x:c>
      <x:c r="D5" s="15" t="s">
        <x:v>162</x:v>
      </x:c>
      <x:c r="E5" s="16"/>
      <x:c r="F5" s="16"/>
      <x:c r="G5" s="16"/>
      <x:c r="H5" s="16"/>
      <x:c r="I5" s="16"/>
      <x:c r="J5" s="16"/>
      <x:c r="K5" s="16"/>
      <x:c r="L5" s="16"/>
      <x:c r="M5" s="16"/>
      <x:c r="N5" s="16"/>
      <x:c r="O5" s="16"/>
      <x:c r="P5" s="16"/>
      <x:c r="Q5" s="16"/>
      <x:c r="R5" s="16"/>
      <x:c r="S5" s="16"/>
      <x:c r="T5" s="15" t="s">
        <x:v>163</x:v>
      </x:c>
      <x:c r="U5" s="15" t="s">
        <x:v>163</x:v>
      </x:c>
      <x:c r="V5" s="15" t="s">
        <x:v>164</x:v>
      </x:c>
    </x:row>
    <x:row r="6" ht="15">
      <x:c r="A6" s="11" t="s">
        <x:v>70</x:v>
      </x:c>
      <x:c r="B6" s="11" t="s">
        <x:v>161</x:v>
      </x:c>
      <x:c r="C6" s="11">
        <x:v>2024</x:v>
      </x:c>
      <x:c r="D6" s="11" t="s">
        <x:v>162</x:v>
      </x:c>
      <x:c r="E6" s="12">
        <x:v>4420565</x:v>
      </x:c>
      <x:c r="F6" s="12">
        <x:v>792540</x:v>
      </x:c>
      <x:c r="G6" s="12">
        <x:v>1390131</x:v>
      </x:c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>
        <x:v>-1046258</x:v>
      </x:c>
      <x:c r="T6" s="11" t="s">
        <x:v>165</x:v>
      </x:c>
      <x:c r="U6" s="11" t="s">
        <x:v>166</x:v>
      </x:c>
      <x:c r="V6" s="11" t="s">
        <x:v>167</x:v>
      </x:c>
    </x:row>
    <x:row r="7" ht="15">
      <x:c r="A7" s="11" t="s">
        <x:v>70</x:v>
      </x:c>
      <x:c r="B7" s="11" t="s">
        <x:v>161</x:v>
      </x:c>
      <x:c r="C7" s="11">
        <x:v>2025</x:v>
      </x:c>
      <x:c r="D7" s="11" t="s">
        <x:v>162</x:v>
      </x:c>
      <x:c r="E7" s="12">
        <x:v>3767768</x:v>
      </x:c>
      <x:c r="F7" s="12">
        <x:v>92528</x:v>
      </x:c>
      <x:c r="G7" s="12">
        <x:v>892086</x:v>
      </x:c>
      <x:c r="H7" s="12"/>
      <x:c r="I7" s="12"/>
      <x:c r="J7" s="12"/>
      <x:c r="K7" s="12"/>
      <x:c r="L7" s="12"/>
      <x:c r="M7" s="12"/>
      <x:c r="N7" s="12"/>
      <x:c r="O7" s="12"/>
      <x:c r="P7" s="12"/>
      <x:c r="Q7" s="12"/>
      <x:c r="R7" s="12"/>
      <x:c r="S7" s="12">
        <x:v>-225803</x:v>
      </x:c>
      <x:c r="T7" s="11" t="s">
        <x:v>165</x:v>
      </x:c>
      <x:c r="U7" s="11" t="s">
        <x:v>166</x:v>
      </x:c>
      <x:c r="V7" s="11" t="s">
        <x:v>167</x:v>
      </x:c>
    </x:row>
    <x:row r="8" ht="15">
      <x:c r="A8" s="11" t="s">
        <x:v>168</x:v>
      </x:c>
      <x:c r="B8" s="11" t="s">
        <x:v>169</x:v>
      </x:c>
      <x:c r="C8" s="11">
        <x:v>2023</x:v>
      </x:c>
      <x:c r="D8" s="11" t="s">
        <x:v>162</x:v>
      </x:c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1" t="s">
        <x:v>163</x:v>
      </x:c>
      <x:c r="U8" s="11" t="s">
        <x:v>163</x:v>
      </x:c>
      <x:c r="V8" s="11" t="s">
        <x:v>164</x:v>
      </x:c>
    </x:row>
    <x:row r="9" ht="15">
      <x:c r="A9" s="11" t="s">
        <x:v>168</x:v>
      </x:c>
      <x:c r="B9" s="11" t="s">
        <x:v>169</x:v>
      </x:c>
      <x:c r="C9" s="11">
        <x:v>2024</x:v>
      </x:c>
      <x:c r="D9" s="11" t="s">
        <x:v>162</x:v>
      </x:c>
      <x:c r="E9" s="12">
        <x:v>10714686</x:v>
      </x:c>
      <x:c r="F9" s="12">
        <x:v>1218543</x:v>
      </x:c>
      <x:c r="G9" s="12">
        <x:v>3107875</x:v>
      </x:c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>
        <x:v>5722921</x:v>
      </x:c>
      <x:c r="T9" s="11" t="s">
        <x:v>170</x:v>
      </x:c>
      <x:c r="U9" s="11" t="s">
        <x:v>171</x:v>
      </x:c>
      <x:c r="V9" s="11" t="s">
        <x:v>167</x:v>
      </x:c>
    </x:row>
    <x:row r="10" ht="15">
      <x:c r="A10" s="11" t="s">
        <x:v>168</x:v>
      </x:c>
      <x:c r="B10" s="11" t="s">
        <x:v>169</x:v>
      </x:c>
      <x:c r="C10" s="11">
        <x:v>2025</x:v>
      </x:c>
      <x:c r="D10" s="11" t="s">
        <x:v>162</x:v>
      </x:c>
      <x:c r="E10" s="12">
        <x:v>9770671</x:v>
      </x:c>
      <x:c r="F10" s="12">
        <x:v>1306777</x:v>
      </x:c>
      <x:c r="G10" s="12">
        <x:v>2917332</x:v>
      </x:c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>
        <x:v>2917332</x:v>
      </x:c>
      <x:c r="S10" s="12">
        <x:v>6104462</x:v>
      </x:c>
      <x:c r="T10" s="11" t="s">
        <x:v>170</x:v>
      </x:c>
      <x:c r="U10" s="11" t="s">
        <x:v>171</x:v>
      </x:c>
      <x:c r="V10" s="11" t="s">
        <x:v>167</x:v>
      </x:c>
    </x:row>
    <x:row r="11" ht="15">
      <x:c r="A11" s="11" t="s">
        <x:v>73</x:v>
      </x:c>
      <x:c r="B11" s="11" t="s">
        <x:v>172</x:v>
      </x:c>
      <x:c r="C11" s="11">
        <x:v>2023</x:v>
      </x:c>
      <x:c r="D11" s="11" t="s">
        <x:v>162</x:v>
      </x:c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1" t="s">
        <x:v>163</x:v>
      </x:c>
      <x:c r="U11" s="11" t="s">
        <x:v>163</x:v>
      </x:c>
      <x:c r="V11" s="11" t="s">
        <x:v>164</x:v>
      </x:c>
    </x:row>
    <x:row r="12" ht="15">
      <x:c r="A12" s="11" t="s">
        <x:v>73</x:v>
      </x:c>
      <x:c r="B12" s="11" t="s">
        <x:v>172</x:v>
      </x:c>
      <x:c r="C12" s="11">
        <x:v>2024</x:v>
      </x:c>
      <x:c r="D12" s="11" t="s">
        <x:v>162</x:v>
      </x:c>
      <x:c r="E12" s="12">
        <x:v>1094560</x:v>
      </x:c>
      <x:c r="F12" s="12">
        <x:v>11468</x:v>
      </x:c>
      <x:c r="G12" s="12"/>
      <x:c r="H12" s="12">
        <x:v>188601</x:v>
      </x:c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>
        <x:v>81899</x:v>
      </x:c>
      <x:c r="T12" s="11" t="s">
        <x:v>173</x:v>
      </x:c>
      <x:c r="U12" s="11" t="s">
        <x:v>174</x:v>
      </x:c>
      <x:c r="V12" s="11" t="s">
        <x:v>167</x:v>
      </x:c>
    </x:row>
    <x:row r="13" ht="15">
      <x:c r="A13" s="11" t="s">
        <x:v>73</x:v>
      </x:c>
      <x:c r="B13" s="11" t="s">
        <x:v>172</x:v>
      </x:c>
      <x:c r="C13" s="11">
        <x:v>2025</x:v>
      </x:c>
      <x:c r="D13" s="11" t="s">
        <x:v>162</x:v>
      </x:c>
      <x:c r="E13" s="12">
        <x:v>1441098</x:v>
      </x:c>
      <x:c r="F13" s="12">
        <x:v>79579</x:v>
      </x:c>
      <x:c r="G13" s="12"/>
      <x:c r="H13" s="12">
        <x:v>280834</x:v>
      </x:c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>
        <x:v>47705</x:v>
      </x:c>
      <x:c r="T13" s="11" t="s">
        <x:v>173</x:v>
      </x:c>
      <x:c r="U13" s="11" t="s">
        <x:v>174</x:v>
      </x:c>
      <x:c r="V13" s="11" t="s">
        <x:v>167</x:v>
      </x:c>
    </x:row>
    <x:row r="14" ht="15">
      <x:c r="A14" s="11" t="s">
        <x:v>175</x:v>
      </x:c>
      <x:c r="B14" s="11" t="s">
        <x:v>176</x:v>
      </x:c>
      <x:c r="C14" s="11">
        <x:v>2023</x:v>
      </x:c>
      <x:c r="D14" s="11" t="s">
        <x:v>162</x:v>
      </x:c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1" t="s">
        <x:v>163</x:v>
      </x:c>
      <x:c r="U14" s="11" t="s">
        <x:v>163</x:v>
      </x:c>
      <x:c r="V14" s="11" t="s">
        <x:v>164</x:v>
      </x:c>
    </x:row>
    <x:row r="15" ht="15">
      <x:c r="A15" s="11" t="s">
        <x:v>175</x:v>
      </x:c>
      <x:c r="B15" s="11" t="s">
        <x:v>176</x:v>
      </x:c>
      <x:c r="C15" s="11">
        <x:v>2024</x:v>
      </x:c>
      <x:c r="D15" s="11" t="s">
        <x:v>162</x:v>
      </x:c>
      <x:c r="E15" s="12">
        <x:v>962114</x:v>
      </x:c>
      <x:c r="F15" s="12">
        <x:v>122238</x:v>
      </x:c>
      <x:c r="G15" s="12"/>
      <x:c r="H15" s="12"/>
      <x:c r="I15" s="12"/>
      <x:c r="J15" s="12"/>
      <x:c r="K15" s="12">
        <x:v>178426</x:v>
      </x:c>
      <x:c r="L15" s="12"/>
      <x:c r="M15" s="12"/>
      <x:c r="N15" s="12"/>
      <x:c r="O15" s="12"/>
      <x:c r="P15" s="12"/>
      <x:c r="Q15" s="12"/>
      <x:c r="R15" s="12"/>
      <x:c r="S15" s="12">
        <x:v>-1252712</x:v>
      </x:c>
      <x:c r="T15" s="11" t="s">
        <x:v>177</x:v>
      </x:c>
      <x:c r="U15" s="11" t="s">
        <x:v>178</x:v>
      </x:c>
      <x:c r="V15" s="11" t="s">
        <x:v>167</x:v>
      </x:c>
    </x:row>
    <x:row r="16" ht="15">
      <x:c r="A16" s="11" t="s">
        <x:v>175</x:v>
      </x:c>
      <x:c r="B16" s="11" t="s">
        <x:v>176</x:v>
      </x:c>
      <x:c r="C16" s="11">
        <x:v>2025</x:v>
      </x:c>
      <x:c r="D16" s="11" t="s">
        <x:v>162</x:v>
      </x:c>
      <x:c r="E16" s="12">
        <x:v>1434494</x:v>
      </x:c>
      <x:c r="F16" s="12">
        <x:v>192414</x:v>
      </x:c>
      <x:c r="G16" s="12"/>
      <x:c r="H16" s="12"/>
      <x:c r="I16" s="12"/>
      <x:c r="J16" s="12"/>
      <x:c r="K16" s="12">
        <x:v>295253</x:v>
      </x:c>
      <x:c r="L16" s="12"/>
      <x:c r="M16" s="12"/>
      <x:c r="N16" s="12"/>
      <x:c r="O16" s="12"/>
      <x:c r="P16" s="12"/>
      <x:c r="Q16" s="12"/>
      <x:c r="R16" s="12"/>
      <x:c r="S16" s="12">
        <x:v>-817789</x:v>
      </x:c>
      <x:c r="T16" s="11" t="s">
        <x:v>177</x:v>
      </x:c>
      <x:c r="U16" s="11" t="s">
        <x:v>178</x:v>
      </x:c>
      <x:c r="V16" s="11" t="s">
        <x:v>167</x:v>
      </x:c>
    </x:row>
    <x:row r="17" ht="15">
      <x:c r="A17" s="11" t="s">
        <x:v>179</x:v>
      </x:c>
      <x:c r="B17" s="11" t="s">
        <x:v>180</x:v>
      </x:c>
      <x:c r="C17" s="11">
        <x:v>2023</x:v>
      </x:c>
      <x:c r="D17" s="11" t="s">
        <x:v>162</x:v>
      </x:c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1" t="s">
        <x:v>163</x:v>
      </x:c>
      <x:c r="U17" s="11" t="s">
        <x:v>163</x:v>
      </x:c>
      <x:c r="V17" s="11" t="s">
        <x:v>164</x:v>
      </x:c>
    </x:row>
    <x:row r="18" ht="15">
      <x:c r="A18" s="11" t="s">
        <x:v>179</x:v>
      </x:c>
      <x:c r="B18" s="11" t="s">
        <x:v>180</x:v>
      </x:c>
      <x:c r="C18" s="11">
        <x:v>2024</x:v>
      </x:c>
      <x:c r="D18" s="11" t="s">
        <x:v>162</x:v>
      </x:c>
      <x:c r="E18" s="12">
        <x:v>2030371</x:v>
      </x:c>
      <x:c r="F18" s="12">
        <x:v>306140</x:v>
      </x:c>
      <x:c r="G18" s="12">
        <x:v>478372</x:v>
      </x:c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>
        <x:v>-104171</x:v>
      </x:c>
      <x:c r="T18" s="11" t="s">
        <x:v>181</x:v>
      </x:c>
      <x:c r="U18" s="11" t="s">
        <x:v>174</x:v>
      </x:c>
      <x:c r="V18" s="11" t="s">
        <x:v>167</x:v>
      </x:c>
    </x:row>
    <x:row r="19" ht="15">
      <x:c r="A19" s="11" t="s">
        <x:v>179</x:v>
      </x:c>
      <x:c r="B19" s="11" t="s">
        <x:v>180</x:v>
      </x:c>
      <x:c r="C19" s="11">
        <x:v>2025</x:v>
      </x:c>
      <x:c r="D19" s="11" t="s">
        <x:v>162</x:v>
      </x:c>
      <x:c r="E19" s="12">
        <x:v>1818134</x:v>
      </x:c>
      <x:c r="F19" s="12">
        <x:v>158623</x:v>
      </x:c>
      <x:c r="G19" s="12">
        <x:v>332877</x:v>
      </x:c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>
        <x:v>-31993</x:v>
      </x:c>
      <x:c r="T19" s="11" t="s">
        <x:v>181</x:v>
      </x:c>
      <x:c r="U19" s="11" t="s">
        <x:v>174</x:v>
      </x:c>
      <x:c r="V19" s="11" t="s">
        <x:v>167</x:v>
      </x:c>
    </x:row>
    <x:row r="20" ht="15">
      <x:c r="A20" s="11" t="s">
        <x:v>182</x:v>
      </x:c>
      <x:c r="B20" s="11" t="s">
        <x:v>183</x:v>
      </x:c>
      <x:c r="C20" s="11">
        <x:v>2023</x:v>
      </x:c>
      <x:c r="D20" s="11" t="s">
        <x:v>162</x:v>
      </x:c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1" t="s">
        <x:v>163</x:v>
      </x:c>
      <x:c r="U20" s="11" t="s">
        <x:v>163</x:v>
      </x:c>
      <x:c r="V20" s="11" t="s">
        <x:v>164</x:v>
      </x:c>
    </x:row>
    <x:row r="21" ht="15">
      <x:c r="A21" s="11" t="s">
        <x:v>182</x:v>
      </x:c>
      <x:c r="B21" s="11" t="s">
        <x:v>183</x:v>
      </x:c>
      <x:c r="C21" s="11">
        <x:v>2024</x:v>
      </x:c>
      <x:c r="D21" s="11" t="s">
        <x:v>162</x:v>
      </x:c>
      <x:c r="E21" s="12">
        <x:v>1545851</x:v>
      </x:c>
      <x:c r="F21" s="12">
        <x:v>493491</x:v>
      </x:c>
      <x:c r="G21" s="12"/>
      <x:c r="H21" s="12">
        <x:v>1007614</x:v>
      </x:c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>
        <x:v>141607</x:v>
      </x:c>
      <x:c r="T21" s="11" t="s">
        <x:v>184</x:v>
      </x:c>
      <x:c r="U21" s="11" t="s">
        <x:v>174</x:v>
      </x:c>
      <x:c r="V21" s="11" t="s">
        <x:v>167</x:v>
      </x:c>
    </x:row>
    <x:row r="22" ht="15">
      <x:c r="A22" s="11" t="s">
        <x:v>182</x:v>
      </x:c>
      <x:c r="B22" s="11" t="s">
        <x:v>183</x:v>
      </x:c>
      <x:c r="C22" s="11">
        <x:v>2025</x:v>
      </x:c>
      <x:c r="D22" s="11" t="s">
        <x:v>162</x:v>
      </x:c>
      <x:c r="E22" s="12">
        <x:v>1445593</x:v>
      </x:c>
      <x:c r="F22" s="12">
        <x:v>183027</x:v>
      </x:c>
      <x:c r="G22" s="12"/>
      <x:c r="H22" s="12">
        <x:v>859306</x:v>
      </x:c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>
        <x:v>-39270</x:v>
      </x:c>
      <x:c r="T22" s="11" t="s">
        <x:v>184</x:v>
      </x:c>
      <x:c r="U22" s="11" t="s">
        <x:v>174</x:v>
      </x:c>
      <x:c r="V22" s="11" t="s">
        <x:v>167</x:v>
      </x:c>
    </x:row>
    <x:row r="23" ht="15">
      <x:c r="A23" s="13" t="s">
        <x:v>185</x:v>
      </x:c>
      <x:c r="B23" s="13" t="s">
        <x:v>186</x:v>
      </x:c>
      <x:c r="C23" s="13">
        <x:v>2023</x:v>
      </x:c>
      <x:c r="D23" s="13" t="s">
        <x:v>187</x:v>
      </x:c>
      <x:c r="E23" s="14">
        <x:v>14409</x:v>
      </x:c>
      <x:c r="F23" s="14">
        <x:v>2384</x:v>
      </x:c>
      <x:c r="G23" s="14">
        <x:v>6884</x:v>
      </x:c>
      <x:c r="H23" s="14"/>
      <x:c r="I23" s="14"/>
      <x:c r="J23" s="14"/>
      <x:c r="K23" s="14"/>
      <x:c r="L23" s="14"/>
      <x:c r="M23" s="14"/>
      <x:c r="N23" s="14"/>
      <x:c r="O23" s="14"/>
      <x:c r="P23" s="14"/>
      <x:c r="Q23" s="14"/>
      <x:c r="R23" s="14"/>
      <x:c r="S23" s="14"/>
      <x:c r="T23" s="13" t="s">
        <x:v>188</x:v>
      </x:c>
      <x:c r="U23" s="13" t="s">
        <x:v>189</x:v>
      </x:c>
      <x:c r="V23" s="13" t="s">
        <x:v>167</x:v>
      </x:c>
    </x:row>
    <x:row r="24" ht="15">
      <x:c r="A24" s="13" t="s">
        <x:v>185</x:v>
      </x:c>
      <x:c r="B24" s="13" t="s">
        <x:v>186</x:v>
      </x:c>
      <x:c r="C24" s="13">
        <x:v>2024</x:v>
      </x:c>
      <x:c r="D24" s="13" t="s">
        <x:v>187</x:v>
      </x:c>
      <x:c r="E24" s="14">
        <x:v>12535</x:v>
      </x:c>
      <x:c r="F24" s="14">
        <x:v>1313</x:v>
      </x:c>
      <x:c r="G24" s="14">
        <x:v>5196</x:v>
      </x:c>
      <x:c r="H24" s="14"/>
      <x:c r="I24" s="14"/>
      <x:c r="J24" s="14"/>
      <x:c r="K24" s="14"/>
      <x:c r="L24" s="14"/>
      <x:c r="M24" s="14"/>
      <x:c r="N24" s="14"/>
      <x:c r="O24" s="14"/>
      <x:c r="P24" s="14"/>
      <x:c r="Q24" s="14"/>
      <x:c r="R24" s="14"/>
      <x:c r="S24" s="14"/>
      <x:c r="T24" s="13" t="s">
        <x:v>188</x:v>
      </x:c>
      <x:c r="U24" s="13" t="s">
        <x:v>189</x:v>
      </x:c>
      <x:c r="V24" s="13" t="s">
        <x:v>167</x:v>
      </x:c>
    </x:row>
    <x:row r="25" ht="15">
      <x:c r="A25" s="13" t="s">
        <x:v>185</x:v>
      </x:c>
      <x:c r="B25" s="13" t="s">
        <x:v>186</x:v>
      </x:c>
      <x:c r="C25" s="13">
        <x:v>2025</x:v>
      </x:c>
      <x:c r="D25" s="13" t="s">
        <x:v>187</x:v>
      </x:c>
      <x:c r="E25" s="14">
        <x:v>13763</x:v>
      </x:c>
      <x:c r="F25" s="14">
        <x:v>1947</x:v>
      </x:c>
      <x:c r="G25" s="14">
        <x:v>5668</x:v>
      </x:c>
      <x:c r="H25" s="14"/>
      <x:c r="I25" s="14"/>
      <x:c r="J25" s="14"/>
      <x:c r="K25" s="14"/>
      <x:c r="L25" s="14"/>
      <x:c r="M25" s="14"/>
      <x:c r="N25" s="14"/>
      <x:c r="O25" s="14"/>
      <x:c r="P25" s="14"/>
      <x:c r="Q25" s="14"/>
      <x:c r="R25" s="14">
        <x:v>5668</x:v>
      </x:c>
      <x:c r="S25" s="14"/>
      <x:c r="T25" s="13" t="s">
        <x:v>188</x:v>
      </x:c>
      <x:c r="U25" s="13" t="s">
        <x:v>189</x:v>
      </x:c>
      <x:c r="V25" s="13" t="s">
        <x:v>167</x:v>
      </x:c>
    </x:row>
    <x:row r="26" ht="15">
      <x:c r="A26" s="11" t="s">
        <x:v>81</x:v>
      </x:c>
      <x:c r="B26" s="11" t="s">
        <x:v>190</x:v>
      </x:c>
      <x:c r="C26" s="11">
        <x:v>2023</x:v>
      </x:c>
      <x:c r="D26" s="11" t="s">
        <x:v>162</x:v>
      </x:c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1" t="s">
        <x:v>163</x:v>
      </x:c>
      <x:c r="U26" s="11" t="s">
        <x:v>163</x:v>
      </x:c>
      <x:c r="V26" s="11" t="s">
        <x:v>164</x:v>
      </x:c>
    </x:row>
    <x:row r="27" ht="15">
      <x:c r="A27" s="11" t="s">
        <x:v>81</x:v>
      </x:c>
      <x:c r="B27" s="11" t="s">
        <x:v>190</x:v>
      </x:c>
      <x:c r="C27" s="11">
        <x:v>2024</x:v>
      </x:c>
      <x:c r="D27" s="11" t="s">
        <x:v>162</x:v>
      </x:c>
      <x:c r="E27" s="12">
        <x:v>613324</x:v>
      </x:c>
      <x:c r="F27" s="12">
        <x:v>-59442</x:v>
      </x:c>
      <x:c r="G27" s="12"/>
      <x:c r="H27" s="12">
        <x:v>40079</x:v>
      </x:c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>
        <x:v>61544</x:v>
      </x:c>
      <x:c r="T27" s="11" t="s">
        <x:v>191</x:v>
      </x:c>
      <x:c r="U27" s="11" t="s">
        <x:v>166</x:v>
      </x:c>
      <x:c r="V27" s="11" t="s">
        <x:v>167</x:v>
      </x:c>
    </x:row>
    <x:row r="28" ht="15">
      <x:c r="A28" s="11" t="s">
        <x:v>81</x:v>
      </x:c>
      <x:c r="B28" s="11" t="s">
        <x:v>190</x:v>
      </x:c>
      <x:c r="C28" s="11">
        <x:v>2025</x:v>
      </x:c>
      <x:c r="D28" s="11" t="s">
        <x:v>162</x:v>
      </x:c>
      <x:c r="E28" s="12">
        <x:v>997989</x:v>
      </x:c>
      <x:c r="F28" s="12">
        <x:v>-938</x:v>
      </x:c>
      <x:c r="G28" s="12"/>
      <x:c r="H28" s="12">
        <x:v>156381</x:v>
      </x:c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>
        <x:v>-135937</x:v>
      </x:c>
      <x:c r="T28" s="11" t="s">
        <x:v>191</x:v>
      </x:c>
      <x:c r="U28" s="11" t="s">
        <x:v>166</x:v>
      </x:c>
      <x:c r="V28" s="11" t="s">
        <x:v>167</x:v>
      </x:c>
    </x:row>
    <x:row r="29" ht="15">
      <x:c r="A29" s="11" t="s">
        <x:v>192</x:v>
      </x:c>
      <x:c r="B29" s="11" t="s">
        <x:v>192</x:v>
      </x:c>
      <x:c r="C29" s="11">
        <x:v>2023</x:v>
      </x:c>
      <x:c r="D29" s="11" t="s">
        <x:v>162</x:v>
      </x:c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1" t="s">
        <x:v>163</x:v>
      </x:c>
      <x:c r="U29" s="11" t="s">
        <x:v>163</x:v>
      </x:c>
      <x:c r="V29" s="11" t="s">
        <x:v>164</x:v>
      </x:c>
    </x:row>
    <x:row r="30" ht="15">
      <x:c r="A30" s="11" t="s">
        <x:v>192</x:v>
      </x:c>
      <x:c r="B30" s="11" t="s">
        <x:v>192</x:v>
      </x:c>
      <x:c r="C30" s="11">
        <x:v>2024</x:v>
      </x:c>
      <x:c r="D30" s="11" t="s">
        <x:v>162</x:v>
      </x:c>
      <x:c r="E30" s="12">
        <x:v>3908047</x:v>
      </x:c>
      <x:c r="F30" s="12">
        <x:v>104064</x:v>
      </x:c>
      <x:c r="G30" s="12"/>
      <x:c r="H30" s="12"/>
      <x:c r="I30" s="12">
        <x:v>399390</x:v>
      </x:c>
      <x:c r="J30" s="12"/>
      <x:c r="K30" s="12"/>
      <x:c r="L30" s="12"/>
      <x:c r="M30" s="12"/>
      <x:c r="N30" s="12"/>
      <x:c r="O30" s="12"/>
      <x:c r="P30" s="12"/>
      <x:c r="Q30" s="12"/>
      <x:c r="R30" s="12"/>
      <x:c r="S30" s="12">
        <x:v>887762</x:v>
      </x:c>
      <x:c r="T30" s="11" t="s">
        <x:v>193</x:v>
      </x:c>
      <x:c r="U30" s="11" t="s">
        <x:v>171</x:v>
      </x:c>
      <x:c r="V30" s="11" t="s">
        <x:v>167</x:v>
      </x:c>
    </x:row>
    <x:row r="31" ht="15">
      <x:c r="A31" s="11" t="s">
        <x:v>192</x:v>
      </x:c>
      <x:c r="B31" s="11" t="s">
        <x:v>192</x:v>
      </x:c>
      <x:c r="C31" s="11">
        <x:v>2025</x:v>
      </x:c>
      <x:c r="D31" s="11" t="s">
        <x:v>162</x:v>
      </x:c>
      <x:c r="E31" s="12">
        <x:v>4642034</x:v>
      </x:c>
      <x:c r="F31" s="12">
        <x:v>83139</x:v>
      </x:c>
      <x:c r="G31" s="12"/>
      <x:c r="H31" s="12"/>
      <x:c r="I31" s="12">
        <x:v>440676</x:v>
      </x:c>
      <x:c r="J31" s="12"/>
      <x:c r="K31" s="12"/>
      <x:c r="L31" s="12"/>
      <x:c r="M31" s="12"/>
      <x:c r="N31" s="12"/>
      <x:c r="O31" s="12"/>
      <x:c r="P31" s="12"/>
      <x:c r="Q31" s="12"/>
      <x:c r="R31" s="12"/>
      <x:c r="S31" s="12">
        <x:v>938745</x:v>
      </x:c>
      <x:c r="T31" s="11" t="s">
        <x:v>193</x:v>
      </x:c>
      <x:c r="U31" s="11" t="s">
        <x:v>171</x:v>
      </x:c>
      <x:c r="V31" s="11" t="s">
        <x:v>167</x:v>
      </x:c>
    </x:row>
    <x:row r="32" ht="15">
      <x:c r="A32" s="11" t="s">
        <x:v>85</x:v>
      </x:c>
      <x:c r="B32" s="11" t="s">
        <x:v>194</x:v>
      </x:c>
      <x:c r="C32" s="11">
        <x:v>2023</x:v>
      </x:c>
      <x:c r="D32" s="11" t="s">
        <x:v>162</x:v>
      </x:c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1" t="s">
        <x:v>163</x:v>
      </x:c>
      <x:c r="U32" s="11" t="s">
        <x:v>163</x:v>
      </x:c>
      <x:c r="V32" s="11" t="s">
        <x:v>164</x:v>
      </x:c>
    </x:row>
    <x:row r="33" ht="15">
      <x:c r="A33" s="11" t="s">
        <x:v>85</x:v>
      </x:c>
      <x:c r="B33" s="11" t="s">
        <x:v>194</x:v>
      </x:c>
      <x:c r="C33" s="11">
        <x:v>2024</x:v>
      </x:c>
      <x:c r="D33" s="11" t="s">
        <x:v>162</x:v>
      </x:c>
      <x:c r="E33" s="12">
        <x:v>10139000</x:v>
      </x:c>
      <x:c r="F33" s="12">
        <x:v>1084000</x:v>
      </x:c>
      <x:c r="G33" s="12">
        <x:v>3029000</x:v>
      </x:c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1" t="s">
        <x:v>195</x:v>
      </x:c>
      <x:c r="U33" s="11" t="s">
        <x:v>189</x:v>
      </x:c>
      <x:c r="V33" s="11" t="s">
        <x:v>167</x:v>
      </x:c>
    </x:row>
    <x:row r="34" ht="15">
      <x:c r="A34" s="11" t="s">
        <x:v>85</x:v>
      </x:c>
      <x:c r="B34" s="11" t="s">
        <x:v>194</x:v>
      </x:c>
      <x:c r="C34" s="11">
        <x:v>2025</x:v>
      </x:c>
      <x:c r="D34" s="11" t="s">
        <x:v>162</x:v>
      </x:c>
      <x:c r="E34" s="12">
        <x:v>8236000</x:v>
      </x:c>
      <x:c r="F34" s="12">
        <x:v>293000</x:v>
      </x:c>
      <x:c r="G34" s="12">
        <x:v>2173000</x:v>
      </x:c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1" t="s">
        <x:v>195</x:v>
      </x:c>
      <x:c r="U34" s="11" t="s">
        <x:v>189</x:v>
      </x:c>
      <x:c r="V34" s="11" t="s">
        <x:v>167</x:v>
      </x:c>
    </x:row>
    <x:row r="35" ht="15">
      <x:c r="A35" s="11" t="s">
        <x:v>86</x:v>
      </x:c>
      <x:c r="B35" s="11" t="s">
        <x:v>196</x:v>
      </x:c>
      <x:c r="C35" s="11">
        <x:v>2023</x:v>
      </x:c>
      <x:c r="D35" s="11" t="s">
        <x:v>162</x:v>
      </x:c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1" t="s">
        <x:v>163</x:v>
      </x:c>
      <x:c r="U35" s="11" t="s">
        <x:v>163</x:v>
      </x:c>
      <x:c r="V35" s="11" t="s">
        <x:v>164</x:v>
      </x:c>
    </x:row>
    <x:row r="36" ht="15">
      <x:c r="A36" s="11" t="s">
        <x:v>86</x:v>
      </x:c>
      <x:c r="B36" s="11" t="s">
        <x:v>196</x:v>
      </x:c>
      <x:c r="C36" s="11">
        <x:v>2024</x:v>
      </x:c>
      <x:c r="D36" s="11" t="s">
        <x:v>162</x:v>
      </x:c>
      <x:c r="E36" s="12">
        <x:v>694768</x:v>
      </x:c>
      <x:c r="F36" s="12">
        <x:v>305538</x:v>
      </x:c>
      <x:c r="G36" s="12">
        <x:v>538690</x:v>
      </x:c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>
        <x:v>633648</x:v>
      </x:c>
      <x:c r="T36" s="11" t="s">
        <x:v>197</x:v>
      </x:c>
      <x:c r="U36" s="11" t="s">
        <x:v>178</x:v>
      </x:c>
      <x:c r="V36" s="11" t="s">
        <x:v>167</x:v>
      </x:c>
    </x:row>
    <x:row r="37" ht="15">
      <x:c r="A37" s="11" t="s">
        <x:v>86</x:v>
      </x:c>
      <x:c r="B37" s="11" t="s">
        <x:v>196</x:v>
      </x:c>
      <x:c r="C37" s="11">
        <x:v>2025</x:v>
      </x:c>
      <x:c r="D37" s="11" t="s">
        <x:v>162</x:v>
      </x:c>
      <x:c r="E37" s="12">
        <x:v>712773</x:v>
      </x:c>
      <x:c r="F37" s="12">
        <x:v>314142</x:v>
      </x:c>
      <x:c r="G37" s="12">
        <x:v>517793</x:v>
      </x:c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>
        <x:v>555322</x:v>
      </x:c>
      <x:c r="T37" s="11" t="s">
        <x:v>197</x:v>
      </x:c>
      <x:c r="U37" s="11" t="s">
        <x:v>178</x:v>
      </x:c>
      <x:c r="V37" s="11" t="s">
        <x:v>167</x:v>
      </x:c>
    </x:row>
    <x:row r="38" ht="15">
      <x:c r="A38" s="11" t="s">
        <x:v>198</x:v>
      </x:c>
      <x:c r="B38" s="11" t="s">
        <x:v>199</x:v>
      </x:c>
      <x:c r="C38" s="11">
        <x:v>2023</x:v>
      </x:c>
      <x:c r="D38" s="11" t="s">
        <x:v>162</x:v>
      </x:c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1" t="s">
        <x:v>163</x:v>
      </x:c>
      <x:c r="U38" s="11" t="s">
        <x:v>163</x:v>
      </x:c>
      <x:c r="V38" s="11" t="s">
        <x:v>164</x:v>
      </x:c>
    </x:row>
    <x:row r="39" ht="15">
      <x:c r="A39" s="11" t="s">
        <x:v>198</x:v>
      </x:c>
      <x:c r="B39" s="11" t="s">
        <x:v>199</x:v>
      </x:c>
      <x:c r="C39" s="11">
        <x:v>2024</x:v>
      </x:c>
      <x:c r="D39" s="11" t="s">
        <x:v>162</x:v>
      </x:c>
      <x:c r="E39" s="12">
        <x:v>39618.86</x:v>
      </x:c>
      <x:c r="F39" s="12">
        <x:v>23881.807000000001</x:v>
      </x:c>
      <x:c r="G39" s="12">
        <x:v>23055.407999999999</x:v>
      </x:c>
      <x:c r="H39" s="12">
        <x:v>23229.458999999999</x:v>
      </x:c>
      <x:c r="I39" s="12"/>
      <x:c r="J39" s="12"/>
      <x:c r="K39" s="12"/>
      <x:c r="L39" s="12"/>
      <x:c r="M39" s="12"/>
      <x:c r="N39" s="12"/>
      <x:c r="O39" s="12"/>
      <x:c r="P39" s="12"/>
      <x:c r="Q39" s="12"/>
      <x:c r="R39" s="12">
        <x:v>23229.458999999999</x:v>
      </x:c>
      <x:c r="S39" s="12">
        <x:v>-4033.4050000000002</x:v>
      </x:c>
      <x:c r="T39" s="11" t="s">
        <x:v>200</x:v>
      </x:c>
      <x:c r="U39" s="11" t="s">
        <x:v>201</x:v>
      </x:c>
      <x:c r="V39" s="11" t="s">
        <x:v>167</x:v>
      </x:c>
    </x:row>
    <x:row r="40" ht="15">
      <x:c r="A40" s="11" t="s">
        <x:v>198</x:v>
      </x:c>
      <x:c r="B40" s="11" t="s">
        <x:v>199</x:v>
      </x:c>
      <x:c r="C40" s="11">
        <x:v>2025</x:v>
      </x:c>
      <x:c r="D40" s="11" t="s">
        <x:v>162</x:v>
      </x:c>
      <x:c r="E40" s="12">
        <x:v>41203.402000000002</x:v>
      </x:c>
      <x:c r="F40" s="12">
        <x:v>17989.496999999999</x:v>
      </x:c>
      <x:c r="G40" s="12">
        <x:v>20348.169999999998</x:v>
      </x:c>
      <x:c r="H40" s="12">
        <x:v>22761.895</x:v>
      </x:c>
      <x:c r="I40" s="12"/>
      <x:c r="J40" s="12"/>
      <x:c r="K40" s="12"/>
      <x:c r="L40" s="12"/>
      <x:c r="M40" s="12"/>
      <x:c r="N40" s="12"/>
      <x:c r="O40" s="12"/>
      <x:c r="P40" s="12"/>
      <x:c r="Q40" s="12"/>
      <x:c r="R40" s="12">
        <x:v>22761.895</x:v>
      </x:c>
      <x:c r="S40" s="12">
        <x:v>-14686.736000000001</x:v>
      </x:c>
      <x:c r="T40" s="11" t="s">
        <x:v>200</x:v>
      </x:c>
      <x:c r="U40" s="11" t="s">
        <x:v>201</x:v>
      </x:c>
      <x:c r="V40" s="11" t="s">
        <x:v>167</x:v>
      </x:c>
    </x:row>
    <x:row r="41" ht="15">
      <x:c r="A41" s="11" t="s">
        <x:v>202</x:v>
      </x:c>
      <x:c r="B41" s="11" t="s">
        <x:v>203</x:v>
      </x:c>
      <x:c r="C41" s="11">
        <x:v>2023</x:v>
      </x:c>
      <x:c r="D41" s="11" t="s">
        <x:v>162</x:v>
      </x:c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  <x:c r="T41" s="11" t="s">
        <x:v>163</x:v>
      </x:c>
      <x:c r="U41" s="11" t="s">
        <x:v>163</x:v>
      </x:c>
      <x:c r="V41" s="11" t="s">
        <x:v>164</x:v>
      </x:c>
    </x:row>
    <x:row r="42" ht="15">
      <x:c r="A42" s="11" t="s">
        <x:v>202</x:v>
      </x:c>
      <x:c r="B42" s="11" t="s">
        <x:v>203</x:v>
      </x:c>
      <x:c r="C42" s="11">
        <x:v>2024</x:v>
      </x:c>
      <x:c r="D42" s="11" t="s">
        <x:v>162</x:v>
      </x:c>
      <x:c r="E42" s="12">
        <x:v>703741</x:v>
      </x:c>
      <x:c r="F42" s="12">
        <x:v>49048</x:v>
      </x:c>
      <x:c r="G42" s="12"/>
      <x:c r="H42" s="12"/>
      <x:c r="I42" s="12"/>
      <x:c r="J42" s="12"/>
      <x:c r="K42" s="12">
        <x:v>246432</x:v>
      </x:c>
      <x:c r="L42" s="12">
        <x:v>135930</x:v>
      </x:c>
      <x:c r="M42" s="12">
        <x:v>110502</x:v>
      </x:c>
      <x:c r="N42" s="12"/>
      <x:c r="O42" s="12"/>
      <x:c r="P42" s="12"/>
      <x:c r="Q42" s="12"/>
      <x:c r="R42" s="12">
        <x:v>246432</x:v>
      </x:c>
      <x:c r="S42" s="12"/>
      <x:c r="T42" s="11" t="s">
        <x:v>204</x:v>
      </x:c>
      <x:c r="U42" s="11" t="s">
        <x:v>205</x:v>
      </x:c>
      <x:c r="V42" s="11" t="s">
        <x:v>167</x:v>
      </x:c>
    </x:row>
    <x:row r="43" ht="15">
      <x:c r="A43" s="11" t="s">
        <x:v>202</x:v>
      </x:c>
      <x:c r="B43" s="11" t="s">
        <x:v>203</x:v>
      </x:c>
      <x:c r="C43" s="11">
        <x:v>2025</x:v>
      </x:c>
      <x:c r="D43" s="11" t="s">
        <x:v>162</x:v>
      </x:c>
      <x:c r="E43" s="12">
        <x:v>807186</x:v>
      </x:c>
      <x:c r="F43" s="12">
        <x:v>35220</x:v>
      </x:c>
      <x:c r="G43" s="12"/>
      <x:c r="H43" s="12"/>
      <x:c r="I43" s="12"/>
      <x:c r="J43" s="12"/>
      <x:c r="K43" s="12">
        <x:v>279695</x:v>
      </x:c>
      <x:c r="L43" s="12">
        <x:v>154609</x:v>
      </x:c>
      <x:c r="M43" s="12">
        <x:v>125086</x:v>
      </x:c>
      <x:c r="N43" s="12"/>
      <x:c r="O43" s="12"/>
      <x:c r="P43" s="12"/>
      <x:c r="Q43" s="12"/>
      <x:c r="R43" s="12">
        <x:v>279695</x:v>
      </x:c>
      <x:c r="S43" s="12"/>
      <x:c r="T43" s="11" t="s">
        <x:v>204</x:v>
      </x:c>
      <x:c r="U43" s="11" t="s">
        <x:v>205</x:v>
      </x:c>
      <x:c r="V43" s="11" t="s">
        <x:v>167</x:v>
      </x:c>
    </x:row>
    <x:row r="44" ht="15">
      <x:c r="A44" s="11" t="s">
        <x:v>206</x:v>
      </x:c>
      <x:c r="B44" s="11" t="s">
        <x:v>207</x:v>
      </x:c>
      <x:c r="C44" s="11">
        <x:v>2023</x:v>
      </x:c>
      <x:c r="D44" s="11" t="s">
        <x:v>162</x:v>
      </x:c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1" t="s">
        <x:v>163</x:v>
      </x:c>
      <x:c r="U44" s="11" t="s">
        <x:v>163</x:v>
      </x:c>
      <x:c r="V44" s="11" t="s">
        <x:v>164</x:v>
      </x:c>
    </x:row>
    <x:row r="45" ht="15">
      <x:c r="A45" s="11" t="s">
        <x:v>206</x:v>
      </x:c>
      <x:c r="B45" s="11" t="s">
        <x:v>207</x:v>
      </x:c>
      <x:c r="C45" s="11">
        <x:v>2024</x:v>
      </x:c>
      <x:c r="D45" s="11" t="s">
        <x:v>162</x:v>
      </x:c>
      <x:c r="E45" s="12">
        <x:v>1548447</x:v>
      </x:c>
      <x:c r="F45" s="12">
        <x:v>147462</x:v>
      </x:c>
      <x:c r="G45" s="12">
        <x:v>173303</x:v>
      </x:c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>
        <x:v>-414800</x:v>
      </x:c>
      <x:c r="T45" s="11" t="s">
        <x:v>208</x:v>
      </x:c>
      <x:c r="U45" s="11" t="s">
        <x:v>171</x:v>
      </x:c>
      <x:c r="V45" s="11" t="s">
        <x:v>167</x:v>
      </x:c>
    </x:row>
    <x:row r="46" ht="15">
      <x:c r="A46" s="11" t="s">
        <x:v>206</x:v>
      </x:c>
      <x:c r="B46" s="11" t="s">
        <x:v>207</x:v>
      </x:c>
      <x:c r="C46" s="11">
        <x:v>2025</x:v>
      </x:c>
      <x:c r="D46" s="11" t="s">
        <x:v>162</x:v>
      </x:c>
      <x:c r="E46" s="12">
        <x:v>1760626</x:v>
      </x:c>
      <x:c r="F46" s="12">
        <x:v>133834</x:v>
      </x:c>
      <x:c r="G46" s="12">
        <x:v>181544</x:v>
      </x:c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>
        <x:v>-348292</x:v>
      </x:c>
      <x:c r="T46" s="11" t="s">
        <x:v>208</x:v>
      </x:c>
      <x:c r="U46" s="11" t="s">
        <x:v>171</x:v>
      </x:c>
      <x:c r="V46" s="11" t="s">
        <x:v>167</x:v>
      </x:c>
    </x:row>
    <x:row r="47" ht="15">
      <x:c r="A47" s="11" t="s">
        <x:v>209</x:v>
      </x:c>
      <x:c r="B47" s="11" t="s">
        <x:v>210</x:v>
      </x:c>
      <x:c r="C47" s="11">
        <x:v>2023</x:v>
      </x:c>
      <x:c r="D47" s="11" t="s">
        <x:v>162</x:v>
      </x:c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1" t="s">
        <x:v>163</x:v>
      </x:c>
      <x:c r="U47" s="11" t="s">
        <x:v>163</x:v>
      </x:c>
      <x:c r="V47" s="11" t="s">
        <x:v>164</x:v>
      </x:c>
    </x:row>
    <x:row r="48" ht="15">
      <x:c r="A48" s="11" t="s">
        <x:v>209</x:v>
      </x:c>
      <x:c r="B48" s="11" t="s">
        <x:v>210</x:v>
      </x:c>
      <x:c r="C48" s="11">
        <x:v>2024</x:v>
      </x:c>
      <x:c r="D48" s="11" t="s">
        <x:v>162</x:v>
      </x:c>
      <x:c r="E48" s="12">
        <x:v>829779</x:v>
      </x:c>
      <x:c r="F48" s="12">
        <x:v>149554</x:v>
      </x:c>
      <x:c r="G48" s="12">
        <x:v>237880</x:v>
      </x:c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>
        <x:v>-20068</x:v>
      </x:c>
      <x:c r="T48" s="11" t="s">
        <x:v>211</x:v>
      </x:c>
      <x:c r="U48" s="11" t="s">
        <x:v>212</x:v>
      </x:c>
      <x:c r="V48" s="11" t="s">
        <x:v>167</x:v>
      </x:c>
    </x:row>
    <x:row r="49" ht="15">
      <x:c r="A49" s="11" t="s">
        <x:v>209</x:v>
      </x:c>
      <x:c r="B49" s="11" t="s">
        <x:v>210</x:v>
      </x:c>
      <x:c r="C49" s="11">
        <x:v>2025</x:v>
      </x:c>
      <x:c r="D49" s="11" t="s">
        <x:v>162</x:v>
      </x:c>
      <x:c r="E49" s="12">
        <x:v>712896</x:v>
      </x:c>
      <x:c r="F49" s="12">
        <x:v>31991</x:v>
      </x:c>
      <x:c r="G49" s="12">
        <x:v>137612</x:v>
      </x:c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>
        <x:v>21665</x:v>
      </x:c>
      <x:c r="T49" s="11" t="s">
        <x:v>211</x:v>
      </x:c>
      <x:c r="U49" s="11" t="s">
        <x:v>212</x:v>
      </x:c>
      <x:c r="V49" s="11" t="s">
        <x:v>167</x:v>
      </x:c>
    </x:row>
    <x:row r="50" ht="15">
      <x:c r="A50" s="11" t="s">
        <x:v>213</x:v>
      </x:c>
      <x:c r="B50" s="11" t="s">
        <x:v>214</x:v>
      </x:c>
      <x:c r="C50" s="11">
        <x:v>2023</x:v>
      </x:c>
      <x:c r="D50" s="11" t="s">
        <x:v>187</x:v>
      </x:c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1" t="s">
        <x:v>163</x:v>
      </x:c>
      <x:c r="U50" s="11" t="s">
        <x:v>163</x:v>
      </x:c>
      <x:c r="V50" s="11" t="s">
        <x:v>164</x:v>
      </x:c>
    </x:row>
    <x:row r="51" ht="15">
      <x:c r="A51" s="11" t="s">
        <x:v>213</x:v>
      </x:c>
      <x:c r="B51" s="11" t="s">
        <x:v>214</x:v>
      </x:c>
      <x:c r="C51" s="11">
        <x:v>2024</x:v>
      </x:c>
      <x:c r="D51" s="11" t="s">
        <x:v>187</x:v>
      </x:c>
      <x:c r="E51" s="12">
        <x:v>12082</x:v>
      </x:c>
      <x:c r="F51" s="12">
        <x:v>803</x:v>
      </x:c>
      <x:c r="G51" s="12">
        <x:v>1494</x:v>
      </x:c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>
        <x:v>6415</x:v>
      </x:c>
      <x:c r="T51" s="11" t="s">
        <x:v>215</x:v>
      </x:c>
      <x:c r="U51" s="11" t="s">
        <x:v>216</x:v>
      </x:c>
      <x:c r="V51" s="11" t="s">
        <x:v>167</x:v>
      </x:c>
    </x:row>
    <x:row r="52" ht="15">
      <x:c r="A52" s="11" t="s">
        <x:v>213</x:v>
      </x:c>
      <x:c r="B52" s="11" t="s">
        <x:v>214</x:v>
      </x:c>
      <x:c r="C52" s="11">
        <x:v>2025</x:v>
      </x:c>
      <x:c r="D52" s="11" t="s">
        <x:v>187</x:v>
      </x:c>
      <x:c r="E52" s="12">
        <x:v>14812</x:v>
      </x:c>
      <x:c r="F52" s="12">
        <x:v>-455</x:v>
      </x:c>
      <x:c r="G52" s="12">
        <x:v>1053</x:v>
      </x:c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>
        <x:v>8054</x:v>
      </x:c>
      <x:c r="T52" s="11" t="s">
        <x:v>215</x:v>
      </x:c>
      <x:c r="U52" s="11" t="s">
        <x:v>216</x:v>
      </x:c>
      <x:c r="V52" s="11" t="s">
        <x:v>167</x:v>
      </x:c>
    </x:row>
    <x:row r="53" ht="15">
      <x:c r="A53" s="11" t="s">
        <x:v>217</x:v>
      </x:c>
      <x:c r="B53" s="11" t="s">
        <x:v>218</x:v>
      </x:c>
      <x:c r="C53" s="11">
        <x:v>2023</x:v>
      </x:c>
      <x:c r="D53" s="11" t="s">
        <x:v>162</x:v>
      </x:c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1" t="s">
        <x:v>163</x:v>
      </x:c>
      <x:c r="U53" s="11" t="s">
        <x:v>163</x:v>
      </x:c>
      <x:c r="V53" s="11" t="s">
        <x:v>164</x:v>
      </x:c>
    </x:row>
    <x:row r="54" ht="15">
      <x:c r="A54" s="11" t="s">
        <x:v>217</x:v>
      </x:c>
      <x:c r="B54" s="11" t="s">
        <x:v>218</x:v>
      </x:c>
      <x:c r="C54" s="11">
        <x:v>2024</x:v>
      </x:c>
      <x:c r="D54" s="11" t="s">
        <x:v>162</x:v>
      </x:c>
      <x:c r="E54" s="12">
        <x:v>979593</x:v>
      </x:c>
      <x:c r="F54" s="12">
        <x:v>121857</x:v>
      </x:c>
      <x:c r="G54" s="12">
        <x:v>256887</x:v>
      </x:c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>
        <x:v>-10213</x:v>
      </x:c>
      <x:c r="T54" s="11" t="s">
        <x:v>219</x:v>
      </x:c>
      <x:c r="U54" s="11" t="s">
        <x:v>174</x:v>
      </x:c>
      <x:c r="V54" s="11" t="s">
        <x:v>167</x:v>
      </x:c>
    </x:row>
    <x:row r="55" ht="15">
      <x:c r="A55" s="11" t="s">
        <x:v>217</x:v>
      </x:c>
      <x:c r="B55" s="11" t="s">
        <x:v>218</x:v>
      </x:c>
      <x:c r="C55" s="11">
        <x:v>2025</x:v>
      </x:c>
      <x:c r="D55" s="11" t="s">
        <x:v>162</x:v>
      </x:c>
      <x:c r="E55" s="12">
        <x:v>831351</x:v>
      </x:c>
      <x:c r="F55" s="12">
        <x:v>63149</x:v>
      </x:c>
      <x:c r="G55" s="12">
        <x:v>140500</x:v>
      </x:c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>
        <x:v>-45664</x:v>
      </x:c>
      <x:c r="T55" s="11" t="s">
        <x:v>219</x:v>
      </x:c>
      <x:c r="U55" s="11" t="s">
        <x:v>174</x:v>
      </x:c>
      <x:c r="V55" s="11" t="s">
        <x:v>167</x:v>
      </x:c>
    </x:row>
    <x:row r="56" ht="15">
      <x:c r="A56" s="11" t="s">
        <x:v>220</x:v>
      </x:c>
      <x:c r="B56" s="11" t="s">
        <x:v>221</x:v>
      </x:c>
      <x:c r="C56" s="11">
        <x:v>2023</x:v>
      </x:c>
      <x:c r="D56" s="11" t="s">
        <x:v>162</x:v>
      </x:c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1" t="s">
        <x:v>163</x:v>
      </x:c>
      <x:c r="U56" s="11" t="s">
        <x:v>163</x:v>
      </x:c>
      <x:c r="V56" s="11" t="s">
        <x:v>164</x:v>
      </x:c>
    </x:row>
    <x:row r="57" ht="15">
      <x:c r="A57" s="11" t="s">
        <x:v>220</x:v>
      </x:c>
      <x:c r="B57" s="11" t="s">
        <x:v>221</x:v>
      </x:c>
      <x:c r="C57" s="11">
        <x:v>2024</x:v>
      </x:c>
      <x:c r="D57" s="11" t="s">
        <x:v>162</x:v>
      </x:c>
      <x:c r="E57" s="12">
        <x:v>507689</x:v>
      </x:c>
      <x:c r="F57" s="12">
        <x:v>84469</x:v>
      </x:c>
      <x:c r="G57" s="12">
        <x:v>177005</x:v>
      </x:c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>
        <x:v>325356</x:v>
      </x:c>
      <x:c r="T57" s="11" t="s">
        <x:v>222</x:v>
      </x:c>
      <x:c r="U57" s="11" t="s">
        <x:v>223</x:v>
      </x:c>
      <x:c r="V57" s="11" t="s">
        <x:v>167</x:v>
      </x:c>
    </x:row>
    <x:row r="58" ht="15">
      <x:c r="A58" s="11" t="s">
        <x:v>220</x:v>
      </x:c>
      <x:c r="B58" s="11" t="s">
        <x:v>221</x:v>
      </x:c>
      <x:c r="C58" s="11">
        <x:v>2025</x:v>
      </x:c>
      <x:c r="D58" s="11" t="s">
        <x:v>162</x:v>
      </x:c>
      <x:c r="E58" s="12">
        <x:v>573628</x:v>
      </x:c>
      <x:c r="F58" s="12">
        <x:v>114243</x:v>
      </x:c>
      <x:c r="G58" s="12">
        <x:v>176317</x:v>
      </x:c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>
        <x:v>320468</x:v>
      </x:c>
      <x:c r="T58" s="11" t="s">
        <x:v>222</x:v>
      </x:c>
      <x:c r="U58" s="11" t="s">
        <x:v>223</x:v>
      </x:c>
      <x:c r="V58" s="11" t="s">
        <x:v>167</x:v>
      </x:c>
    </x:row>
    <x:row r="59" ht="15">
      <x:c r="A59" s="11" t="s">
        <x:v>224</x:v>
      </x:c>
      <x:c r="B59" s="11" t="s">
        <x:v>225</x:v>
      </x:c>
      <x:c r="C59" s="11">
        <x:v>2023</x:v>
      </x:c>
      <x:c r="D59" s="11" t="s">
        <x:v>162</x:v>
      </x:c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1" t="s">
        <x:v>163</x:v>
      </x:c>
      <x:c r="U59" s="11" t="s">
        <x:v>163</x:v>
      </x:c>
      <x:c r="V59" s="11" t="s">
        <x:v>164</x:v>
      </x:c>
    </x:row>
    <x:row r="60" ht="15">
      <x:c r="A60" s="11" t="s">
        <x:v>224</x:v>
      </x:c>
      <x:c r="B60" s="11" t="s">
        <x:v>225</x:v>
      </x:c>
      <x:c r="C60" s="11">
        <x:v>2024</x:v>
      </x:c>
      <x:c r="D60" s="11" t="s">
        <x:v>162</x:v>
      </x:c>
      <x:c r="E60" s="12">
        <x:v>779945</x:v>
      </x:c>
      <x:c r="F60" s="12">
        <x:v>24060</x:v>
      </x:c>
      <x:c r="G60" s="12"/>
      <x:c r="H60" s="12"/>
      <x:c r="I60" s="12"/>
      <x:c r="J60" s="12"/>
      <x:c r="K60" s="12">
        <x:v>302460</x:v>
      </x:c>
      <x:c r="L60" s="12"/>
      <x:c r="M60" s="12"/>
      <x:c r="N60" s="12"/>
      <x:c r="O60" s="12"/>
      <x:c r="P60" s="12"/>
      <x:c r="Q60" s="12"/>
      <x:c r="R60" s="12"/>
      <x:c r="S60" s="12">
        <x:v>661202</x:v>
      </x:c>
      <x:c r="T60" s="11" t="s">
        <x:v>226</x:v>
      </x:c>
      <x:c r="U60" s="11" t="s">
        <x:v>227</x:v>
      </x:c>
      <x:c r="V60" s="11" t="s">
        <x:v>167</x:v>
      </x:c>
    </x:row>
    <x:row r="61" ht="15">
      <x:c r="A61" s="11" t="s">
        <x:v>224</x:v>
      </x:c>
      <x:c r="B61" s="11" t="s">
        <x:v>225</x:v>
      </x:c>
      <x:c r="C61" s="11">
        <x:v>2025</x:v>
      </x:c>
      <x:c r="D61" s="11" t="s">
        <x:v>162</x:v>
      </x:c>
      <x:c r="E61" s="12">
        <x:v>872790</x:v>
      </x:c>
      <x:c r="F61" s="12">
        <x:v>18715</x:v>
      </x:c>
      <x:c r="G61" s="12"/>
      <x:c r="H61" s="12"/>
      <x:c r="I61" s="12"/>
      <x:c r="J61" s="12"/>
      <x:c r="K61" s="12">
        <x:v>331048</x:v>
      </x:c>
      <x:c r="L61" s="12"/>
      <x:c r="M61" s="12"/>
      <x:c r="N61" s="12"/>
      <x:c r="O61" s="12"/>
      <x:c r="P61" s="12"/>
      <x:c r="Q61" s="12"/>
      <x:c r="R61" s="12"/>
      <x:c r="S61" s="12">
        <x:v>689637</x:v>
      </x:c>
      <x:c r="T61" s="11" t="s">
        <x:v>226</x:v>
      </x:c>
      <x:c r="U61" s="11" t="s">
        <x:v>227</x:v>
      </x:c>
      <x:c r="V61" s="11" t="s">
        <x:v>167</x:v>
      </x:c>
    </x:row>
    <x:row r="62" ht="15">
      <x:c r="A62" s="11" t="s">
        <x:v>99</x:v>
      </x:c>
      <x:c r="B62" s="11" t="s">
        <x:v>228</x:v>
      </x:c>
      <x:c r="C62" s="11">
        <x:v>2023</x:v>
      </x:c>
      <x:c r="D62" s="11" t="s">
        <x:v>162</x:v>
      </x:c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  <x:c r="T62" s="11" t="s">
        <x:v>163</x:v>
      </x:c>
      <x:c r="U62" s="11" t="s">
        <x:v>163</x:v>
      </x:c>
      <x:c r="V62" s="11" t="s">
        <x:v>164</x:v>
      </x:c>
    </x:row>
    <x:row r="63" ht="15">
      <x:c r="A63" s="11" t="s">
        <x:v>99</x:v>
      </x:c>
      <x:c r="B63" s="11" t="s">
        <x:v>228</x:v>
      </x:c>
      <x:c r="C63" s="11">
        <x:v>2024</x:v>
      </x:c>
      <x:c r="D63" s="11" t="s">
        <x:v>162</x:v>
      </x:c>
      <x:c r="E63" s="12">
        <x:v>856785</x:v>
      </x:c>
      <x:c r="F63" s="12">
        <x:v>55020</x:v>
      </x:c>
      <x:c r="G63" s="12">
        <x:v>214075</x:v>
      </x:c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2">
        <x:v>598091</x:v>
      </x:c>
      <x:c r="T63" s="11" t="s">
        <x:v>229</x:v>
      </x:c>
      <x:c r="U63" s="11" t="s">
        <x:v>178</x:v>
      </x:c>
      <x:c r="V63" s="11" t="s">
        <x:v>167</x:v>
      </x:c>
    </x:row>
    <x:row r="64" ht="15">
      <x:c r="A64" s="11" t="s">
        <x:v>99</x:v>
      </x:c>
      <x:c r="B64" s="11" t="s">
        <x:v>228</x:v>
      </x:c>
      <x:c r="C64" s="11">
        <x:v>2025</x:v>
      </x:c>
      <x:c r="D64" s="11" t="s">
        <x:v>162</x:v>
      </x:c>
      <x:c r="E64" s="12">
        <x:v>902261</x:v>
      </x:c>
      <x:c r="F64" s="12">
        <x:v>105505</x:v>
      </x:c>
      <x:c r="G64" s="12">
        <x:v>253651</x:v>
      </x:c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>
        <x:v>535492</x:v>
      </x:c>
      <x:c r="T64" s="11" t="s">
        <x:v>229</x:v>
      </x:c>
      <x:c r="U64" s="11" t="s">
        <x:v>178</x:v>
      </x:c>
      <x:c r="V64" s="11" t="s">
        <x:v>167</x:v>
      </x:c>
    </x:row>
    <x:row r="65" ht="15">
      <x:c r="A65" s="11" t="s">
        <x:v>101</x:v>
      </x:c>
      <x:c r="B65" s="11" t="s">
        <x:v>230</x:v>
      </x:c>
      <x:c r="C65" s="11">
        <x:v>2023</x:v>
      </x:c>
      <x:c r="D65" s="11" t="s">
        <x:v>162</x:v>
      </x:c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  <x:c r="S65" s="12"/>
      <x:c r="T65" s="11" t="s">
        <x:v>163</x:v>
      </x:c>
      <x:c r="U65" s="11" t="s">
        <x:v>163</x:v>
      </x:c>
      <x:c r="V65" s="11" t="s">
        <x:v>164</x:v>
      </x:c>
    </x:row>
    <x:row r="66" ht="15">
      <x:c r="A66" s="11" t="s">
        <x:v>101</x:v>
      </x:c>
      <x:c r="B66" s="11" t="s">
        <x:v>230</x:v>
      </x:c>
      <x:c r="C66" s="11">
        <x:v>2024</x:v>
      </x:c>
      <x:c r="D66" s="11" t="s">
        <x:v>162</x:v>
      </x:c>
      <x:c r="E66" s="12">
        <x:v>768466</x:v>
      </x:c>
      <x:c r="F66" s="12">
        <x:v>79740</x:v>
      </x:c>
      <x:c r="G66" s="12">
        <x:v>153023</x:v>
      </x:c>
      <x:c r="H66" s="12"/>
      <x:c r="I66" s="12"/>
      <x:c r="J66" s="12"/>
      <x:c r="K66" s="12"/>
      <x:c r="L66" s="12">
        <x:v>99699</x:v>
      </x:c>
      <x:c r="M66" s="12">
        <x:v>54290</x:v>
      </x:c>
      <x:c r="N66" s="12"/>
      <x:c r="O66" s="12"/>
      <x:c r="P66" s="12"/>
      <x:c r="Q66" s="12">
        <x:v>12</x:v>
      </x:c>
      <x:c r="R66" s="12">
        <x:v>153023</x:v>
      </x:c>
      <x:c r="S66" s="12">
        <x:v>-73386</x:v>
      </x:c>
      <x:c r="T66" s="11" t="s">
        <x:v>231</x:v>
      </x:c>
      <x:c r="U66" s="11" t="s">
        <x:v>201</x:v>
      </x:c>
      <x:c r="V66" s="11" t="s">
        <x:v>167</x:v>
      </x:c>
    </x:row>
    <x:row r="67" ht="15">
      <x:c r="A67" s="11" t="s">
        <x:v>101</x:v>
      </x:c>
      <x:c r="B67" s="11" t="s">
        <x:v>230</x:v>
      </x:c>
      <x:c r="C67" s="11">
        <x:v>2025</x:v>
      </x:c>
      <x:c r="D67" s="11" t="s">
        <x:v>162</x:v>
      </x:c>
      <x:c r="E67" s="12">
        <x:v>609865</x:v>
      </x:c>
      <x:c r="F67" s="12">
        <x:v>-14855</x:v>
      </x:c>
      <x:c r="G67" s="12">
        <x:v>80757</x:v>
      </x:c>
      <x:c r="H67" s="12"/>
      <x:c r="I67" s="12"/>
      <x:c r="J67" s="12"/>
      <x:c r="K67" s="12"/>
      <x:c r="L67" s="12">
        <x:v>21444</x:v>
      </x:c>
      <x:c r="M67" s="12">
        <x:v>60064</x:v>
      </x:c>
      <x:c r="N67" s="12"/>
      <x:c r="O67" s="12"/>
      <x:c r="P67" s="12"/>
      <x:c r="Q67" s="12">
        <x:v>9</x:v>
      </x:c>
      <x:c r="R67" s="12">
        <x:v>80757</x:v>
      </x:c>
      <x:c r="S67" s="12">
        <x:v>-79923</x:v>
      </x:c>
      <x:c r="T67" s="11" t="s">
        <x:v>231</x:v>
      </x:c>
      <x:c r="U67" s="11" t="s">
        <x:v>201</x:v>
      </x:c>
      <x:c r="V67" s="11" t="s">
        <x:v>167</x:v>
      </x:c>
    </x:row>
    <x:row r="68" ht="15">
      <x:c r="A68" s="11" t="s">
        <x:v>232</x:v>
      </x:c>
      <x:c r="B68" s="11" t="s">
        <x:v>233</x:v>
      </x:c>
      <x:c r="C68" s="11">
        <x:v>2023</x:v>
      </x:c>
      <x:c r="D68" s="11" t="s">
        <x:v>187</x:v>
      </x:c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  <x:c r="T68" s="11" t="s">
        <x:v>163</x:v>
      </x:c>
      <x:c r="U68" s="11" t="s">
        <x:v>163</x:v>
      </x:c>
      <x:c r="V68" s="11" t="s">
        <x:v>164</x:v>
      </x:c>
    </x:row>
    <x:row r="69" ht="15">
      <x:c r="A69" s="11" t="s">
        <x:v>232</x:v>
      </x:c>
      <x:c r="B69" s="11" t="s">
        <x:v>233</x:v>
      </x:c>
      <x:c r="C69" s="11">
        <x:v>2024</x:v>
      </x:c>
      <x:c r="D69" s="11" t="s">
        <x:v>187</x:v>
      </x:c>
      <x:c r="E69" s="12">
        <x:v>14649</x:v>
      </x:c>
      <x:c r="F69" s="12">
        <x:v>1348</x:v>
      </x:c>
      <x:c r="G69" s="12"/>
      <x:c r="H69" s="12">
        <x:v>2927</x:v>
      </x:c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  <x:c r="S69" s="12">
        <x:v>8881</x:v>
      </x:c>
      <x:c r="T69" s="11" t="s">
        <x:v>234</x:v>
      </x:c>
      <x:c r="U69" s="11" t="s">
        <x:v>178</x:v>
      </x:c>
      <x:c r="V69" s="11" t="s">
        <x:v>167</x:v>
      </x:c>
    </x:row>
    <x:row r="70" ht="15">
      <x:c r="A70" s="11" t="s">
        <x:v>232</x:v>
      </x:c>
      <x:c r="B70" s="11" t="s">
        <x:v>233</x:v>
      </x:c>
      <x:c r="C70" s="11">
        <x:v>2025</x:v>
      </x:c>
      <x:c r="D70" s="11" t="s">
        <x:v>187</x:v>
      </x:c>
      <x:c r="E70" s="12">
        <x:v>17703</x:v>
      </x:c>
      <x:c r="F70" s="12">
        <x:v>235</x:v>
      </x:c>
      <x:c r="G70" s="12"/>
      <x:c r="H70" s="12">
        <x:v>2700</x:v>
      </x:c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2">
        <x:v>11109</x:v>
      </x:c>
      <x:c r="T70" s="11" t="s">
        <x:v>234</x:v>
      </x:c>
      <x:c r="U70" s="11" t="s">
        <x:v>178</x:v>
      </x:c>
      <x:c r="V70" s="11" t="s">
        <x:v>167</x:v>
      </x:c>
    </x:row>
    <x:row r="71" ht="15">
      <x:c r="A71" s="11" t="s">
        <x:v>235</x:v>
      </x:c>
      <x:c r="B71" s="11" t="s">
        <x:v>236</x:v>
      </x:c>
      <x:c r="C71" s="11">
        <x:v>2023</x:v>
      </x:c>
      <x:c r="D71" s="11" t="s">
        <x:v>162</x:v>
      </x:c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  <x:c r="S71" s="12"/>
      <x:c r="T71" s="11" t="s">
        <x:v>163</x:v>
      </x:c>
      <x:c r="U71" s="11" t="s">
        <x:v>163</x:v>
      </x:c>
      <x:c r="V71" s="11" t="s">
        <x:v>164</x:v>
      </x:c>
    </x:row>
    <x:row r="72" ht="15">
      <x:c r="A72" s="11" t="s">
        <x:v>235</x:v>
      </x:c>
      <x:c r="B72" s="11" t="s">
        <x:v>236</x:v>
      </x:c>
      <x:c r="C72" s="11">
        <x:v>2024</x:v>
      </x:c>
      <x:c r="D72" s="11" t="s">
        <x:v>162</x:v>
      </x:c>
      <x:c r="E72" s="12">
        <x:v>33122</x:v>
      </x:c>
      <x:c r="F72" s="12">
        <x:v>10175</x:v>
      </x:c>
      <x:c r="G72" s="12">
        <x:v>10681</x:v>
      </x:c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  <x:c r="S72" s="12">
        <x:v>-4650</x:v>
      </x:c>
      <x:c r="T72" s="11" t="s">
        <x:v>237</x:v>
      </x:c>
      <x:c r="U72" s="11" t="s">
        <x:v>238</x:v>
      </x:c>
      <x:c r="V72" s="11" t="s">
        <x:v>167</x:v>
      </x:c>
    </x:row>
    <x:row r="73" ht="15">
      <x:c r="A73" s="11" t="s">
        <x:v>235</x:v>
      </x:c>
      <x:c r="B73" s="11" t="s">
        <x:v>236</x:v>
      </x:c>
      <x:c r="C73" s="11">
        <x:v>2025</x:v>
      </x:c>
      <x:c r="D73" s="11" t="s">
        <x:v>162</x:v>
      </x:c>
      <x:c r="E73" s="12">
        <x:v>43455</x:v>
      </x:c>
      <x:c r="F73" s="12">
        <x:v>11035</x:v>
      </x:c>
      <x:c r="G73" s="12">
        <x:v>13289</x:v>
      </x:c>
      <x:c r="H73" s="12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  <x:c r="S73" s="12">
        <x:v>368</x:v>
      </x:c>
      <x:c r="T73" s="11" t="s">
        <x:v>237</x:v>
      </x:c>
      <x:c r="U73" s="11" t="s">
        <x:v>238</x:v>
      </x:c>
      <x:c r="V73" s="11" t="s">
        <x:v>167</x:v>
      </x:c>
    </x:row>
    <x:row r="74" ht="15">
      <x:c r="A74" s="11" t="s">
        <x:v>239</x:v>
      </x:c>
      <x:c r="B74" s="11" t="s">
        <x:v>240</x:v>
      </x:c>
      <x:c r="C74" s="11">
        <x:v>2023</x:v>
      </x:c>
      <x:c r="D74" s="11" t="s">
        <x:v>162</x:v>
      </x:c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  <x:c r="S74" s="12"/>
      <x:c r="T74" s="11" t="s">
        <x:v>163</x:v>
      </x:c>
      <x:c r="U74" s="11" t="s">
        <x:v>163</x:v>
      </x:c>
      <x:c r="V74" s="11" t="s">
        <x:v>164</x:v>
      </x:c>
    </x:row>
    <x:row r="75" ht="15">
      <x:c r="A75" s="11" t="s">
        <x:v>239</x:v>
      </x:c>
      <x:c r="B75" s="11" t="s">
        <x:v>240</x:v>
      </x:c>
      <x:c r="C75" s="11">
        <x:v>2024</x:v>
      </x:c>
      <x:c r="D75" s="11" t="s">
        <x:v>162</x:v>
      </x:c>
      <x:c r="E75" s="12">
        <x:v>888306.76500000001</x:v>
      </x:c>
      <x:c r="F75" s="12">
        <x:v>22463.392</x:v>
      </x:c>
      <x:c r="G75" s="12">
        <x:v>88081.578999999998</x:v>
      </x:c>
      <x:c r="H75" s="12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  <x:c r="S75" s="12">
        <x:v>152027.236</x:v>
      </x:c>
      <x:c r="T75" s="11" t="s">
        <x:v>241</x:v>
      </x:c>
      <x:c r="U75" s="11" t="s">
        <x:v>166</x:v>
      </x:c>
      <x:c r="V75" s="11" t="s">
        <x:v>167</x:v>
      </x:c>
    </x:row>
    <x:row r="76" ht="15">
      <x:c r="A76" s="11" t="s">
        <x:v>239</x:v>
      </x:c>
      <x:c r="B76" s="11" t="s">
        <x:v>240</x:v>
      </x:c>
      <x:c r="C76" s="11">
        <x:v>2025</x:v>
      </x:c>
      <x:c r="D76" s="11" t="s">
        <x:v>162</x:v>
      </x:c>
      <x:c r="E76" s="12">
        <x:v>1103662.719</x:v>
      </x:c>
      <x:c r="F76" s="12">
        <x:v>34851.311000000002</x:v>
      </x:c>
      <x:c r="G76" s="12">
        <x:v>113015.443</x:v>
      </x:c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  <x:c r="S76" s="12">
        <x:v>168348.644</x:v>
      </x:c>
      <x:c r="T76" s="11" t="s">
        <x:v>241</x:v>
      </x:c>
      <x:c r="U76" s="11" t="s">
        <x:v>166</x:v>
      </x:c>
      <x:c r="V76" s="11" t="s">
        <x:v>167</x:v>
      </x:c>
    </x:row>
    <x:row r="77" ht="15">
      <x:c r="A77" s="11" t="s">
        <x:v>106</x:v>
      </x:c>
      <x:c r="B77" s="11" t="s">
        <x:v>242</x:v>
      </x:c>
      <x:c r="C77" s="11">
        <x:v>2023</x:v>
      </x:c>
      <x:c r="D77" s="11" t="s">
        <x:v>187</x:v>
      </x:c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  <x:c r="S77" s="12"/>
      <x:c r="T77" s="11" t="s">
        <x:v>163</x:v>
      </x:c>
      <x:c r="U77" s="11" t="s">
        <x:v>163</x:v>
      </x:c>
      <x:c r="V77" s="11" t="s">
        <x:v>164</x:v>
      </x:c>
    </x:row>
    <x:row r="78" ht="15">
      <x:c r="A78" s="11" t="s">
        <x:v>106</x:v>
      </x:c>
      <x:c r="B78" s="11" t="s">
        <x:v>242</x:v>
      </x:c>
      <x:c r="C78" s="11">
        <x:v>2024</x:v>
      </x:c>
      <x:c r="D78" s="11" t="s">
        <x:v>187</x:v>
      </x:c>
      <x:c r="E78" s="12">
        <x:v>1869.748</x:v>
      </x:c>
      <x:c r="F78" s="12">
        <x:v>424.44900000000001</x:v>
      </x:c>
      <x:c r="G78" s="12">
        <x:v>1041.2850000000001</x:v>
      </x:c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  <x:c r="S78" s="12">
        <x:v>28.05</x:v>
      </x:c>
      <x:c r="T78" s="11" t="s">
        <x:v>243</x:v>
      </x:c>
      <x:c r="U78" s="11" t="s">
        <x:v>244</x:v>
      </x:c>
      <x:c r="V78" s="11" t="s">
        <x:v>167</x:v>
      </x:c>
    </x:row>
    <x:row r="79" ht="15">
      <x:c r="A79" s="11" t="s">
        <x:v>106</x:v>
      </x:c>
      <x:c r="B79" s="11" t="s">
        <x:v>242</x:v>
      </x:c>
      <x:c r="C79" s="11">
        <x:v>2025</x:v>
      </x:c>
      <x:c r="D79" s="11" t="s">
        <x:v>187</x:v>
      </x:c>
      <x:c r="E79" s="12">
        <x:v>1309.8989999999999</x:v>
      </x:c>
      <x:c r="F79" s="12">
        <x:v>-648.404</x:v>
      </x:c>
      <x:c r="G79" s="12">
        <x:v>525.625</x:v>
      </x:c>
      <x:c r="H79" s="12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  <x:c r="S79" s="12">
        <x:v>359.29</x:v>
      </x:c>
      <x:c r="T79" s="11" t="s">
        <x:v>243</x:v>
      </x:c>
      <x:c r="U79" s="11" t="s">
        <x:v>244</x:v>
      </x:c>
      <x:c r="V79" s="11" t="s">
        <x:v>167</x:v>
      </x:c>
    </x:row>
    <x:row r="80" ht="15">
      <x:c r="A80" s="11" t="s">
        <x:v>245</x:v>
      </x:c>
      <x:c r="B80" s="11" t="s">
        <x:v>246</x:v>
      </x:c>
      <x:c r="C80" s="11">
        <x:v>2023</x:v>
      </x:c>
      <x:c r="D80" s="11" t="s">
        <x:v>162</x:v>
      </x:c>
      <x:c r="E80" s="12" t="s">
        <x:v>247</x:v>
      </x:c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  <x:c r="S80" s="12" t="s">
        <x:v>247</x:v>
      </x:c>
      <x:c r="T80" s="11" t="s">
        <x:v>163</x:v>
      </x:c>
      <x:c r="U80" s="11" t="s">
        <x:v>163</x:v>
      </x:c>
      <x:c r="V80" s="11" t="s">
        <x:v>164</x:v>
      </x:c>
    </x:row>
    <x:row r="81" ht="15">
      <x:c r="A81" s="11" t="s">
        <x:v>245</x:v>
      </x:c>
      <x:c r="B81" s="11" t="s">
        <x:v>246</x:v>
      </x:c>
      <x:c r="C81" s="11">
        <x:v>2024</x:v>
      </x:c>
      <x:c r="D81" s="11" t="s">
        <x:v>162</x:v>
      </x:c>
      <x:c r="E81" s="12" t="s">
        <x:v>247</x:v>
      </x:c>
      <x:c r="F81" s="12">
        <x:v>50779</x:v>
      </x:c>
      <x:c r="G81" s="12"/>
      <x:c r="H81" s="12"/>
      <x:c r="I81" s="12"/>
      <x:c r="J81" s="12"/>
      <x:c r="K81" s="12"/>
      <x:c r="L81" s="12"/>
      <x:c r="M81" s="12"/>
      <x:c r="N81" s="12"/>
      <x:c r="O81" s="12"/>
      <x:c r="P81" s="12"/>
      <x:c r="Q81" s="12"/>
      <x:c r="R81" s="12"/>
      <x:c r="S81" s="12" t="s">
        <x:v>247</x:v>
      </x:c>
      <x:c r="T81" s="11" t="s">
        <x:v>248</x:v>
      </x:c>
      <x:c r="U81" s="11" t="s">
        <x:v>189</x:v>
      </x:c>
      <x:c r="V81" s="11" t="s">
        <x:v>167</x:v>
      </x:c>
    </x:row>
    <x:row r="82" ht="15">
      <x:c r="A82" s="11" t="s">
        <x:v>245</x:v>
      </x:c>
      <x:c r="B82" s="11" t="s">
        <x:v>246</x:v>
      </x:c>
      <x:c r="C82" s="11">
        <x:v>2025</x:v>
      </x:c>
      <x:c r="D82" s="11" t="s">
        <x:v>162</x:v>
      </x:c>
      <x:c r="E82" s="12" t="s">
        <x:v>247</x:v>
      </x:c>
      <x:c r="F82" s="12">
        <x:v>37847</x:v>
      </x:c>
      <x:c r="G82" s="12"/>
      <x:c r="H82" s="12"/>
      <x:c r="I82" s="12"/>
      <x:c r="J82" s="12"/>
      <x:c r="K82" s="12"/>
      <x:c r="L82" s="12"/>
      <x:c r="M82" s="12"/>
      <x:c r="N82" s="12"/>
      <x:c r="O82" s="12"/>
      <x:c r="P82" s="12"/>
      <x:c r="Q82" s="12"/>
      <x:c r="R82" s="12"/>
      <x:c r="S82" s="12" t="s">
        <x:v>247</x:v>
      </x:c>
      <x:c r="T82" s="11" t="s">
        <x:v>248</x:v>
      </x:c>
      <x:c r="U82" s="11" t="s">
        <x:v>189</x:v>
      </x:c>
      <x:c r="V82" s="11" t="s">
        <x:v>167</x:v>
      </x:c>
    </x:row>
    <x:row r="83" ht="15">
      <x:c r="A83" s="11" t="s">
        <x:v>249</x:v>
      </x:c>
      <x:c r="B83" s="11" t="s">
        <x:v>250</x:v>
      </x:c>
      <x:c r="C83" s="11">
        <x:v>2023</x:v>
      </x:c>
      <x:c r="D83" s="11" t="s">
        <x:v>162</x:v>
      </x:c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  <x:c r="O83" s="12"/>
      <x:c r="P83" s="12"/>
      <x:c r="Q83" s="12"/>
      <x:c r="R83" s="12"/>
      <x:c r="S83" s="12"/>
      <x:c r="T83" s="11" t="s">
        <x:v>163</x:v>
      </x:c>
      <x:c r="U83" s="11" t="s">
        <x:v>163</x:v>
      </x:c>
      <x:c r="V83" s="11" t="s">
        <x:v>164</x:v>
      </x:c>
    </x:row>
    <x:row r="84" ht="15">
      <x:c r="A84" s="11" t="s">
        <x:v>249</x:v>
      </x:c>
      <x:c r="B84" s="11" t="s">
        <x:v>250</x:v>
      </x:c>
      <x:c r="C84" s="11">
        <x:v>2024</x:v>
      </x:c>
      <x:c r="D84" s="11" t="s">
        <x:v>162</x:v>
      </x:c>
      <x:c r="E84" s="12">
        <x:v>244072</x:v>
      </x:c>
      <x:c r="F84" s="12">
        <x:v>19246</x:v>
      </x:c>
      <x:c r="G84" s="12">
        <x:v>78638</x:v>
      </x:c>
      <x:c r="H84" s="12"/>
      <x:c r="I84" s="12"/>
      <x:c r="J84" s="12"/>
      <x:c r="K84" s="12"/>
      <x:c r="L84" s="12"/>
      <x:c r="M84" s="12"/>
      <x:c r="N84" s="12"/>
      <x:c r="O84" s="12"/>
      <x:c r="P84" s="12"/>
      <x:c r="Q84" s="12"/>
      <x:c r="R84" s="12"/>
      <x:c r="S84" s="12">
        <x:v>107915</x:v>
      </x:c>
      <x:c r="T84" s="11" t="s">
        <x:v>251</x:v>
      </x:c>
      <x:c r="U84" s="11" t="s">
        <x:v>166</x:v>
      </x:c>
      <x:c r="V84" s="11" t="s">
        <x:v>167</x:v>
      </x:c>
    </x:row>
    <x:row r="85" ht="15">
      <x:c r="A85" s="11" t="s">
        <x:v>249</x:v>
      </x:c>
      <x:c r="B85" s="11" t="s">
        <x:v>250</x:v>
      </x:c>
      <x:c r="C85" s="11">
        <x:v>2025</x:v>
      </x:c>
      <x:c r="D85" s="11" t="s">
        <x:v>162</x:v>
      </x:c>
      <x:c r="E85" s="12">
        <x:v>241129</x:v>
      </x:c>
      <x:c r="F85" s="12">
        <x:v>36239</x:v>
      </x:c>
      <x:c r="G85" s="12">
        <x:v>57823</x:v>
      </x:c>
      <x:c r="H85" s="12"/>
      <x:c r="I85" s="12"/>
      <x:c r="J85" s="12"/>
      <x:c r="K85" s="12"/>
      <x:c r="L85" s="12"/>
      <x:c r="M85" s="12"/>
      <x:c r="N85" s="12"/>
      <x:c r="O85" s="12"/>
      <x:c r="P85" s="12"/>
      <x:c r="Q85" s="12"/>
      <x:c r="R85" s="12"/>
      <x:c r="S85" s="12">
        <x:v>88391</x:v>
      </x:c>
      <x:c r="T85" s="11" t="s">
        <x:v>251</x:v>
      </x:c>
      <x:c r="U85" s="11" t="s">
        <x:v>166</x:v>
      </x:c>
      <x:c r="V85" s="11" t="s">
        <x:v>167</x:v>
      </x:c>
    </x:row>
    <x:row r="86" ht="15">
      <x:c r="A86" s="11" t="s">
        <x:v>252</x:v>
      </x:c>
      <x:c r="B86" s="11" t="s">
        <x:v>253</x:v>
      </x:c>
      <x:c r="C86" s="11">
        <x:v>2023</x:v>
      </x:c>
      <x:c r="D86" s="11" t="s">
        <x:v>162</x:v>
      </x:c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2"/>
      <x:c r="P86" s="12"/>
      <x:c r="Q86" s="12"/>
      <x:c r="R86" s="12"/>
      <x:c r="S86" s="12"/>
      <x:c r="T86" s="11" t="s">
        <x:v>163</x:v>
      </x:c>
      <x:c r="U86" s="11" t="s">
        <x:v>163</x:v>
      </x:c>
      <x:c r="V86" s="11" t="s">
        <x:v>164</x:v>
      </x:c>
    </x:row>
    <x:row r="87" ht="15">
      <x:c r="A87" s="11" t="s">
        <x:v>252</x:v>
      </x:c>
      <x:c r="B87" s="11" t="s">
        <x:v>253</x:v>
      </x:c>
      <x:c r="C87" s="11">
        <x:v>2024</x:v>
      </x:c>
      <x:c r="D87" s="11" t="s">
        <x:v>162</x:v>
      </x:c>
      <x:c r="E87" s="12">
        <x:v>12987</x:v>
      </x:c>
      <x:c r="F87" s="12">
        <x:v>2464</x:v>
      </x:c>
      <x:c r="G87" s="12"/>
      <x:c r="H87" s="12">
        <x:v>3207</x:v>
      </x:c>
      <x:c r="I87" s="12"/>
      <x:c r="J87" s="12"/>
      <x:c r="K87" s="12"/>
      <x:c r="L87" s="12"/>
      <x:c r="M87" s="12"/>
      <x:c r="N87" s="12"/>
      <x:c r="O87" s="12"/>
      <x:c r="P87" s="12"/>
      <x:c r="Q87" s="12"/>
      <x:c r="R87" s="12"/>
      <x:c r="S87" s="12">
        <x:v>-9141</x:v>
      </x:c>
      <x:c r="T87" s="11" t="s">
        <x:v>254</x:v>
      </x:c>
      <x:c r="U87" s="11" t="s">
        <x:v>223</x:v>
      </x:c>
      <x:c r="V87" s="11" t="s">
        <x:v>167</x:v>
      </x:c>
    </x:row>
    <x:row r="88" ht="15">
      <x:c r="A88" s="11" t="s">
        <x:v>252</x:v>
      </x:c>
      <x:c r="B88" s="11" t="s">
        <x:v>253</x:v>
      </x:c>
      <x:c r="C88" s="11">
        <x:v>2025</x:v>
      </x:c>
      <x:c r="D88" s="11" t="s">
        <x:v>162</x:v>
      </x:c>
      <x:c r="E88" s="12">
        <x:v>15156</x:v>
      </x:c>
      <x:c r="F88" s="12">
        <x:v>2862</x:v>
      </x:c>
      <x:c r="G88" s="12"/>
      <x:c r="H88" s="12">
        <x:v>3570</x:v>
      </x:c>
      <x:c r="I88" s="12"/>
      <x:c r="J88" s="12"/>
      <x:c r="K88" s="12"/>
      <x:c r="L88" s="12"/>
      <x:c r="M88" s="12"/>
      <x:c r="N88" s="12"/>
      <x:c r="O88" s="12"/>
      <x:c r="P88" s="12"/>
      <x:c r="Q88" s="12"/>
      <x:c r="R88" s="12"/>
      <x:c r="S88" s="12">
        <x:v>-6055</x:v>
      </x:c>
      <x:c r="T88" s="11" t="s">
        <x:v>254</x:v>
      </x:c>
      <x:c r="U88" s="11" t="s">
        <x:v>223</x:v>
      </x:c>
      <x:c r="V88" s="11" t="s">
        <x:v>167</x:v>
      </x:c>
    </x:row>
    <x:row r="89" ht="15">
      <x:c r="A89" s="11" t="s">
        <x:v>255</x:v>
      </x:c>
      <x:c r="B89" s="11" t="s">
        <x:v>256</x:v>
      </x:c>
      <x:c r="C89" s="11">
        <x:v>2023</x:v>
      </x:c>
      <x:c r="D89" s="11" t="s">
        <x:v>162</x:v>
      </x:c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2"/>
      <x:c r="P89" s="12"/>
      <x:c r="Q89" s="12"/>
      <x:c r="R89" s="12"/>
      <x:c r="S89" s="12"/>
      <x:c r="T89" s="11" t="s">
        <x:v>163</x:v>
      </x:c>
      <x:c r="U89" s="11" t="s">
        <x:v>163</x:v>
      </x:c>
      <x:c r="V89" s="11" t="s">
        <x:v>164</x:v>
      </x:c>
    </x:row>
    <x:row r="90" ht="15">
      <x:c r="A90" s="11" t="s">
        <x:v>255</x:v>
      </x:c>
      <x:c r="B90" s="11" t="s">
        <x:v>256</x:v>
      </x:c>
      <x:c r="C90" s="11">
        <x:v>2024</x:v>
      </x:c>
      <x:c r="D90" s="11" t="s">
        <x:v>162</x:v>
      </x:c>
      <x:c r="E90" s="12">
        <x:v>1230123.5319999999</x:v>
      </x:c>
      <x:c r="F90" s="12">
        <x:v>-11758.445</x:v>
      </x:c>
      <x:c r="G90" s="12"/>
      <x:c r="H90" s="12"/>
      <x:c r="I90" s="12"/>
      <x:c r="J90" s="12"/>
      <x:c r="K90" s="12">
        <x:v>316055.55699999997</x:v>
      </x:c>
      <x:c r="L90" s="12"/>
      <x:c r="M90" s="12"/>
      <x:c r="N90" s="12"/>
      <x:c r="O90" s="12"/>
      <x:c r="P90" s="12"/>
      <x:c r="Q90" s="12"/>
      <x:c r="R90" s="12"/>
      <x:c r="S90" s="12">
        <x:v>1215121.0349999999</x:v>
      </x:c>
      <x:c r="T90" s="11" t="s">
        <x:v>257</x:v>
      </x:c>
      <x:c r="U90" s="11" t="s">
        <x:v>174</x:v>
      </x:c>
      <x:c r="V90" s="11" t="s">
        <x:v>167</x:v>
      </x:c>
    </x:row>
    <x:row r="91" ht="15">
      <x:c r="A91" s="9" t="s">
        <x:v>255</x:v>
      </x:c>
      <x:c r="B91" s="9" t="s">
        <x:v>256</x:v>
      </x:c>
      <x:c r="C91" s="9">
        <x:v>2025</x:v>
      </x:c>
      <x:c r="D91" s="9" t="s">
        <x:v>162</x:v>
      </x:c>
      <x:c r="E91" s="10">
        <x:v>1332474.2439999999</x:v>
      </x:c>
      <x:c r="F91" s="10">
        <x:v>-232490.08600000001</x:v>
      </x:c>
      <x:c r="G91" s="10"/>
      <x:c r="H91" s="10"/>
      <x:c r="I91" s="10"/>
      <x:c r="J91" s="10"/>
      <x:c r="K91" s="10">
        <x:v>306184.70199999999</x:v>
      </x:c>
      <x:c r="L91" s="10"/>
      <x:c r="M91" s="10"/>
      <x:c r="N91" s="10"/>
      <x:c r="O91" s="10"/>
      <x:c r="P91" s="10"/>
      <x:c r="Q91" s="10"/>
      <x:c r="R91" s="10"/>
      <x:c r="S91" s="10">
        <x:v>1328832.5360000001</x:v>
      </x:c>
      <x:c r="T91" s="9" t="s">
        <x:v>257</x:v>
      </x:c>
      <x:c r="U91" s="9" t="s">
        <x:v>174</x:v>
      </x:c>
      <x:c r="V91" s="9" t="s">
        <x:v>167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xSplit="3" ySplit="6" topLeftCell="D7" activePane="bottomRight" state="frozen"/>
    </x:sheetView>
  </x:sheetViews>
  <x:sheetFormatPr defaultRowHeight="15"/>
  <x:cols>
    <x:col min="66" max="66" width="25" hidden="0" customWidth="1"/>
    <x:col min="67" max="67" width="25" hidden="0" customWidth="1"/>
    <x:col min="68" max="68" width="25" hidden="0" customWidth="1"/>
    <x:col min="69" max="69" width="25" hidden="0" customWidth="1"/>
    <x:col min="70" max="70" width="70" hidden="0" customWidth="1"/>
    <x:col min="71" max="71" width="25" hidden="0" customWidth="1"/>
    <x:col min="72" max="72" width="25" hidden="0" customWidth="1"/>
    <x:col min="73" max="73" width="25" hidden="0" customWidth="1"/>
    <x:col min="74" max="74" width="25" hidden="0" customWidth="1"/>
    <x:col min="75" max="75" width="25" hidden="0" customWidth="1"/>
    <x:col min="76" max="76" width="25" hidden="0" customWidth="1"/>
    <x:col min="77" max="77" width="25" hidden="0" customWidth="1"/>
    <x:col min="78" max="78" width="25" hidden="0" customWidth="1"/>
    <x:col min="79" max="79" width="25" hidden="0" customWidth="1"/>
    <x:col min="80" max="80" width="25" hidden="0" customWidth="1"/>
    <x:col min="81" max="81" width="25" hidden="0" customWidth="1"/>
    <x:col min="82" max="82" width="25" hidden="0" customWidth="1"/>
    <x:col min="83" max="83" width="25" hidden="0" customWidth="1"/>
    <x:col min="84" max="84" width="25" hidden="0" customWidth="1"/>
    <x:col min="85" max="85" width="25" hidden="0" customWidth="1"/>
    <x:col min="86" max="86" width="25" hidden="0" customWidth="1"/>
    <x:col min="87" max="87" width="25" hidden="0" customWidth="1"/>
    <x:col min="88" max="88" width="25" hidden="0" customWidth="1"/>
    <x:col min="89" max="89" width="25" hidden="0" customWidth="1"/>
    <x:col min="90" max="90" width="25" hidden="0" customWidth="1"/>
    <x:col min="91" max="91" width="25" hidden="0" customWidth="1"/>
    <x:col min="92" max="92" width="25" hidden="0" customWidth="1"/>
    <x:col min="55" max="55" width="38" hidden="0" customWidth="1"/>
    <x:col min="56" max="56" width="38" hidden="0" customWidth="1"/>
    <x:col min="57" max="57" width="38" hidden="0" customWidth="1"/>
    <x:col min="58" max="58" width="38" hidden="0" customWidth="1"/>
    <x:col min="59" max="59" width="38" hidden="0" customWidth="1"/>
    <x:col min="60" max="60" width="38" hidden="0" customWidth="1"/>
    <x:col min="61" max="61" width="38" hidden="0" customWidth="1"/>
    <x:col min="62" max="62" width="38" hidden="0" customWidth="1"/>
    <x:col min="63" max="63" width="38" hidden="0" customWidth="1"/>
    <x:col min="64" max="64" width="38" hidden="0" customWidth="1"/>
    <x:col min="65" max="65" width="38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</x:cols>
  <x:sheetData>
    <x:row r="1">
      <x:c r="A1"/>
      <x:c r="B1"/>
      <x:c r="C1"/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  <x:c r="AA1"/>
      <x:c r="AB1"/>
      <x:c r="AC1"/>
      <x:c r="AD1"/>
      <x:c r="AE1"/>
      <x:c r="AF1"/>
      <x:c r="AG1"/>
      <x:c r="AH1"/>
      <x:c r="AI1"/>
      <x:c r="AJ1"/>
      <x:c r="AK1"/>
      <x:c r="AL1"/>
      <x:c r="AM1"/>
      <x:c r="AN1"/>
      <x:c r="AO1"/>
      <x:c r="AP1"/>
      <x:c r="AQ1"/>
      <x:c r="AR1"/>
      <x:c r="AS1"/>
      <x:c r="AT1"/>
      <x:c r="AU1"/>
      <x:c r="AV1"/>
      <x:c r="AW1"/>
      <x:c r="AX1"/>
      <x:c r="AY1"/>
      <x:c r="AZ1"/>
      <x:c r="BA1"/>
      <x:c r="BB1"/>
      <x:c r="BC1"/>
      <x:c r="BD1"/>
      <x:c r="BE1"/>
      <x:c r="BF1"/>
      <x:c r="BG1"/>
      <x:c r="BH1"/>
      <x:c r="BI1"/>
      <x:c r="BJ1"/>
      <x:c r="BK1"/>
      <x:c r="BL1"/>
      <x:c r="BM1"/>
    </x:row>
    <x:row r="2">
      <x:c r="A2"/>
      <x:c r="B2" t="str">
        <x:v>6 месяцев 2025</x:v>
      </x:c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  <x:c r="AD2"/>
      <x:c r="AE2"/>
      <x:c r="AF2"/>
      <x:c r="AG2"/>
      <x:c r="AH2"/>
      <x:c r="AI2"/>
      <x:c r="AJ2"/>
      <x:c r="AK2"/>
      <x:c r="AL2"/>
      <x:c r="AM2"/>
      <x:c r="AN2"/>
      <x:c r="AO2"/>
      <x:c r="AP2"/>
      <x:c r="AQ2"/>
      <x:c r="AR2"/>
      <x:c r="AS2"/>
      <x:c r="AT2"/>
      <x:c r="AU2"/>
      <x:c r="AV2"/>
      <x:c r="AW2"/>
      <x:c r="AX2"/>
      <x:c r="AY2"/>
      <x:c r="AZ2"/>
      <x:c r="BA2"/>
      <x:c r="BB2"/>
      <x:c r="BC2"/>
      <x:c r="BD2"/>
      <x:c r="BE2"/>
      <x:c r="BF2"/>
      <x:c r="BG2"/>
      <x:c r="BH2"/>
      <x:c r="BI2"/>
      <x:c r="BJ2"/>
      <x:c r="BK2"/>
      <x:c r="BL2"/>
      <x:c r="BM2"/>
    </x:row>
    <x:row r="3">
      <x:c r="A3"/>
      <x:c r="B3"/>
      <x:c r="C3"/>
      <x:c r="D3"/>
      <x:c r="E3" t="str">
        <x:v>Все суммы в млн руб. Источники и подробные расчеты — на листе «Расчетные показатели».</x:v>
      </x:c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  <x:c r="AC3"/>
      <x:c r="AD3"/>
      <x:c r="AE3"/>
      <x:c r="AF3"/>
      <x:c r="AG3"/>
      <x:c r="AH3"/>
      <x:c r="AI3"/>
      <x:c r="AJ3"/>
      <x:c r="AK3"/>
      <x:c r="AL3"/>
      <x:c r="AM3"/>
      <x:c r="AN3"/>
      <x:c r="AO3"/>
      <x:c r="AP3"/>
      <x:c r="AQ3"/>
      <x:c r="AR3"/>
      <x:c r="AS3"/>
      <x:c r="AT3"/>
      <x:c r="AU3"/>
      <x:c r="AV3"/>
      <x:c r="AW3"/>
      <x:c r="AX3"/>
      <x:c r="AY3"/>
      <x:c r="AZ3"/>
      <x:c r="BA3"/>
      <x:c r="BB3"/>
      <x:c r="BC3"/>
      <x:c r="BD3"/>
      <x:c r="BE3"/>
      <x:c r="BF3"/>
      <x:c r="BG3"/>
      <x:c r="BH3"/>
      <x:c r="BI3"/>
      <x:c r="BJ3"/>
      <x:c r="BK3"/>
      <x:c r="BL3"/>
      <x:c r="BM3"/>
    </x:row>
    <x:row r="4">
      <x:c r="A4"/>
      <x:c r="B4"/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/>
      <x:c r="AB4"/>
      <x:c r="AC4"/>
      <x:c r="AD4"/>
      <x:c r="AE4"/>
      <x:c r="AF4"/>
      <x:c r="AG4"/>
      <x:c r="AH4"/>
      <x:c r="AI4"/>
      <x:c r="AJ4"/>
      <x:c r="AK4"/>
      <x:c r="AL4"/>
      <x:c r="AM4"/>
      <x:c r="AN4"/>
      <x:c r="AO4"/>
      <x:c r="AP4"/>
      <x:c r="AQ4"/>
      <x:c r="AR4"/>
      <x:c r="AS4"/>
      <x:c r="AT4"/>
      <x:c r="AU4"/>
      <x:c r="AV4"/>
      <x:c r="AW4"/>
      <x:c r="AX4"/>
      <x:c r="AY4"/>
      <x:c r="AZ4"/>
      <x:c r="BA4"/>
      <x:c r="BB4"/>
      <x:c r="BC4"/>
      <x:c r="BD4"/>
      <x:c r="BE4"/>
      <x:c r="BF4"/>
      <x:c r="BG4"/>
      <x:c r="BH4"/>
      <x:c r="BI4"/>
      <x:c r="BJ4"/>
      <x:c r="BK4"/>
      <x:c r="BL4"/>
      <x:c r="BM4"/>
    </x:row>
    <x:row r="5">
      <x:c r="A5"/>
      <x:c r="B5" s="20" t="s">
        <x:v>120</x:v>
      </x:c>
      <x:c r="C5" s="20"/>
      <x:c r="D5"/>
      <x:c r="E5" s="20" t="str">
        <x:v>Финансовые показатели: раскрытые и расчетные</x:v>
      </x:c>
      <x:c r="F5" s="20"/>
      <x:c r="G5" s="20"/>
      <x:c r="H5" s="20"/>
      <x:c r="I5" s="20"/>
      <x:c r="J5" s="20"/>
      <x:c r="K5" s="20"/>
      <x:c r="L5" s="20"/>
      <x:c r="M5" s="20"/>
      <x:c r="N5" s="20"/>
      <x:c r="O5" s="20"/>
      <x:c r="P5"/>
      <x:c r="Q5"/>
      <x:c r="R5" s="29" t="s">
        <x:v>121</x:v>
      </x:c>
      <x:c r="S5" s="29"/>
      <x:c r="T5" s="29"/>
      <x:c r="U5" s="29"/>
      <x:c r="V5" s="29"/>
      <x:c r="W5" s="29"/>
      <x:c r="X5" s="29"/>
      <x:c r="Y5" s="29"/>
      <x:c r="Z5" s="29"/>
      <x:c r="AA5" s="29"/>
      <x:c r="AB5" s="29"/>
      <x:c r="AC5" s="29"/>
      <x:c r="AD5" s="29"/>
      <x:c r="AE5" s="29"/>
      <x:c r="AF5" s="29"/>
      <x:c r="AG5" s="29"/>
      <x:c r="AH5" s="29"/>
      <x:c r="AI5" s="29"/>
      <x:c r="AJ5" s="29"/>
      <x:c r="AK5" s="29"/>
      <x:c r="AL5" s="29"/>
      <x:c r="AM5" s="29"/>
      <x:c r="AN5" s="29"/>
      <x:c r="AO5" s="29"/>
      <x:c r="AP5" s="29"/>
      <x:c r="AQ5" s="54"/>
      <x:c r="AR5" s="54"/>
      <x:c r="AS5"/>
      <x:c r="AT5" s="41" t="s">
        <x:v>122</x:v>
      </x:c>
      <x:c r="AU5" s="41"/>
      <x:c r="AV5" s="41"/>
      <x:c r="AW5" s="41"/>
      <x:c r="AX5" s="41"/>
      <x:c r="AY5" s="41"/>
      <x:c r="AZ5" s="41"/>
      <x:c r="BA5" s="41"/>
      <x:c r="BB5"/>
      <x:c r="BC5" s="20" t="s">
        <x:v>123</x:v>
      </x:c>
      <x:c r="BD5" s="20"/>
      <x:c r="BE5" s="20"/>
      <x:c r="BF5" s="20"/>
      <x:c r="BG5" s="20"/>
      <x:c r="BH5" s="20"/>
      <x:c r="BI5" s="20"/>
      <x:c r="BJ5" s="20"/>
      <x:c r="BK5" s="20"/>
      <x:c r="BL5" s="20"/>
      <x:c r="BM5" s="20"/>
    </x:row>
    <x:row r="6">
      <x:c r="A6"/>
      <x:c r="B6" s="20" t="s">
        <x:v>33</x:v>
      </x:c>
      <x:c r="C6" s="20" t="s">
        <x:v>34</x:v>
      </x:c>
      <x:c r="D6"/>
      <x:c r="E6" s="21" t="s">
        <x:v>54</x:v>
      </x:c>
      <x:c r="F6" s="21" t="s">
        <x:v>55</x:v>
      </x:c>
      <x:c r="G6" s="21" t="s">
        <x:v>56</x:v>
      </x:c>
      <x:c r="H6" s="21" t="s">
        <x:v>62</x:v>
      </x:c>
      <x:c r="I6" s="20" t="s">
        <x:v>63</x:v>
      </x:c>
      <x:c r="J6" s="21" t="s">
        <x:v>64</x:v>
      </x:c>
      <x:c r="K6" s="20" t="s">
        <x:v>65</x:v>
      </x:c>
      <x:c r="L6" s="20" t="s">
        <x:v>66</x:v>
      </x:c>
      <x:c r="M6" s="20" t="s">
        <x:v>67</x:v>
      </x:c>
      <x:c r="N6" s="21" t="s">
        <x:v>68</x:v>
      </x:c>
      <x:c r="O6" s="20" t="s">
        <x:v>69</x:v>
      </x:c>
      <x:c r="P6"/>
      <x:c r="Q6"/>
      <x:c r="R6" s="21" t="s">
        <x:v>54</x:v>
      </x:c>
      <x:c r="S6" s="21" t="s">
        <x:v>124</x:v>
      </x:c>
      <x:c r="T6" s="21" t="s">
        <x:v>125</x:v>
      </x:c>
      <x:c r="U6" s="21" t="s">
        <x:v>126</x:v>
      </x:c>
      <x:c r="V6" s="21" t="s">
        <x:v>127</x:v>
      </x:c>
      <x:c r="W6" s="21" t="s">
        <x:v>55</x:v>
      </x:c>
      <x:c r="X6" s="21" t="s">
        <x:v>128</x:v>
      </x:c>
      <x:c r="Y6" s="21" t="s">
        <x:v>56</x:v>
      </x:c>
      <x:c r="Z6" s="20" t="s">
        <x:v>63</x:v>
      </x:c>
      <x:c r="AA6" s="20" t="s">
        <x:v>68</x:v>
      </x:c>
      <x:c r="AB6" s="20" t="s">
        <x:v>129</x:v>
      </x:c>
      <x:c r="AC6" s="21" t="s">
        <x:v>130</x:v>
      </x:c>
      <x:c r="AD6" s="21" t="s">
        <x:v>131</x:v>
      </x:c>
      <x:c r="AE6" s="20" t="s">
        <x:v>132</x:v>
      </x:c>
      <x:c r="AF6" s="21" t="s">
        <x:v>133</x:v>
      </x:c>
      <x:c r="AG6" s="21" t="s">
        <x:v>64</x:v>
      </x:c>
      <x:c r="AH6" s="21" t="s">
        <x:v>128</x:v>
      </x:c>
      <x:c r="AI6" s="20" t="s">
        <x:v>65</x:v>
      </x:c>
      <x:c r="AJ6" s="20" t="s">
        <x:v>134</x:v>
      </x:c>
      <x:c r="AK6" s="20" t="s">
        <x:v>66</x:v>
      </x:c>
      <x:c r="AL6" s="21" t="s">
        <x:v>135</x:v>
      </x:c>
      <x:c r="AM6" s="21" t="s">
        <x:v>136</x:v>
      </x:c>
      <x:c r="AN6" s="21" t="s">
        <x:v>137</x:v>
      </x:c>
      <x:c r="AO6" s="21" t="s">
        <x:v>132</x:v>
      </x:c>
      <x:c r="AP6" s="20" t="s">
        <x:v>67</x:v>
      </x:c>
      <x:c r="AQ6" s="21" t="s">
        <x:v>138</x:v>
      </x:c>
      <x:c r="AR6" s="21" t="s">
        <x:v>139</x:v>
      </x:c>
      <x:c r="AS6"/>
      <x:c r="AT6" s="21" t="s">
        <x:v>54</x:v>
      </x:c>
      <x:c r="AU6" s="21" t="s">
        <x:v>55</x:v>
      </x:c>
      <x:c r="AV6" s="21" t="s">
        <x:v>56</x:v>
      </x:c>
      <x:c r="AW6" s="21" t="s">
        <x:v>64</x:v>
      </x:c>
      <x:c r="AX6" s="21" t="s">
        <x:v>65</x:v>
      </x:c>
      <x:c r="AY6" s="20" t="s">
        <x:v>63</x:v>
      </x:c>
      <x:c r="AZ6" s="20" t="s">
        <x:v>66</x:v>
      </x:c>
      <x:c r="BA6" s="20" t="s">
        <x:v>67</x:v>
      </x:c>
      <x:c r="BB6"/>
      <x:c r="BC6" s="21" t="s">
        <x:v>54</x:v>
      </x:c>
      <x:c r="BD6" s="21" t="s">
        <x:v>55</x:v>
      </x:c>
      <x:c r="BE6" s="21" t="s">
        <x:v>56</x:v>
      </x:c>
      <x:c r="BF6" s="21" t="s">
        <x:v>62</x:v>
      </x:c>
      <x:c r="BG6" s="21" t="s">
        <x:v>64</x:v>
      </x:c>
      <x:c r="BH6" s="20" t="s">
        <x:v>65</x:v>
      </x:c>
      <x:c r="BI6" s="20" t="s">
        <x:v>63</x:v>
      </x:c>
      <x:c r="BJ6" s="20" t="s">
        <x:v>66</x:v>
      </x:c>
      <x:c r="BK6" s="20" t="s">
        <x:v>67</x:v>
      </x:c>
      <x:c r="BL6" s="21" t="s">
        <x:v>68</x:v>
      </x:c>
      <x:c r="BM6" s="20" t="s">
        <x:v>69</x:v>
      </x:c>
      <x:c r="BN6" s="63" t="str">
        <x:v>Обязательства по аренде вне кредитов</x:v>
      </x:c>
      <x:c r="BO6" s="63" t="str">
        <x:v>Неконтролирующие доли</x:v>
      </x:c>
      <x:c r="BP6" s="63" t="str">
        <x:v>Скорр. EBITDA IAS 17</x:v>
      </x:c>
      <x:c r="BQ6" s="63" t="str">
        <x:v>Капитал группы, включая НКД</x:v>
      </x:c>
      <x:c r="BR6" s="63" t="str">
        <x:v>Метод / ограничения</x:v>
      </x:c>
      <x:c r="BS6" s="63" t="str">
        <x:v>Вознаграждения акциями</x:v>
      </x:c>
      <x:c r="BT6" s="63" t="str">
        <x:v>Прочие внеоперационные расходы</x:v>
      </x:c>
      <x:c r="BU6" s="63" t="str">
        <x:v>Минус доход от продажи Авто.ру</x:v>
      </x:c>
      <x:c r="BV6" s="63" t="str">
        <x:v>Курсовые разницы</x:v>
      </x:c>
      <x:c r="BW6" s="63" t="str">
        <x:v>Разовые операционные корректировки</x:v>
      </x:c>
      <x:c r="BX6" s="63" t="str">
        <x:v>Переоценка биологических активов</x:v>
      </x:c>
      <x:c r="BY6" s="63" t="str">
        <x:v>Результат прочих инвестиций</x:v>
      </x:c>
      <x:c r="BZ6" s="63" t="str">
        <x:v>Доля в прибыли инвестиций</x:v>
      </x:c>
      <x:c r="CA6" s="63" t="str">
        <x:v>Прибыль от продажи инвестиций</x:v>
      </x:c>
      <x:c r="CB6" s="63" t="str">
        <x:v>Резервы</x:v>
      </x:c>
      <x:c r="CC6" s="63" t="str">
        <x:v>Обесценение нефинансовых активов</x:v>
      </x:c>
      <x:c r="CD6" s="63" t="str">
        <x:v>Курсовые убытки</x:v>
      </x:c>
      <x:c r="CE6" s="63" t="str">
        <x:v>Фиксированные расходы по аренде</x:v>
      </x:c>
      <x:c r="CF6" s="63" t="str">
        <x:v>Капитализированные расходы и прочее</x:v>
      </x:c>
      <x:c r="CG6" s="63" t="str">
        <x:v>Корректировка отгрузок</x:v>
      </x:c>
      <x:c r="CH6" s="63" t="str">
        <x:v>Краткосрочная аренда</x:v>
      </x:c>
      <x:c r="CI6" s="63" t="str">
        <x:v>Долгосрочная аренда</x:v>
      </x:c>
      <x:c r="CJ6" s="63" t="str">
        <x:v>Облигации</x:v>
      </x:c>
      <x:c r="CK6" s="63" t="str">
        <x:v>Переоценка инвестиций в Яндекс</x:v>
      </x:c>
      <x:c r="CL6" s="63" t="str">
        <x:v>Минус банковские депозиты</x:v>
      </x:c>
      <x:c r="CM6" s="63" t="str">
        <x:v>Расходы на реструктуризацию</x:v>
      </x:c>
      <x:c r="CN6" s="63" t="str">
        <x:v>Операционные курсовые убытки</x:v>
      </x:c>
    </x:row>
    <x:row r="7">
      <x:c r="A7"/>
      <x:c r="B7" s="3">
        <x:v>1</x:v>
      </x:c>
      <x:c r="C7" s="3" t="s">
        <x:v>70</x:v>
      </x:c>
      <x:c r="D7"/>
      <x:c r="E7" s="64"/>
      <x:c r="F7" s="64"/>
      <x:c r="G7" s="64"/>
      <x:c r="H7" s="64" t="n">
        <x:f>'Расчетные показатели'!E197</x:f>
        <x:v>1907603</x:v>
      </x:c>
      <x:c r="I7" s="64" t="n">
        <x:f>Z7</x:f>
        <x:v>421872</x:v>
      </x:c>
      <x:c r="J7" s="64"/>
      <x:c r="K7" s="64"/>
      <x:c r="L7" s="64"/>
      <x:c r="M7" s="64"/>
      <x:c r="N7" s="64" t="n">
        <x:f>'Расчетные показатели'!E199</x:f>
        <x:v>287023</x:v>
      </x:c>
      <x:c r="O7" s="64" t="n">
        <x:f>'Расчетные показатели'!E200</x:f>
        <x:v>5380426</x:v>
      </x:c>
      <x:c r="P7" s="65"/>
      <x:c r="Q7" s="65"/>
      <x:c r="R7" s="64"/>
      <x:c r="S7" s="66"/>
      <x:c r="T7" s="66"/>
      <x:c r="U7" s="66"/>
      <x:c r="V7" s="66"/>
      <x:c r="W7" s="64"/>
      <x:c r="X7" s="64"/>
      <x:c r="Y7" s="66" t="str">
        <x:v>н.п.</x:v>
      </x:c>
      <x:c r="Z7" s="64" t="n">
        <x:f>AN7+AO7</x:f>
        <x:v>421872</x:v>
      </x:c>
      <x:c r="AA7" s="64"/>
      <x:c r="AB7" s="66"/>
      <x:c r="AC7" s="66"/>
      <x:c r="AD7" s="66"/>
      <x:c r="AE7" s="66"/>
      <x:c r="AF7" s="66"/>
      <x:c r="AG7" s="64"/>
      <x:c r="AH7" s="64"/>
      <x:c r="AI7" s="64" t="str">
        <x:v>н.п.</x:v>
      </x:c>
      <x:c r="AJ7" s="64"/>
      <x:c r="AK7" s="64" t="str">
        <x:v>н.п.</x:v>
      </x:c>
      <x:c r="AL7" s="64"/>
      <x:c r="AM7" s="64"/>
      <x:c r="AN7" s="64" t="n">
        <x:f>'Расчетные показатели'!E201</x:f>
        <x:v>244030</x:v>
      </x:c>
      <x:c r="AO7" s="64" t="n">
        <x:f>'Расчетные показатели'!E202</x:f>
        <x:v>177842</x:v>
      </x:c>
      <x:c r="AP7" s="64"/>
      <x:c r="AQ7" s="64"/>
      <x:c r="AR7" s="64"/>
      <x:c r="AS7" s="65"/>
      <x:c r="AT7" s="65" t="str">
        <x:f>IF(COUNT(E7,R7)=2,E7-R7,"не сверено")</x:f>
        <x:v>не сверено</x:v>
      </x:c>
      <x:c r="AU7" s="65" t="str">
        <x:f>IF(COUNT(F7,W7)=2,F7-W7,"не сверено")</x:f>
        <x:v>не сверено</x:v>
      </x:c>
      <x:c r="AV7" s="65" t="str">
        <x:f>IF(COUNT(G7,Y7)=2,G7-Y7,"не сверено")</x:f>
        <x:v>не сверено</x:v>
      </x:c>
      <x:c r="AW7" s="65" t="str">
        <x:f>IF(COUNT(J7,AG7)=2,J7-AG7,"не сверено")</x:f>
        <x:v>не сверено</x:v>
      </x:c>
      <x:c r="AX7" s="65" t="str">
        <x:f>IF(COUNT(K7,AI7)=2,K7-AI7,"не сверено")</x:f>
        <x:v>не сверено</x:v>
      </x:c>
      <x:c r="AY7" s="65" t="n">
        <x:f>IF(COUNT(I7,Z7)=2,I7-Z7,"не сверено")</x:f>
        <x:v>0</x:v>
      </x:c>
      <x:c r="AZ7" s="65" t="str">
        <x:f>IF(COUNT(L7,AM7)=2,L7-AM7,"не сверено")</x:f>
        <x:v>не сверено</x:v>
      </x:c>
      <x:c r="BA7" s="65" t="str">
        <x:f>IF(COUNT(M7,AP7)=2,M7-AP7,"не сверено")</x:f>
        <x:v>не сверено</x:v>
      </x:c>
      <x:c r="BB7" s="65"/>
      <x:c r="BC7" s="67"/>
      <x:c r="BD7" s="67"/>
      <x:c r="BE7" s="67"/>
      <x:c r="BF7" s="67" t="str">
        <x:v>LKOH_2026H1.pdf; PDF стр. 5, 26</x:v>
      </x:c>
      <x:c r="BG7" s="67"/>
      <x:c r="BH7" s="67"/>
      <x:c r="BI7" s="67" t="str">
        <x:v>LKOH_2026H1.pdf; PDF стр. 5; операционная прибыль + амортизация</x:v>
      </x:c>
      <x:c r="BJ7" s="67"/>
      <x:c r="BK7" s="67"/>
      <x:c r="BL7" s="67" t="str">
        <x:v>LKOH_2026H1.pdf; PDF стр. 5, 6, 7, 21</x:v>
      </x:c>
      <x:c r="BM7" s="67" t="str">
        <x:v>LKOH_2026H1.pdf; PDF стр. 6</x:v>
      </x:c>
      <x:c r="BN7" s="65"/>
      <x:c r="BO7" s="65"/>
      <x:c r="BP7" s="65"/>
      <x:c r="BQ7" s="65"/>
      <x:c r="BR7" s="67" t="str">
        <x:v>Сравнительные потоки из отчета 1П2026; остатки 30.06.2025 требуют отдельного раскрытия. ЧП включает прекращенную деятельность; выручка и EBITDA — продолжающуюся.</x:v>
      </x:c>
      <x:c r="BS7" s="65"/>
      <x:c r="BT7" s="65"/>
      <x:c r="BU7" s="65"/>
      <x:c r="BV7" s="65"/>
      <x:c r="BW7" s="65"/>
      <x:c r="BX7" s="65"/>
      <x:c r="BY7" s="65"/>
      <x:c r="BZ7" s="65"/>
      <x:c r="CA7" s="65"/>
      <x:c r="CB7" s="65"/>
      <x:c r="CC7" s="65"/>
      <x:c r="CD7" s="65"/>
      <x:c r="CE7" s="65"/>
      <x:c r="CF7" s="65"/>
      <x:c r="CG7" s="65"/>
      <x:c r="CH7" s="65"/>
      <x:c r="CI7" s="65"/>
      <x:c r="CJ7" s="65"/>
      <x:c r="CK7" s="65"/>
      <x:c r="CL7" s="65"/>
      <x:c r="CM7" s="65"/>
      <x:c r="CN7" s="65"/>
    </x:row>
    <x:row r="8">
      <x:c r="A8"/>
      <x:c r="B8" s="3">
        <x:v>2</x:v>
      </x:c>
      <x:c r="C8" s="3" t="s">
        <x:v>72</x:v>
      </x:c>
      <x:c r="D8"/>
      <x:c r="E8" s="64"/>
      <x:c r="F8" s="64"/>
      <x:c r="G8" s="64"/>
      <x:c r="H8" s="64" t="n">
        <x:f>'Расчетные показатели'!E203</x:f>
        <x:v>4989693</x:v>
      </x:c>
      <x:c r="I8" s="64" t="str">
        <x:v>н.д.</x:v>
      </x:c>
      <x:c r="J8" s="68" t="n">
        <x:f>AG8</x:f>
        <x:v>1546587</x:v>
      </x:c>
      <x:c r="K8" s="64"/>
      <x:c r="L8" s="64"/>
      <x:c r="M8" s="64"/>
      <x:c r="N8" s="64" t="n">
        <x:f>'Расчетные показатели'!E204</x:f>
        <x:v>983135</x:v>
      </x:c>
      <x:c r="O8" s="64"/>
      <x:c r="P8" s="65"/>
      <x:c r="Q8" s="65"/>
      <x:c r="R8" s="64"/>
      <x:c r="S8" s="66"/>
      <x:c r="T8" s="66"/>
      <x:c r="U8" s="66"/>
      <x:c r="V8" s="66"/>
      <x:c r="W8" s="64"/>
      <x:c r="X8" s="64"/>
      <x:c r="Y8" s="66" t="str">
        <x:v>н.п.</x:v>
      </x:c>
      <x:c r="Z8" s="68" t="n">
        <x:f>'Расчетные показатели'!K1228</x:f>
        <x:v>1534275</x:v>
      </x:c>
      <x:c r="AA8" s="64" t="n">
        <x:f>'Расчетные показатели'!E205</x:f>
        <x:v>1034473</x:v>
      </x:c>
      <x:c r="AB8" s="66" t="n">
        <x:f>'Расчетные показатели'!E206</x:f>
        <x:v>413926</x:v>
      </x:c>
      <x:c r="AC8" s="66" t="n">
        <x:f>'Расчетные показатели'!E207</x:f>
        <x:v>170999</x:v>
      </x:c>
      <x:c r="AD8" s="66" t="n">
        <x:f>'Расчетные показатели'!E208</x:f>
        <x:v>187770</x:v>
      </x:c>
      <x:c r="AE8" s="66" t="n">
        <x:f>'Расчетные показатели'!E209</x:f>
        <x:v>710276</x:v>
      </x:c>
      <x:c r="AF8" s="68" t="n">
        <x:f>'Расчетные показатели'!E1228-'Расчетные показатели'!K1228</x:f>
        <x:v>12312</x:v>
      </x:c>
      <x:c r="AG8" s="68" t="n">
        <x:f>Z8+AF8</x:f>
        <x:v>1546587</x:v>
      </x:c>
      <x:c r="AH8" s="64"/>
      <x:c r="AI8" s="64" t="str">
        <x:v>н.п.</x:v>
      </x:c>
      <x:c r="AJ8" s="64"/>
      <x:c r="AK8" s="64" t="str">
        <x:v>н.п.</x:v>
      </x:c>
      <x:c r="AL8" s="64"/>
      <x:c r="AM8" s="64"/>
      <x:c r="AN8" s="64"/>
      <x:c r="AO8" s="64"/>
      <x:c r="AP8" s="64"/>
      <x:c r="AQ8" s="64"/>
      <x:c r="AR8" s="64"/>
      <x:c r="AS8" s="65"/>
      <x:c r="AT8" s="65" t="str">
        <x:f>IF(COUNT(E8,R8)=2,E8-R8,"не сверено")</x:f>
        <x:v>не сверено</x:v>
      </x:c>
      <x:c r="AU8" s="65" t="str">
        <x:f>IF(COUNT(F8,W8)=2,F8-W8,"не сверено")</x:f>
        <x:v>не сверено</x:v>
      </x:c>
      <x:c r="AV8" s="65" t="str">
        <x:f>IF(COUNT(G8,Y8)=2,G8-Y8,"не сверено")</x:f>
        <x:v>не сверено</x:v>
      </x:c>
      <x:c r="AW8" s="65" t="n">
        <x:f>IF(COUNT(J8,AG8)=2,J8-AG8,"не сверено")</x:f>
        <x:v>0</x:v>
      </x:c>
      <x:c r="AX8" s="65" t="str">
        <x:f>IF(COUNT(K8,AI8)=2,K8-AI8,"не сверено")</x:f>
        <x:v>не сверено</x:v>
      </x:c>
      <x:c r="AY8" s="65" t="str">
        <x:f>IF(COUNT(I8,Z8)=2,I8-Z8,"не сверено")</x:f>
        <x:v>не сверено</x:v>
      </x:c>
      <x:c r="AZ8" s="65" t="str">
        <x:f>IF(COUNT(L8,AM8)=2,L8-AM8,"не сверено")</x:f>
        <x:v>не сверено</x:v>
      </x:c>
      <x:c r="BA8" s="65" t="str">
        <x:f>IF(COUNT(M8,AP8)=2,M8-AP8,"не сверено")</x:f>
        <x:v>не сверено</x:v>
      </x:c>
      <x:c r="BB8" s="65"/>
      <x:c r="BC8" s="67"/>
      <x:c r="BD8" s="67"/>
      <x:c r="BE8" s="67"/>
      <x:c r="BF8" s="67" t="str">
        <x:v>GAZP_2026H1.pdf; PDF стр. 6, 12, 13, 24</x:v>
      </x:c>
      <x:c r="BG8" s="67"/>
      <x:c r="BH8" s="67"/>
      <x:c r="BI8" s="67" t="str">
        <x:v>Расчет по формуле пользователя; GAZP_2026H1.pdf; PDF стр. 6, 8; GAZP_2026H1.pdf; PDF стр. 7, 12, 24</x:v>
      </x:c>
      <x:c r="BJ8" s="67"/>
      <x:c r="BK8" s="67"/>
      <x:c r="BL8" s="67" t="str">
        <x:v>GAZP_2026H1.pdf; PDF стр. 6, 8, 25</x:v>
      </x:c>
      <x:c r="BM8" s="67"/>
      <x:c r="BN8" s="65"/>
      <x:c r="BO8" s="65"/>
      <x:c r="BP8" s="65"/>
      <x:c r="BQ8" s="65"/>
      <x:c r="BR8" s="67" t="str">
        <x:v>Сравнительные потоки из отчета 1П2026; остатки 30.06.2025 требуют отдельного раскрытия. Book Value исключает бессрочные облигации.</x:v>
      </x:c>
      <x:c r="BS8" s="65"/>
      <x:c r="BT8" s="65"/>
      <x:c r="BU8" s="65"/>
      <x:c r="BV8" s="65"/>
      <x:c r="BW8" s="65"/>
      <x:c r="BX8" s="65"/>
      <x:c r="BY8" s="65"/>
      <x:c r="BZ8" s="65"/>
      <x:c r="CA8" s="65"/>
      <x:c r="CB8" s="65"/>
      <x:c r="CC8" s="65"/>
      <x:c r="CD8" s="65"/>
      <x:c r="CE8" s="65"/>
      <x:c r="CF8" s="65"/>
      <x:c r="CG8" s="65"/>
      <x:c r="CH8" s="65"/>
      <x:c r="CI8" s="65"/>
      <x:c r="CJ8" s="65"/>
      <x:c r="CK8" s="65"/>
      <x:c r="CL8" s="65"/>
      <x:c r="CM8" s="65"/>
      <x:c r="CN8" s="65"/>
    </x:row>
    <x:row r="9">
      <x:c r="A9"/>
      <x:c r="B9" s="3">
        <x:v>3</x:v>
      </x:c>
      <x:c r="C9" s="3" t="s">
        <x:v>73</x:v>
      </x:c>
      <x:c r="D9"/>
      <x:c r="E9" s="64"/>
      <x:c r="F9" s="64"/>
      <x:c r="G9" s="64"/>
      <x:c r="H9" s="64" t="n">
        <x:f>'Расчетные показатели'!E210</x:f>
        <x:v>639026</x:v>
      </x:c>
      <x:c r="I9" s="64"/>
      <x:c r="J9" s="64" t="n">
        <x:f>'Расчетные показатели'!E597</x:f>
        <x:v>114942</x:v>
      </x:c>
      <x:c r="K9" s="64"/>
      <x:c r="L9" s="64" t="str">
        <x:f>AK9</x:f>
        <x:v>н.д.</x:v>
      </x:c>
      <x:c r="M9" s="64"/>
      <x:c r="N9" s="64" t="n">
        <x:f>'Расчетные показатели'!E212</x:f>
        <x:v>5419</x:v>
      </x:c>
      <x:c r="O9" s="64" t="n">
        <x:f>'Расчетные показатели'!E213</x:f>
        <x:v>291637</x:v>
      </x:c>
      <x:c r="P9" s="65"/>
      <x:c r="Q9" s="65"/>
      <x:c r="R9" s="64"/>
      <x:c r="S9" s="66"/>
      <x:c r="T9" s="66"/>
      <x:c r="U9" s="66"/>
      <x:c r="V9" s="66"/>
      <x:c r="W9" s="64"/>
      <x:c r="X9" s="64"/>
      <x:c r="Y9" s="66" t="str">
        <x:v>н.п.</x:v>
      </x:c>
      <x:c r="Z9" s="64"/>
      <x:c r="AA9" s="64"/>
      <x:c r="AB9" s="66"/>
      <x:c r="AC9" s="66"/>
      <x:c r="AD9" s="66"/>
      <x:c r="AE9" s="66"/>
      <x:c r="AF9" s="66" t="n">
        <x:f>SUM('Расчетные показатели'!E590:E596)</x:f>
        <x:v>29777</x:v>
      </x:c>
      <x:c r="AG9" s="64" t="n">
        <x:f>'Расчетные показатели'!E597</x:f>
        <x:v>114942</x:v>
      </x:c>
      <x:c r="AH9" s="64"/>
      <x:c r="AI9" s="64" t="str">
        <x:v>н.п.</x:v>
      </x:c>
      <x:c r="AJ9" s="64"/>
      <x:c r="AK9" s="64" t="str">
        <x:v>н.д.</x:v>
      </x:c>
      <x:c r="AL9" s="64"/>
      <x:c r="AM9" s="64"/>
      <x:c r="AN9" s="64"/>
      <x:c r="AO9" s="64"/>
      <x:c r="AP9" s="64"/>
      <x:c r="AQ9" s="64"/>
      <x:c r="AR9" s="64"/>
      <x:c r="AS9" s="65"/>
      <x:c r="AT9" s="65" t="str">
        <x:f>IF(COUNT(E9,R9)=2,E9-R9,"не сверено")</x:f>
        <x:v>не сверено</x:v>
      </x:c>
      <x:c r="AU9" s="65" t="str">
        <x:f>IF(COUNT(F9,W9)=2,F9-W9,"не сверено")</x:f>
        <x:v>не сверено</x:v>
      </x:c>
      <x:c r="AV9" s="65" t="str">
        <x:f>IF(COUNT(G9,Y9)=2,G9-Y9,"не сверено")</x:f>
        <x:v>не сверено</x:v>
      </x:c>
      <x:c r="AW9" s="65" t="n">
        <x:f>IF(COUNT(J9,AG9)=2,J9-AG9,"не сверено")</x:f>
        <x:v>0</x:v>
      </x:c>
      <x:c r="AX9" s="65" t="str">
        <x:f>IF(COUNT(K9,AI9)=2,K9-AI9,"не сверено")</x:f>
        <x:v>не сверено</x:v>
      </x:c>
      <x:c r="AY9" s="65" t="str">
        <x:f>IF(COUNT(I9,Z9)=2,I9-Z9,"не сверено")</x:f>
        <x:v>не сверено</x:v>
      </x:c>
      <x:c r="AZ9" s="65" t="str">
        <x:f>IF(COUNT(L9,AM9)=2,L9-AM9,"не сверено")</x:f>
        <x:v>не сверено</x:v>
      </x:c>
      <x:c r="BA9" s="65" t="str">
        <x:f>IF(COUNT(M9,AP9)=2,M9-AP9,"не сверено")</x:f>
        <x:v>не сверено</x:v>
      </x:c>
      <x:c r="BB9" s="65"/>
      <x:c r="BC9" s="67"/>
      <x:c r="BD9" s="67"/>
      <x:c r="BE9" s="67"/>
      <x:c r="BF9" s="67" t="str">
        <x:v>YDEX_2026H1.pdf; PDF стр. 5, 12, 18</x:v>
      </x:c>
      <x:c r="BG9" s="67" t="str">
        <x:v>YDEX_2026H1.pdf; PDF стр. 12; расчет: строки 586–597</x:v>
      </x:c>
      <x:c r="BH9" s="67"/>
      <x:c r="BI9" s="67"/>
      <x:c r="BJ9" s="67" t="str">
        <x:v>Нужны раскрытые капитализированные затраты для аналитического EBITDAC. Нули не подставлены.</x:v>
      </x:c>
      <x:c r="BK9" s="67"/>
      <x:c r="BL9" s="67" t="str">
        <x:v>YDEX_2026H1.pdf; PDF стр. 5, 6, 7, 8, 10</x:v>
      </x:c>
      <x:c r="BM9" s="67" t="str">
        <x:v>YDEX_2026H1.pdf; PDF стр. 8</x:v>
      </x:c>
      <x:c r="BN9" s="65"/>
      <x:c r="BO9" s="65"/>
      <x:c r="BP9" s="65"/>
      <x:c r="BQ9" s="65"/>
      <x:c r="BR9" s="67" t="str">
        <x:v>Сравнительные потоки из отчета 1П2026; остатки 30.06.2025 требуют отдельного раскрытия.</x:v>
      </x:c>
      <x:c r="BS9" s="65" t="n">
        <x:f>'Расчетные показатели'!E590</x:f>
        <x:v>26795</x:v>
      </x:c>
      <x:c r="BT9" s="65" t="n">
        <x:f>'Расчетные показатели'!E593</x:f>
        <x:v>12946</x:v>
      </x:c>
      <x:c r="BU9" s="65" t="n">
        <x:f>'Расчетные показатели'!E594</x:f>
        <x:v>0</x:v>
      </x:c>
      <x:c r="BV9" s="65"/>
      <x:c r="BW9" s="65"/>
      <x:c r="BX9" s="65"/>
      <x:c r="BY9" s="65"/>
      <x:c r="BZ9" s="65"/>
      <x:c r="CA9" s="65"/>
      <x:c r="CB9" s="65"/>
      <x:c r="CC9" s="65"/>
      <x:c r="CD9" s="65"/>
      <x:c r="CE9" s="65"/>
      <x:c r="CF9" s="65"/>
      <x:c r="CG9" s="65"/>
      <x:c r="CH9" s="65"/>
      <x:c r="CI9" s="65"/>
      <x:c r="CJ9" s="65"/>
      <x:c r="CK9" s="65"/>
      <x:c r="CL9" s="65"/>
      <x:c r="CM9" s="65"/>
      <x:c r="CN9" s="65"/>
    </x:row>
    <x:row r="10">
      <x:c r="A10"/>
      <x:c r="B10" s="3">
        <x:v>4</x:v>
      </x:c>
      <x:c r="C10" s="3" t="s">
        <x:v>75</x:v>
      </x:c>
      <x:c r="D10"/>
      <x:c r="E10" s="66" t="str">
        <x:v>н.п.</x:v>
      </x:c>
      <x:c r="F10" s="64"/>
      <x:c r="G10" s="64"/>
      <x:c r="H10" s="64" t="n">
        <x:f>'Расчетные показатели'!E214</x:f>
        <x:v>719200</x:v>
      </x:c>
      <x:c r="I10" s="64" t="n">
        <x:f>'Расчетные показатели'!E1119</x:f>
        <x:v>131600</x:v>
      </x:c>
      <x:c r="J10" s="64" t="n">
        <x:f>'Расчетные показатели'!E1131</x:f>
        <x:v>136200</x:v>
      </x:c>
      <x:c r="K10" s="64"/>
      <x:c r="L10" s="64"/>
      <x:c r="M10" s="64"/>
      <x:c r="N10" s="64" t="n">
        <x:f>'Расчетные показатели'!E217</x:f>
        <x:v>75700</x:v>
      </x:c>
      <x:c r="O10" s="64" t="n">
        <x:f>'Расчетные показатели'!E218</x:f>
        <x:v>612500</x:v>
      </x:c>
      <x:c r="P10" s="65"/>
      <x:c r="Q10" s="65"/>
      <x:c r="R10" s="66" t="str">
        <x:v>н.п.</x:v>
      </x:c>
      <x:c r="S10" s="66"/>
      <x:c r="T10" s="66"/>
      <x:c r="U10" s="66"/>
      <x:c r="V10" s="66"/>
      <x:c r="W10" s="64"/>
      <x:c r="X10" s="64"/>
      <x:c r="Y10" s="66" t="str">
        <x:v>н.п.</x:v>
      </x:c>
      <x:c r="Z10" s="64" t="n">
        <x:f>'Расчетные показатели'!E1119</x:f>
        <x:v>131600</x:v>
      </x:c>
      <x:c r="AA10" s="64"/>
      <x:c r="AB10" s="66"/>
      <x:c r="AC10" s="66"/>
      <x:c r="AD10" s="66"/>
      <x:c r="AE10" s="66"/>
      <x:c r="AF10" s="66" t="n">
        <x:f>SUM('Расчетные показатели'!E1129:E1130)</x:f>
        <x:v>4600</x:v>
      </x:c>
      <x:c r="AG10" s="64" t="n">
        <x:f>'Расчетные показатели'!E1131</x:f>
        <x:v>136200</x:v>
      </x:c>
      <x:c r="AH10" s="64"/>
      <x:c r="AI10" s="64" t="str">
        <x:v>н.п.</x:v>
      </x:c>
      <x:c r="AJ10" s="64"/>
      <x:c r="AK10" s="64" t="str">
        <x:v>н.п.</x:v>
      </x:c>
      <x:c r="AL10" s="64"/>
      <x:c r="AM10" s="64"/>
      <x:c r="AN10" s="64"/>
      <x:c r="AO10" s="64"/>
      <x:c r="AP10" s="64"/>
      <x:c r="AQ10" s="64"/>
      <x:c r="AR10" s="64"/>
      <x:c r="AS10" s="65"/>
      <x:c r="AT10" s="65" t="str">
        <x:f>IF(COUNT(E10,R10)=2,E10-R10,"не сверено")</x:f>
        <x:v>не сверено</x:v>
      </x:c>
      <x:c r="AU10" s="65" t="str">
        <x:f>IF(COUNT(F10,W10)=2,F10-W10,"не сверено")</x:f>
        <x:v>не сверено</x:v>
      </x:c>
      <x:c r="AV10" s="65" t="str">
        <x:f>IF(COUNT(G10,Y10)=2,G10-Y10,"не сверено")</x:f>
        <x:v>не сверено</x:v>
      </x:c>
      <x:c r="AW10" s="65" t="n">
        <x:f>IF(COUNT(J10,AG10)=2,J10-AG10,"не сверено")</x:f>
        <x:v>0</x:v>
      </x:c>
      <x:c r="AX10" s="65" t="str">
        <x:f>IF(COUNT(K10,AI10)=2,K10-AI10,"не сверено")</x:f>
        <x:v>не сверено</x:v>
      </x:c>
      <x:c r="AY10" s="65" t="n">
        <x:f>IF(COUNT(I10,Z10)=2,I10-Z10,"не сверено")</x:f>
        <x:v>0</x:v>
      </x:c>
      <x:c r="AZ10" s="65" t="str">
        <x:f>IF(COUNT(L10,AM10)=2,L10-AM10,"не сверено")</x:f>
        <x:v>не сверено</x:v>
      </x:c>
      <x:c r="BA10" s="65" t="str">
        <x:f>IF(COUNT(M10,AP10)=2,M10-AP10,"не сверено")</x:f>
        <x:v>не сверено</x:v>
      </x:c>
      <x:c r="BB10" s="65"/>
      <x:c r="BC10" s="67"/>
      <x:c r="BD10" s="67"/>
      <x:c r="BE10" s="67"/>
      <x:c r="BF10" s="67" t="str">
        <x:v>T_2026H1.pdf; PDF стр. 4</x:v>
      </x:c>
      <x:c r="BG10" s="67" t="str">
        <x:v>T_2026H1.pdf; PDF стр. 28; расчет: строки 1128–1131</x:v>
      </x:c>
      <x:c r="BH10" s="67"/>
      <x:c r="BI10" s="67" t="str">
        <x:v>T_2026H1.pdf; PDF стр. 28; расчет: строки 1114–1119</x:v>
      </x:c>
      <x:c r="BJ10" s="67"/>
      <x:c r="BK10" s="67"/>
      <x:c r="BL10" s="67" t="str">
        <x:v>T_2026H1.pdf; PDF стр. 5</x:v>
      </x:c>
      <x:c r="BM10" s="67" t="str">
        <x:v>T_2026H1.pdf; PDF стр. 7</x:v>
      </x:c>
      <x:c r="BN10" s="65"/>
      <x:c r="BO10" s="65"/>
      <x:c r="BP10" s="65"/>
      <x:c r="BQ10" s="65"/>
      <x:c r="BR10" s="67" t="str">
        <x:v>Сравнительные потоки из отчета 1П2026; остатки 30.06.2025 требуют отдельного раскрытия.</x:v>
      </x:c>
      <x:c r="BS10" s="65" t="n">
        <x:f>'Расчетные показатели'!E1129</x:f>
        <x:v>10300</x:v>
      </x:c>
      <x:c r="BT10" s="65"/>
      <x:c r="BU10" s="65"/>
      <x:c r="BV10" s="65"/>
      <x:c r="BW10" s="65"/>
      <x:c r="BX10" s="65"/>
      <x:c r="BY10" s="65"/>
      <x:c r="BZ10" s="65"/>
      <x:c r="CA10" s="65"/>
      <x:c r="CB10" s="65"/>
      <x:c r="CC10" s="65"/>
      <x:c r="CD10" s="65"/>
      <x:c r="CE10" s="65"/>
      <x:c r="CF10" s="65"/>
      <x:c r="CG10" s="65"/>
      <x:c r="CH10" s="65"/>
      <x:c r="CI10" s="65"/>
      <x:c r="CJ10" s="65"/>
      <x:c r="CK10" s="65" t="n">
        <x:f>'Расчетные показатели'!E1130</x:f>
        <x:v>-5700</x:v>
      </x:c>
      <x:c r="CL10" s="65"/>
      <x:c r="CM10" s="65"/>
      <x:c r="CN10" s="65"/>
    </x:row>
    <x:row r="11">
      <x:c r="A11"/>
      <x:c r="B11" s="3">
        <x:v>5</x:v>
      </x:c>
      <x:c r="C11" s="3" t="s">
        <x:v>77</x:v>
      </x:c>
      <x:c r="D11"/>
      <x:c r="E11" s="64"/>
      <x:c r="F11" s="64"/>
      <x:c r="G11" s="64"/>
      <x:c r="H11" s="64" t="n">
        <x:f>'Расчетные показатели'!E219</x:f>
        <x:v>878148</x:v>
      </x:c>
      <x:c r="I11" s="64"/>
      <x:c r="J11" s="64"/>
      <x:c r="K11" s="64"/>
      <x:c r="L11" s="64"/>
      <x:c r="M11" s="64"/>
      <x:c r="N11" s="64" t="n">
        <x:f>'Расчетные показатели'!E220</x:f>
        <x:v>58015</x:v>
      </x:c>
      <x:c r="O11" s="64" t="n">
        <x:f>'Расчетные показатели'!E221</x:f>
        <x:v>1271149</x:v>
      </x:c>
      <x:c r="P11" s="65"/>
      <x:c r="Q11" s="65"/>
      <x:c r="R11" s="64"/>
      <x:c r="S11" s="66"/>
      <x:c r="T11" s="66"/>
      <x:c r="U11" s="66"/>
      <x:c r="V11" s="66"/>
      <x:c r="W11" s="64"/>
      <x:c r="X11" s="64"/>
      <x:c r="Y11" s="66" t="str">
        <x:v>н.п.</x:v>
      </x:c>
      <x:c r="Z11" s="64"/>
      <x:c r="AA11" s="64"/>
      <x:c r="AB11" s="66"/>
      <x:c r="AC11" s="66"/>
      <x:c r="AD11" s="66"/>
      <x:c r="AE11" s="66"/>
      <x:c r="AF11" s="66"/>
      <x:c r="AG11" s="64"/>
      <x:c r="AH11" s="64"/>
      <x:c r="AI11" s="64" t="str">
        <x:v>н.п.</x:v>
      </x:c>
      <x:c r="AJ11" s="64"/>
      <x:c r="AK11" s="64" t="str">
        <x:v>н.п.</x:v>
      </x:c>
      <x:c r="AL11" s="64"/>
      <x:c r="AM11" s="64"/>
      <x:c r="AN11" s="64"/>
      <x:c r="AO11" s="64"/>
      <x:c r="AP11" s="64"/>
      <x:c r="AQ11" s="64"/>
      <x:c r="AR11" s="64"/>
      <x:c r="AS11" s="65"/>
      <x:c r="AT11" s="65" t="str">
        <x:f>IF(COUNT(E11,R11)=2,E11-R11,"не сверено")</x:f>
        <x:v>не сверено</x:v>
      </x:c>
      <x:c r="AU11" s="65" t="str">
        <x:f>IF(COUNT(F11,W11)=2,F11-W11,"не сверено")</x:f>
        <x:v>не сверено</x:v>
      </x:c>
      <x:c r="AV11" s="65" t="str">
        <x:f>IF(COUNT(G11,Y11)=2,G11-Y11,"не сверено")</x:f>
        <x:v>не сверено</x:v>
      </x:c>
      <x:c r="AW11" s="65" t="str">
        <x:f>IF(COUNT(J11,AG11)=2,J11-AG11,"не сверено")</x:f>
        <x:v>не сверено</x:v>
      </x:c>
      <x:c r="AX11" s="65" t="str">
        <x:f>IF(COUNT(K11,AI11)=2,K11-AI11,"не сверено")</x:f>
        <x:v>не сверено</x:v>
      </x:c>
      <x:c r="AY11" s="65" t="str">
        <x:f>IF(COUNT(I11,Z11)=2,I11-Z11,"не сверено")</x:f>
        <x:v>не сверено</x:v>
      </x:c>
      <x:c r="AZ11" s="65" t="str">
        <x:f>IF(COUNT(L11,AM11)=2,L11-AM11,"не сверено")</x:f>
        <x:v>не сверено</x:v>
      </x:c>
      <x:c r="BA11" s="65" t="str">
        <x:f>IF(COUNT(M11,AP11)=2,M11-AP11,"не сверено")</x:f>
        <x:v>не сверено</x:v>
      </x:c>
      <x:c r="BB11" s="65"/>
      <x:c r="BC11" s="67"/>
      <x:c r="BD11" s="67"/>
      <x:c r="BE11" s="67"/>
      <x:c r="BF11" s="67" t="str">
        <x:v>TATN_2026H1.pdf, PDF стр. 6-7 и 12</x:v>
      </x:c>
      <x:c r="BG11" s="67" t="str">
        <x:v>EBITDA исходного периметра 1П2025 не подтверждена первичным документом/страницей; пересмотренный сравнительный период из 1П2026 не используется для TTM</x:v>
      </x:c>
      <x:c r="BH11" s="67"/>
      <x:c r="BI11" s="67"/>
      <x:c r="BJ11" s="67"/>
      <x:c r="BK11" s="67"/>
      <x:c r="BL11" s="67" t="str">
        <x:v>TATN_2026H1.pdf; PDF стр. 6, 7</x:v>
      </x:c>
      <x:c r="BM11" s="67" t="str">
        <x:v>TATN_2026H1.pdf; PDF стр. 7</x:v>
      </x:c>
      <x:c r="BN11" s="65"/>
      <x:c r="BO11" s="65"/>
      <x:c r="BP11" s="65"/>
      <x:c r="BQ11" s="65"/>
      <x:c r="BR11" s="67" t="str">
        <x:v>Выручка TTM в историческом периметре: год 2025 + 1П2026 − 1П2025 до пересмотра (878148). В TTM остается выручка выбывших обществ за 2П2025. Не является pro forma продолжающегося бизнеса.</x:v>
      </x:c>
      <x:c r="BS11" s="65"/>
      <x:c r="BT11" s="65"/>
      <x:c r="BU11" s="65"/>
      <x:c r="BV11" s="65"/>
      <x:c r="BW11" s="65"/>
      <x:c r="BX11" s="65"/>
      <x:c r="BY11" s="65"/>
      <x:c r="BZ11" s="65"/>
      <x:c r="CA11" s="65"/>
      <x:c r="CB11" s="65"/>
      <x:c r="CC11" s="65"/>
      <x:c r="CD11" s="65"/>
      <x:c r="CE11" s="65"/>
      <x:c r="CF11" s="65"/>
      <x:c r="CG11" s="65"/>
      <x:c r="CH11" s="65"/>
      <x:c r="CI11" s="65"/>
      <x:c r="CJ11" s="65"/>
      <x:c r="CK11" s="65"/>
      <x:c r="CL11" s="65"/>
      <x:c r="CM11" s="65"/>
      <x:c r="CN11" s="65"/>
    </x:row>
    <x:row r="12">
      <x:c r="A12"/>
      <x:c r="B12" s="3">
        <x:v>6</x:v>
      </x:c>
      <x:c r="C12" s="3" t="s">
        <x:v>78</x:v>
      </x:c>
      <x:c r="D12"/>
      <x:c r="E12" s="80" t="n">
        <x:f>'Расчетные показатели'!E1289</x:f>
        <x:v>108379</x:v>
      </x:c>
      <x:c r="F12" s="64"/>
      <x:c r="G12" s="64"/>
      <x:c r="H12" s="64" t="n">
        <x:f>'Расчетные показатели'!E222</x:f>
        <x:v>804320</x:v>
      </x:c>
      <x:c r="I12" s="82" t="str">
        <x:v>н.д.</x:v>
      </x:c>
      <x:c r="J12" s="80" t="n">
        <x:f>'Расчетные показатели'!E223</x:f>
        <x:v>471806</x:v>
      </x:c>
      <x:c r="K12" s="64"/>
      <x:c r="L12" s="64"/>
      <x:c r="M12" s="64"/>
      <x:c r="N12" s="64" t="n">
        <x:f>'Расчетные показатели'!E224</x:f>
        <x:v>225697</x:v>
      </x:c>
      <x:c r="O12" s="64" t="n">
        <x:f>'Расчетные показатели'!E225</x:f>
        <x:v>2961691</x:v>
      </x:c>
      <x:c r="P12" s="65"/>
      <x:c r="Q12" s="65"/>
      <x:c r="R12" s="82" t="str">
        <x:v>н.д.</x:v>
      </x:c>
      <x:c r="S12" s="66"/>
      <x:c r="T12" s="66"/>
      <x:c r="U12" s="66"/>
      <x:c r="V12" s="66"/>
      <x:c r="W12" s="64"/>
      <x:c r="X12" s="64"/>
      <x:c r="Y12" s="66" t="str">
        <x:v>н.п.</x:v>
      </x:c>
      <x:c r="Z12" s="82" t="str">
        <x:v>н.д.</x:v>
      </x:c>
      <x:c r="AA12" s="64"/>
      <x:c r="AB12" s="66"/>
      <x:c r="AC12" s="66"/>
      <x:c r="AD12" s="66"/>
      <x:c r="AE12" s="66"/>
      <x:c r="AF12" s="66"/>
      <x:c r="AG12" s="80" t="n">
        <x:f>'Расчетные показатели'!E223</x:f>
        <x:v>471806</x:v>
      </x:c>
      <x:c r="AH12" s="64"/>
      <x:c r="AI12" s="64" t="str">
        <x:v>н.п.</x:v>
      </x:c>
      <x:c r="AJ12" s="64"/>
      <x:c r="AK12" s="64" t="str">
        <x:v>н.п.</x:v>
      </x:c>
      <x:c r="AL12" s="64"/>
      <x:c r="AM12" s="64"/>
      <x:c r="AN12" s="64"/>
      <x:c r="AO12" s="64"/>
      <x:c r="AP12" s="64"/>
      <x:c r="AQ12" s="64"/>
      <x:c r="AR12" s="64"/>
      <x:c r="AS12" s="65"/>
      <x:c r="AT12" s="65" t="str">
        <x:f>IF(COUNT(E12,R12)=2,E12-R12,"не сверено")</x:f>
        <x:v>не сверено</x:v>
      </x:c>
      <x:c r="AU12" s="65" t="str">
        <x:f>IF(COUNT(F12,W12)=2,F12-W12,"не сверено")</x:f>
        <x:v>не сверено</x:v>
      </x:c>
      <x:c r="AV12" s="65" t="str">
        <x:f>IF(COUNT(G12,Y12)=2,G12-Y12,"не сверено")</x:f>
        <x:v>не сверено</x:v>
      </x:c>
      <x:c r="AW12" s="65" t="n">
        <x:f>IF(COUNT(J12,AG12)=2,J12-AG12,"не сверено")</x:f>
        <x:v>0</x:v>
      </x:c>
      <x:c r="AX12" s="65" t="str">
        <x:f>IF(COUNT(K12,AI12)=2,K12-AI12,"не сверено")</x:f>
        <x:v>не сверено</x:v>
      </x:c>
      <x:c r="AY12" s="65" t="str">
        <x:f>IF(COUNT(I12,Z12)=2,I12-Z12,"не сверено")</x:f>
        <x:v>не сверено</x:v>
      </x:c>
      <x:c r="AZ12" s="65" t="str">
        <x:f>IF(COUNT(L12,AM12)=2,L12-AM12,"не сверено")</x:f>
        <x:v>не сверено</x:v>
      </x:c>
      <x:c r="BA12" s="65" t="str">
        <x:f>IF(COUNT(M12,AP12)=2,M12-AP12,"не сверено")</x:f>
        <x:v>не сверено</x:v>
      </x:c>
      <x:c r="BB12" s="65"/>
      <x:c r="BC12" s="67"/>
      <x:c r="BD12" s="67"/>
      <x:c r="BE12" s="67"/>
      <x:c r="BF12" s="67" t="str">
        <x:v>NVTK_2026H1.pdf, PDF стр. 6 и 9; NVTK_IR.html, официальный IR-релиз от 24.07.2026</x:v>
      </x:c>
      <x:c r="BG12" s="67" t="str">
        <x:v>Опубликованы ЧД 108 379 и нормализованная EBITDA 471 806 млн руб.; компонентный мост ЧД на 30.06.2025 в текущем комплекте первичных источников отсутствует; обычная EBITDA отдельно не раскрыта</x:v>
      </x:c>
      <x:c r="BH12" s="67"/>
      <x:c r="BI12" s="67"/>
      <x:c r="BJ12" s="67"/>
      <x:c r="BK12" s="67"/>
      <x:c r="BL12" s="67" t="str">
        <x:v>NVTK_2026H1.pdf; PDF стр. 6, 9</x:v>
      </x:c>
      <x:c r="BM12" s="67" t="str">
        <x:v>NVTK_2026H1.pdf; PDF стр. 9</x:v>
      </x:c>
      <x:c r="BN12" s="65"/>
      <x:c r="BO12" s="65"/>
      <x:c r="BP12" s="65"/>
      <x:c r="BQ12" s="65"/>
      <x:c r="BR12" s="67" t="str">
        <x:v>Сравнительные потоки из отчета 1П2026; остатки 30.06.2025 требуют отдельного раскрытия.</x:v>
      </x:c>
      <x:c r="BS12" s="65"/>
      <x:c r="BT12" s="65"/>
      <x:c r="BU12" s="65"/>
      <x:c r="BV12" s="65"/>
      <x:c r="BW12" s="65"/>
      <x:c r="BX12" s="65"/>
      <x:c r="BY12" s="65"/>
      <x:c r="BZ12" s="65"/>
      <x:c r="CA12" s="65"/>
      <x:c r="CB12" s="65"/>
      <x:c r="CC12" s="65"/>
      <x:c r="CD12" s="65"/>
      <x:c r="CE12" s="65"/>
      <x:c r="CF12" s="65"/>
      <x:c r="CG12" s="65"/>
      <x:c r="CH12" s="65"/>
      <x:c r="CI12" s="65"/>
      <x:c r="CJ12" s="65"/>
      <x:c r="CK12" s="65"/>
      <x:c r="CL12" s="65"/>
      <x:c r="CM12" s="65"/>
      <x:c r="CN12" s="65"/>
    </x:row>
    <x:row r="13">
      <x:c r="A13"/>
      <x:c r="B13" s="3">
        <x:v>7</x:v>
      </x:c>
      <x:c r="C13" s="3" t="s">
        <x:v>79</x:v>
      </x:c>
      <x:c r="D13"/>
      <x:c r="E13" s="80" t="n">
        <x:f>'Расчетные показатели'!E1307</x:f>
        <x:v>819995.825</x:v>
      </x:c>
      <x:c r="F13" s="64"/>
      <x:c r="G13" s="64"/>
      <x:c r="H13" s="64" t="n">
        <x:f>'Расчетные показатели'!E226</x:f>
        <x:v>561115</x:v>
      </x:c>
      <x:c r="I13" s="82" t="str">
        <x:v>н.д.</x:v>
      </x:c>
      <x:c r="J13" s="64" t="n">
        <x:f>'Расчетные показатели'!E850</x:f>
        <x:v>230619</x:v>
      </x:c>
      <x:c r="K13" s="64"/>
      <x:c r="L13" s="64"/>
      <x:c r="M13" s="64"/>
      <x:c r="N13" s="64" t="n">
        <x:f>'Расчетные показатели'!E228</x:f>
        <x:v>61495</x:v>
      </x:c>
      <x:c r="O13" s="64" t="n">
        <x:f>'Расчетные показатели'!E229</x:f>
        <x:v>782952</x:v>
      </x:c>
      <x:c r="P13" s="65"/>
      <x:c r="Q13" s="65"/>
      <x:c r="R13" s="78" t="n">
        <x:f>S13+T13-U13</x:f>
        <x:v>819995.825</x:v>
      </x:c>
      <x:c r="S13" s="81" t="n">
        <x:f>'Расчетные показатели'!E1303</x:f>
        <x:v>298729.5795</x:v>
      </x:c>
      <x:c r="T13" s="81" t="n">
        <x:f>SUM('Расчетные показатели'!E1304:E1305)</x:f>
        <x:v>747412.4625</x:v>
      </x:c>
      <x:c r="U13" s="81" t="n">
        <x:f>'Расчетные показатели'!E1306</x:f>
        <x:v>226146.217</x:v>
      </x:c>
      <x:c r="V13" s="66"/>
      <x:c r="W13" s="64"/>
      <x:c r="X13" s="64"/>
      <x:c r="Y13" s="66" t="str">
        <x:v>н.п.</x:v>
      </x:c>
      <x:c r="Z13" s="82" t="str">
        <x:v>н.д.</x:v>
      </x:c>
      <x:c r="AA13" s="64"/>
      <x:c r="AB13" s="66"/>
      <x:c r="AC13" s="66"/>
      <x:c r="AD13" s="66"/>
      <x:c r="AE13" s="66"/>
      <x:c r="AF13" s="66" t="n">
        <x:f>SUM('Расчетные показатели'!E846:E849)</x:f>
        <x:v>18427</x:v>
      </x:c>
      <x:c r="AG13" s="64" t="n">
        <x:f>'Расчетные показатели'!E850</x:f>
        <x:v>230619</x:v>
      </x:c>
      <x:c r="AH13" s="64"/>
      <x:c r="AI13" s="64" t="str">
        <x:v>н.п.</x:v>
      </x:c>
      <x:c r="AJ13" s="64"/>
      <x:c r="AK13" s="64" t="str">
        <x:v>н.п.</x:v>
      </x:c>
      <x:c r="AL13" s="64"/>
      <x:c r="AM13" s="64"/>
      <x:c r="AN13" s="64"/>
      <x:c r="AO13" s="64"/>
      <x:c r="AP13" s="64"/>
      <x:c r="AQ13" s="64"/>
      <x:c r="AR13" s="64"/>
      <x:c r="AS13" s="65"/>
      <x:c r="AT13" s="65" t="n">
        <x:f>IF(COUNT(E13,R13)=2,E13-R13,"не сверено")</x:f>
        <x:v>0</x:v>
      </x:c>
      <x:c r="AU13" s="65" t="str">
        <x:f>IF(COUNT(F13,W13)=2,F13-W13,"не сверено")</x:f>
        <x:v>не сверено</x:v>
      </x:c>
      <x:c r="AV13" s="65" t="str">
        <x:f>IF(COUNT(G13,Y13)=2,G13-Y13,"не сверено")</x:f>
        <x:v>не сверено</x:v>
      </x:c>
      <x:c r="AW13" s="65" t="n">
        <x:f>IF(COUNT(J13,AG13)=2,J13-AG13,"не сверено")</x:f>
        <x:v>0</x:v>
      </x:c>
      <x:c r="AX13" s="65" t="str">
        <x:f>IF(COUNT(K13,AI13)=2,K13-AI13,"не сверено")</x:f>
        <x:v>не сверено</x:v>
      </x:c>
      <x:c r="AY13" s="65" t="str">
        <x:f>IF(COUNT(I13,Z13)=2,I13-Z13,"не сверено")</x:f>
        <x:v>не сверено</x:v>
      </x:c>
      <x:c r="AZ13" s="65" t="str">
        <x:f>IF(COUNT(L13,AM13)=2,L13-AM13,"не сверено")</x:f>
        <x:v>не сверено</x:v>
      </x:c>
      <x:c r="BA13" s="65" t="str">
        <x:f>IF(COUNT(M13,AP13)=2,M13-AP13,"не сверено")</x:f>
        <x:v>не сверено</x:v>
      </x:c>
      <x:c r="BB13" s="65"/>
      <x:c r="BC13" s="67"/>
      <x:c r="BD13" s="67"/>
      <x:c r="BE13" s="67"/>
      <x:c r="BF13" s="67" t="str">
        <x:v>Официальный IR-релиз Норникеля 1П2025 от 04.08.2025, nornickel.ru, PDF стр. 2 и 18; Банк России, официальный курс USD/RUB 78,4685 на 28.06.2025; GMKN_2026H1.pdf, PDF стр. 5-6, 17</x:v>
      </x:c>
      <x:c r="BG13" s="67" t="str">
        <x:v>ЧД 10 450 млн долл. пересчитан в 819 995,825 млн руб.; мост включает аренду и совпадает точно. Обычная EBITDA отдельно не раскрыта; консолидированная EBITDA классифицирована как скорректированная по составу.</x:v>
      </x:c>
      <x:c r="BH13" s="67"/>
      <x:c r="BI13" s="67"/>
      <x:c r="BJ13" s="67"/>
      <x:c r="BK13" s="67"/>
      <x:c r="BL13" s="67" t="str">
        <x:v>GMKN_2026H1.pdf; PDF стр. 6, 11</x:v>
      </x:c>
      <x:c r="BM13" s="67" t="str">
        <x:v>GMKN_2026H1.pdf; PDF стр. 11</x:v>
      </x:c>
      <x:c r="BN13" s="65"/>
      <x:c r="BO13" s="65"/>
      <x:c r="BP13" s="65"/>
      <x:c r="BQ13" s="65"/>
      <x:c r="BR13" s="67" t="str">
        <x:v>Компания называет EBITDA; содержит дополнительные корректировки, в базе — скорр. EBITDA. Сравнительные потоки из отчета 1П2026; остатки 30.06.2025 требуют отдельного раскрытия.</x:v>
      </x:c>
      <x:c r="BS13" s="65"/>
      <x:c r="BT13" s="65"/>
      <x:c r="BU13" s="65"/>
      <x:c r="BV13" s="65"/>
      <x:c r="BW13" s="65"/>
      <x:c r="BX13" s="65"/>
      <x:c r="BY13" s="65"/>
      <x:c r="BZ13" s="65"/>
      <x:c r="CA13" s="65"/>
      <x:c r="CB13" s="65"/>
      <x:c r="CC13" s="65" t="n">
        <x:f>'Расчетные показатели'!E846</x:f>
        <x:v>31791</x:v>
      </x:c>
      <x:c r="CD13" s="65"/>
      <x:c r="CE13" s="65"/>
      <x:c r="CF13" s="65"/>
      <x:c r="CG13" s="65"/>
      <x:c r="CH13" s="65"/>
      <x:c r="CI13" s="65"/>
      <x:c r="CJ13" s="65"/>
      <x:c r="CK13" s="65"/>
      <x:c r="CL13" s="65"/>
      <x:c r="CM13" s="65"/>
      <x:c r="CN13" s="65"/>
    </x:row>
    <x:row r="14">
      <x:c r="A14"/>
      <x:c r="B14" s="3">
        <x:v>8</x:v>
      </x:c>
      <x:c r="C14" s="3" t="s">
        <x:v>81</x:v>
      </x:c>
      <x:c r="D14"/>
      <x:c r="E14" s="64" t="str">
        <x:v>н.д.</x:v>
      </x:c>
      <x:c r="F14" s="64"/>
      <x:c r="G14" s="64" t="str">
        <x:v>н.д.</x:v>
      </x:c>
      <x:c r="H14" s="64" t="n">
        <x:f>'Расчетные показатели'!E230</x:f>
        <x:v>429739</x:v>
      </x:c>
      <x:c r="I14" s="64" t="str">
        <x:v>н.д.</x:v>
      </x:c>
      <x:c r="J14" s="64" t="n">
        <x:f>'Расчетные показатели'!E697</x:f>
        <x:v>71662</x:v>
      </x:c>
      <x:c r="K14" s="64" t="str">
        <x:f>AI14</x:f>
        <x:v>н.д.</x:v>
      </x:c>
      <x:c r="L14" s="64" t="str">
        <x:f>AK14</x:f>
        <x:v>н.д.</x:v>
      </x:c>
      <x:c r="M14" s="64"/>
      <x:c r="N14" s="64" t="n">
        <x:f>'Расчетные показатели'!E232</x:f>
        <x:v>-7535</x:v>
      </x:c>
      <x:c r="O14" s="64" t="n">
        <x:f>'Расчетные показатели'!E233</x:f>
        <x:v>-140307</x:v>
      </x:c>
      <x:c r="P14" s="65"/>
      <x:c r="Q14" s="65"/>
      <x:c r="R14" s="64" t="str">
        <x:v>н.д.</x:v>
      </x:c>
      <x:c r="S14" s="66"/>
      <x:c r="T14" s="66"/>
      <x:c r="U14" s="66"/>
      <x:c r="V14" s="66"/>
      <x:c r="W14" s="64"/>
      <x:c r="X14" s="64"/>
      <x:c r="Y14" s="66" t="str">
        <x:v>н.д.</x:v>
      </x:c>
      <x:c r="Z14" s="64" t="str">
        <x:v>н.д.</x:v>
      </x:c>
      <x:c r="AA14" s="64" t="n">
        <x:f>'Расчетные показатели'!E234</x:f>
        <x:v>-7535</x:v>
      </x:c>
      <x:c r="AB14" s="66" t="n">
        <x:f>'Расчетные показатели'!E235</x:f>
        <x:v>5309</x:v>
      </x:c>
      <x:c r="AC14" s="66"/>
      <x:c r="AD14" s="66"/>
      <x:c r="AE14" s="66" t="n">
        <x:f>'Расчетные показатели'!E236</x:f>
        <x:v>29240</x:v>
      </x:c>
      <x:c r="AF14" s="66" t="n">
        <x:f>SUM('Расчетные показатели'!E695:E696)</x:f>
        <x:v>10734</x:v>
      </x:c>
      <x:c r="AG14" s="64" t="n">
        <x:f>'Расчетные показатели'!E697</x:f>
        <x:v>71662</x:v>
      </x:c>
      <x:c r="AH14" s="64"/>
      <x:c r="AI14" s="64" t="str">
        <x:v>н.д.</x:v>
      </x:c>
      <x:c r="AJ14" s="64"/>
      <x:c r="AK14" s="64" t="str">
        <x:v>н.д.</x:v>
      </x:c>
      <x:c r="AL14" s="64"/>
      <x:c r="AM14" s="64"/>
      <x:c r="AN14" s="64" t="n">
        <x:f>'Расчетные показатели'!E237</x:f>
        <x:v>31688</x:v>
      </x:c>
      <x:c r="AO14" s="64" t="n">
        <x:f>'Расчетные показатели'!E238</x:f>
        <x:v>29240</x:v>
      </x:c>
      <x:c r="AP14" s="64"/>
      <x:c r="AQ14" s="64"/>
      <x:c r="AR14" s="64"/>
      <x:c r="AS14" s="65"/>
      <x:c r="AT14" s="65" t="str">
        <x:f>IF(COUNT(E14,R14)=2,E14-R14,"не сверено")</x:f>
        <x:v>не сверено</x:v>
      </x:c>
      <x:c r="AU14" s="65" t="str">
        <x:f>IF(COUNT(F14,W14)=2,F14-W14,"не сверено")</x:f>
        <x:v>не сверено</x:v>
      </x:c>
      <x:c r="AV14" s="65" t="str">
        <x:f>IF(COUNT(G14,Y14)=2,G14-Y14,"не сверено")</x:f>
        <x:v>не сверено</x:v>
      </x:c>
      <x:c r="AW14" s="65" t="n">
        <x:f>IF(COUNT(J14,AG14)=2,J14-AG14,"не сверено")</x:f>
        <x:v>0</x:v>
      </x:c>
      <x:c r="AX14" s="65" t="str">
        <x:f>IF(COUNT(K14,AI14)=2,K14-AI14,"не сверено")</x:f>
        <x:v>не сверено</x:v>
      </x:c>
      <x:c r="AY14" s="65" t="str">
        <x:f>IF(COUNT(I14,Z14)=2,I14-Z14,"не сверено")</x:f>
        <x:v>не сверено</x:v>
      </x:c>
      <x:c r="AZ14" s="65" t="str">
        <x:f>IF(COUNT(L14,AM14)=2,L14-AM14,"не сверено")</x:f>
        <x:v>не сверено</x:v>
      </x:c>
      <x:c r="BA14" s="65" t="str">
        <x:f>IF(COUNT(M14,AP14)=2,M14-AP14,"не сверено")</x:f>
        <x:v>не сверено</x:v>
      </x:c>
      <x:c r="BB14" s="65"/>
      <x:c r="BC14" s="67" t="str">
        <x:v>OZON_2026H1.pdf; сравнительный баланс на 30.06.2025 не представлен, поэтому ЧД н.д.</x:v>
      </x:c>
      <x:c r="BD14" s="67"/>
      <x:c r="BE14" s="67" t="str">
        <x:v>ЧД IAS17 на 30.06.2025 н.д.: отсутствуют подтвержденный ЧД и обязательства по аренде на эту дату.</x:v>
      </x:c>
      <x:c r="BF14" s="67" t="str">
        <x:v>OZON_2026H1.pdf; PDF стр. 7, 11, 13-15</x:v>
      </x:c>
      <x:c r="BG14" s="67" t="str">
        <x:v>Скорректированная EBITDA 71 662 млн руб.; обычная EBITDA отдельно не раскрыта и отмечена н.д.</x:v>
      </x:c>
      <x:c r="BH14" s="67" t="str">
        <x:v>EBITDA IAS17: не раскрыта фиксированная аренда. EBITDAC: капитализированные затраты на разработку отдельно не раскрыты. ЧД на 30.06.2025 нельзя вывести из сравнительного баланса.</x:v>
      </x:c>
      <x:c r="BI14" s="67"/>
      <x:c r="BJ14" s="67" t="str">
        <x:v>Нужны раскрытые капитализированные затраты для аналитического EBITDAC. Нули не подставлены.</x:v>
      </x:c>
      <x:c r="BK14" s="67"/>
      <x:c r="BL14" s="67" t="str">
        <x:v>OZON_2026H1.pdf; PDF стр. 7, 11</x:v>
      </x:c>
      <x:c r="BM14" s="67" t="str">
        <x:v>OZON_2026H1.pdf; PDF стр. 7</x:v>
      </x:c>
      <x:c r="BN14" s="65"/>
      <x:c r="BO14" s="65"/>
      <x:c r="BP14" s="65"/>
      <x:c r="BQ14" s="65"/>
      <x:c r="BR14" s="67" t="str">
        <x:v>МСФО: выручка включает Финтех; капитал отрицательный. Скорр. EBITDA: операционная прибыль + амортизация + вознаграждение акциями + пожар. Не смешивать с обычной EBITDA.</x:v>
      </x:c>
      <x:c r="BS14" s="65" t="n">
        <x:f>'Расчетные показатели'!E695</x:f>
        <x:v>10397</x:v>
      </x:c>
      <x:c r="BT14" s="65"/>
      <x:c r="BU14" s="65"/>
      <x:c r="BV14" s="65"/>
      <x:c r="BW14" s="65"/>
      <x:c r="BX14" s="65"/>
      <x:c r="BY14" s="65"/>
      <x:c r="BZ14" s="65"/>
      <x:c r="CA14" s="65"/>
      <x:c r="CB14" s="65"/>
      <x:c r="CC14" s="65"/>
      <x:c r="CD14" s="65"/>
      <x:c r="CE14" s="65"/>
      <x:c r="CF14" s="65"/>
      <x:c r="CG14" s="65"/>
      <x:c r="CH14" s="65"/>
      <x:c r="CI14" s="65"/>
      <x:c r="CJ14" s="65"/>
      <x:c r="CK14" s="65"/>
      <x:c r="CL14" s="65"/>
      <x:c r="CM14" s="65"/>
      <x:c r="CN14" s="65"/>
    </x:row>
    <x:row r="15">
      <x:c r="A15"/>
      <x:c r="B15" s="3">
        <x:v>9</x:v>
      </x:c>
      <x:c r="C15" s="3" t="s">
        <x:v>83</x:v>
      </x:c>
      <x:c r="D15"/>
      <x:c r="E15" s="64" t="n">
        <x:f>R15</x:f>
        <x:v>921611</x:v>
      </x:c>
      <x:c r="F15" s="64" t="n">
        <x:f>W15</x:f>
        <x:v>921611</x:v>
      </x:c>
      <x:c r="G15" s="64" t="n">
        <x:f>Y15</x:f>
        <x:v>258359</x:v>
      </x:c>
      <x:c r="H15" s="64" t="n">
        <x:f>'Расчетные показатели'!E240</x:f>
        <x:v>2243992</x:v>
      </x:c>
      <x:c r="I15" s="64" t="n">
        <x:f>'Расчетные показатели'!E914</x:f>
        <x:v>204131</x:v>
      </x:c>
      <x:c r="J15" s="64" t="n">
        <x:f>'Расчетные показатели'!E932</x:f>
        <x:v>211446</x:v>
      </x:c>
      <x:c r="K15" s="64" t="n">
        <x:f>'Расчетные показатели'!E947</x:f>
        <x:v>122754</x:v>
      </x:c>
      <x:c r="L15" s="64"/>
      <x:c r="M15" s="64"/>
      <x:c r="N15" s="64" t="n">
        <x:f>'Расчетные показатели'!E244</x:f>
        <x:v>42261</x:v>
      </x:c>
      <x:c r="O15" s="64" t="str">
        <x:v>н.д.</x:v>
      </x:c>
      <x:c r="P15" s="65"/>
      <x:c r="Q15" s="65"/>
      <x:c r="R15" s="64" t="n">
        <x:f>S15+T15-U15+BN15</x:f>
        <x:v>921611</x:v>
      </x:c>
      <x:c r="S15" s="66" t="n">
        <x:f>'Расчетные показатели'!E245</x:f>
        <x:v>133387</x:v>
      </x:c>
      <x:c r="T15" s="66" t="n">
        <x:f>'Расчетные показатели'!E246</x:f>
        <x:v>180912</x:v>
      </x:c>
      <x:c r="U15" s="66" t="n">
        <x:f>'Расчетные показатели'!E247</x:f>
        <x:v>55940</x:v>
      </x:c>
      <x:c r="V15" s="66" t="n">
        <x:f>BN15</x:f>
        <x:v>663252</x:v>
      </x:c>
      <x:c r="W15" s="64" t="n">
        <x:f>S15+T15-U15+V15</x:f>
        <x:v>921611</x:v>
      </x:c>
      <x:c r="X15" s="64" t="n">
        <x:f>-BN15</x:f>
        <x:v>-663252</x:v>
      </x:c>
      <x:c r="Y15" s="66" t="n">
        <x:f>R15+X15</x:f>
        <x:v>258359</x:v>
      </x:c>
      <x:c r="Z15" s="64" t="n">
        <x:f>'Расчетные показатели'!E914</x:f>
        <x:v>204131</x:v>
      </x:c>
      <x:c r="AA15" s="64"/>
      <x:c r="AB15" s="66"/>
      <x:c r="AC15" s="66"/>
      <x:c r="AD15" s="66"/>
      <x:c r="AE15" s="66"/>
      <x:c r="AF15" s="66" t="n">
        <x:f>SUM('Расчетные показатели'!E930:E931)</x:f>
        <x:v>7315</x:v>
      </x:c>
      <x:c r="AG15" s="64" t="n">
        <x:f>'Расчетные показатели'!E932</x:f>
        <x:v>211446</x:v>
      </x:c>
      <x:c r="AH15" s="64"/>
      <x:c r="AI15" s="64" t="n">
        <x:f>'Расчетные показатели'!E947</x:f>
        <x:v>122754</x:v>
      </x:c>
      <x:c r="AJ15" s="64"/>
      <x:c r="AK15" s="64" t="str">
        <x:v>н.п.</x:v>
      </x:c>
      <x:c r="AL15" s="64"/>
      <x:c r="AM15" s="64"/>
      <x:c r="AN15" s="64"/>
      <x:c r="AO15" s="64"/>
      <x:c r="AP15" s="64"/>
      <x:c r="AQ15" s="64"/>
      <x:c r="AR15" s="64"/>
      <x:c r="AS15" s="65"/>
      <x:c r="AT15" s="65" t="n">
        <x:f>IF(COUNT(E15,R15)=2,E15-R15,"не сверено")</x:f>
        <x:v>0</x:v>
      </x:c>
      <x:c r="AU15" s="65" t="n">
        <x:f>IF(COUNT(F15,W15)=2,F15-W15,"не сверено")</x:f>
        <x:v>0</x:v>
      </x:c>
      <x:c r="AV15" s="65" t="n">
        <x:f>IF(COUNT(G15,Y15)=2,G15-Y15,"не сверено")</x:f>
        <x:v>0</x:v>
      </x:c>
      <x:c r="AW15" s="65" t="n">
        <x:f>IF(COUNT(J15,AG15)=2,J15-AG15,"не сверено")</x:f>
        <x:v>0</x:v>
      </x:c>
      <x:c r="AX15" s="65" t="n">
        <x:f>IF(COUNT(K15,AI15)=2,K15-AI15,"не сверено")</x:f>
        <x:v>0</x:v>
      </x:c>
      <x:c r="AY15" s="65" t="n">
        <x:f>IF(COUNT(I15,Z15)=2,I15-Z15,"не сверено")</x:f>
        <x:v>0</x:v>
      </x:c>
      <x:c r="AZ15" s="65" t="str">
        <x:f>IF(COUNT(L15,AM15)=2,L15-AM15,"не сверено")</x:f>
        <x:v>не сверено</x:v>
      </x:c>
      <x:c r="BA15" s="65" t="str">
        <x:f>IF(COUNT(M15,AP15)=2,M15-AP15,"не сверено")</x:f>
        <x:v>не сверено</x:v>
      </x:c>
      <x:c r="BB15" s="65"/>
      <x:c r="BC15" s="67" t="str">
        <x:v>X5_IR_2026H1.pdf; PDF стр. 12; 133 387 + 180 912 + 663 252 − 55 940 = 921 611</x:v>
      </x:c>
      <x:c r="BD15" s="67" t="str">
        <x:v>ЧД IFRS 16 921 611 млн руб.; аренда 663 252 млн руб. включена и отдельно показана в V15</x:v>
      </x:c>
      <x:c r="BE15" s="67" t="str">
        <x:v>X5_IR_2026H1.pdf; PDF стр. 12; раскрытый ЧД до IFRS 16 — 258 359 млн руб.</x:v>
      </x:c>
      <x:c r="BF15" s="67" t="str">
        <x:v>X5_2026H1.pdf; PDF стр. 6; сравнительные выручка и прибыль акционеров; капитал на 30.06.2025 не представлен — н.д.</x:v>
      </x:c>
      <x:c r="BG15" s="67" t="str">
        <x:v>X5_IR_2026H1.pdf; PDF стр. 15, 17; скорр. EBITDA IFRS 16 — 211 446; дополнительно скорр. EBITDA до IFRS 16 — 130 069 (стр. 3; расчетные строки 959–962)</x:v>
      </x:c>
      <x:c r="BH15" s="67" t="str">
        <x:v>X5_IR_2026H1.pdf; PDF стр. 3, 18; EBITDA до IFRS 16 — 122 754</x:v>
      </x:c>
      <x:c r="BI15" s="67" t="str">
        <x:v>X5_IR_2026H1.pdf; PDF стр. 15, 17; EBITDA IFRS 16 — 204 131</x:v>
      </x:c>
      <x:c r="BJ15" s="67"/>
      <x:c r="BK15" s="67"/>
      <x:c r="BL15" s="67" t="str">
        <x:v>X5_2026H1.pdf; PDF стр. 22</x:v>
      </x:c>
      <x:c r="BM15" s="67"/>
      <x:c r="BN15" s="65" t="n">
        <x:f>'Расчетные показатели'!E248</x:f>
        <x:v>663252</x:v>
      </x:c>
      <x:c r="BO15" s="65"/>
      <x:c r="BP15" s="65" t="n">
        <x:f>'Расчетные показатели'!E962</x:f>
        <x:v>130069</x:v>
      </x:c>
      <x:c r="BQ15" s="65"/>
      <x:c r="BR15" s="67" t="str">
        <x:v>Сравнительные потоки из отчета 1П2026; остатки 30.06.2025 требуют отдельного раскрытия.</x:v>
      </x:c>
      <x:c r="BS15" s="65"/>
      <x:c r="BT15" s="65"/>
      <x:c r="BU15" s="65"/>
      <x:c r="BV15" s="65"/>
      <x:c r="BW15" s="65"/>
      <x:c r="BX15" s="65"/>
      <x:c r="BY15" s="65"/>
      <x:c r="BZ15" s="65"/>
      <x:c r="CA15" s="65"/>
      <x:c r="CB15" s="65"/>
      <x:c r="CC15" s="65"/>
      <x:c r="CD15" s="65"/>
      <x:c r="CE15" s="65" t="n">
        <x:f>'Расчетные показатели'!E945</x:f>
        <x:v>-79810</x:v>
      </x:c>
      <x:c r="CF15" s="65"/>
      <x:c r="CG15" s="65"/>
      <x:c r="CH15" s="65"/>
      <x:c r="CI15" s="65"/>
      <x:c r="CJ15" s="65"/>
      <x:c r="CK15" s="65"/>
      <x:c r="CL15" s="65"/>
      <x:c r="CM15" s="65"/>
      <x:c r="CN15" s="65"/>
    </x:row>
    <x:row r="16">
      <x:c r="A16"/>
      <x:c r="B16" s="3">
        <x:v>10</x:v>
      </x:c>
      <x:c r="C16" s="3" t="s">
        <x:v>85</x:v>
      </x:c>
      <x:c r="D16"/>
      <x:c r="E16" s="64" t="str">
        <x:v>н.д.</x:v>
      </x:c>
      <x:c r="F16" s="64"/>
      <x:c r="G16" s="64"/>
      <x:c r="H16" s="64" t="n">
        <x:f>'Расчетные показатели'!E250</x:f>
        <x:v>4263000</x:v>
      </x:c>
      <x:c r="I16" s="64" t="n">
        <x:f>'Расчетные показатели'!E251</x:f>
        <x:v>1054000</x:v>
      </x:c>
      <x:c r="J16" s="64"/>
      <x:c r="K16" s="64"/>
      <x:c r="L16" s="64"/>
      <x:c r="M16" s="64"/>
      <x:c r="N16" s="64" t="n">
        <x:f>'Расчетные показатели'!E252</x:f>
        <x:v>245000</x:v>
      </x:c>
      <x:c r="O16" s="64" t="str">
        <x:v>н.д.</x:v>
      </x:c>
      <x:c r="P16" s="65"/>
      <x:c r="Q16" s="65"/>
      <x:c r="R16" s="64" t="str">
        <x:v>н.д.</x:v>
      </x:c>
      <x:c r="S16" s="66"/>
      <x:c r="T16" s="66"/>
      <x:c r="U16" s="66"/>
      <x:c r="V16" s="66"/>
      <x:c r="W16" s="64"/>
      <x:c r="X16" s="64"/>
      <x:c r="Y16" s="66" t="str">
        <x:v>н.п.</x:v>
      </x:c>
      <x:c r="Z16" s="64" t="n">
        <x:f>'Расчетные показатели'!E251</x:f>
        <x:v>1054000</x:v>
      </x:c>
      <x:c r="AA16" s="64"/>
      <x:c r="AB16" s="66"/>
      <x:c r="AC16" s="66"/>
      <x:c r="AD16" s="66"/>
      <x:c r="AE16" s="66"/>
      <x:c r="AF16" s="66"/>
      <x:c r="AG16" s="64"/>
      <x:c r="AH16" s="64"/>
      <x:c r="AI16" s="64" t="str">
        <x:v>н.п.</x:v>
      </x:c>
      <x:c r="AJ16" s="64"/>
      <x:c r="AK16" s="64" t="str">
        <x:v>н.п.</x:v>
      </x:c>
      <x:c r="AL16" s="64"/>
      <x:c r="AM16" s="64"/>
      <x:c r="AN16" s="64"/>
      <x:c r="AO16" s="64"/>
      <x:c r="AP16" s="64"/>
      <x:c r="AQ16" s="64"/>
      <x:c r="AR16" s="64"/>
      <x:c r="AS16" s="65"/>
      <x:c r="AT16" s="65" t="str">
        <x:f>IF(COUNT(E16,R16)=2,E16-R16,"не сверено")</x:f>
        <x:v>не сверено</x:v>
      </x:c>
      <x:c r="AU16" s="65" t="str">
        <x:f>IF(COUNT(F16,W16)=2,F16-W16,"не сверено")</x:f>
        <x:v>не сверено</x:v>
      </x:c>
      <x:c r="AV16" s="65" t="str">
        <x:f>IF(COUNT(G16,Y16)=2,G16-Y16,"не сверено")</x:f>
        <x:v>не сверено</x:v>
      </x:c>
      <x:c r="AW16" s="65" t="str">
        <x:f>IF(COUNT(J16,AG16)=2,J16-AG16,"не сверено")</x:f>
        <x:v>не сверено</x:v>
      </x:c>
      <x:c r="AX16" s="65" t="str">
        <x:f>IF(COUNT(K16,AI16)=2,K16-AI16,"не сверено")</x:f>
        <x:v>не сверено</x:v>
      </x:c>
      <x:c r="AY16" s="65" t="n">
        <x:f>IF(COUNT(I16,Z16)=2,I16-Z16,"не сверено")</x:f>
        <x:v>0</x:v>
      </x:c>
      <x:c r="AZ16" s="65" t="str">
        <x:f>IF(COUNT(L16,AM16)=2,L16-AM16,"не сверено")</x:f>
        <x:v>не сверено</x:v>
      </x:c>
      <x:c r="BA16" s="65" t="str">
        <x:f>IF(COUNT(M16,AP16)=2,M16-AP16,"не сверено")</x:f>
        <x:v>не сверено</x:v>
      </x:c>
      <x:c r="BB16" s="65"/>
      <x:c r="BC16" s="67" t="str">
        <x:v>Официальный IR-релиз Роснефти от 30.08.2025: раскрыт только ЧД/EBITDA 1,6x; точная сумма и компоненты ЧД не раскрыты — н.д.</x:v>
      </x:c>
      <x:c r="BD16" s="67"/>
      <x:c r="BE16" s="67"/>
      <x:c r="BF16" s="67" t="str">
        <x:v>ROSN_2026H1.pdf; PDF стр. 6; сравнительная выручка и прибыль акционеров</x:v>
      </x:c>
      <x:c r="BG16" s="67"/>
      <x:c r="BH16" s="67"/>
      <x:c r="BI16" s="67" t="str">
        <x:v>Официальный IR-релиз Роснефти от 30.08.2025; EBITDA — 1 054 000 млн руб.; https://www.rosneft.ru/press/releases/item/222713/</x:v>
      </x:c>
      <x:c r="BJ16" s="67"/>
      <x:c r="BK16" s="67"/>
      <x:c r="BL16" s="67" t="str">
        <x:v>ROSN_2026H1.pdf; PDF стр. 6; сравнительная прибыль акционеров — 245 000 млн руб.</x:v>
      </x:c>
      <x:c r="BM16" s="67" t="str">
        <x:v>Сравнительный баланс на 30.06.2025 в ROSN_2026H1.pdf отсутствует; капитал акционеров — н.д.</x:v>
      </x:c>
      <x:c r="BN16" s="65"/>
      <x:c r="BO16" s="65"/>
      <x:c r="BP16" s="65"/>
      <x:c r="BQ16" s="65"/>
      <x:c r="BR16" s="67" t="str">
        <x:v>ЧД не рассчитан из округлённого ЧД/EBITDA 1,6x. Точный ЧД, его компоненты и капитал акционеров на 30.06.2025 не раскрыты в доступном комплекте.</x:v>
      </x:c>
      <x:c r="BS16" s="65"/>
      <x:c r="BT16" s="65"/>
      <x:c r="BU16" s="65"/>
      <x:c r="BV16" s="65"/>
      <x:c r="BW16" s="65"/>
      <x:c r="BX16" s="65"/>
      <x:c r="BY16" s="65"/>
      <x:c r="BZ16" s="65"/>
      <x:c r="CA16" s="65"/>
      <x:c r="CB16" s="65"/>
      <x:c r="CC16" s="65"/>
      <x:c r="CD16" s="65"/>
      <x:c r="CE16" s="65"/>
      <x:c r="CF16" s="65"/>
      <x:c r="CG16" s="65"/>
      <x:c r="CH16" s="65"/>
      <x:c r="CI16" s="65"/>
      <x:c r="CJ16" s="65"/>
      <x:c r="CK16" s="65"/>
      <x:c r="CL16" s="65"/>
      <x:c r="CM16" s="65"/>
      <x:c r="CN16" s="65"/>
    </x:row>
    <x:row r="17">
      <x:c r="A17"/>
      <x:c r="B17" s="3">
        <x:v>11</x:v>
      </x:c>
      <x:c r="C17" s="3" t="s">
        <x:v>86</x:v>
      </x:c>
      <x:c r="D17"/>
      <x:c r="E17" s="64" t="str">
        <x:v>н.д.</x:v>
      </x:c>
      <x:c r="F17" s="64"/>
      <x:c r="G17" s="64"/>
      <x:c r="H17" s="64" t="n">
        <x:f>'Расчетные показатели'!E253</x:f>
        <x:v>309794</x:v>
      </x:c>
      <x:c r="I17" s="64" t="str">
        <x:v>н.д.</x:v>
      </x:c>
      <x:c r="J17" s="64" t="str">
        <x:v>н.д.</x:v>
      </x:c>
      <x:c r="K17" s="64"/>
      <x:c r="L17" s="64"/>
      <x:c r="M17" s="64"/>
      <x:c r="N17" s="64" t="n">
        <x:f>'Расчетные показатели'!E254</x:f>
        <x:v>172536</x:v>
      </x:c>
      <x:c r="O17" s="64" t="n">
        <x:f>'Расчетные показатели'!E255</x:f>
        <x:v>232256</x:v>
      </x:c>
      <x:c r="P17" s="65"/>
      <x:c r="Q17" s="65"/>
      <x:c r="R17" s="64" t="str">
        <x:v>н.д.</x:v>
      </x:c>
      <x:c r="S17" s="66"/>
      <x:c r="T17" s="66"/>
      <x:c r="U17" s="66"/>
      <x:c r="V17" s="66"/>
      <x:c r="W17" s="64"/>
      <x:c r="X17" s="64"/>
      <x:c r="Y17" s="66" t="str">
        <x:v>н.п.</x:v>
      </x:c>
      <x:c r="Z17" s="64" t="str">
        <x:v>н.д.</x:v>
      </x:c>
      <x:c r="AA17" s="64"/>
      <x:c r="AB17" s="66"/>
      <x:c r="AC17" s="66"/>
      <x:c r="AD17" s="66"/>
      <x:c r="AE17" s="66"/>
      <x:c r="AF17" s="66"/>
      <x:c r="AG17" s="64" t="str">
        <x:v>н.д.</x:v>
      </x:c>
      <x:c r="AH17" s="64"/>
      <x:c r="AI17" s="64" t="str">
        <x:v>н.п.</x:v>
      </x:c>
      <x:c r="AJ17" s="64"/>
      <x:c r="AK17" s="64" t="str">
        <x:v>н.п.</x:v>
      </x:c>
      <x:c r="AL17" s="64"/>
      <x:c r="AM17" s="64"/>
      <x:c r="AN17" s="64"/>
      <x:c r="AO17" s="64"/>
      <x:c r="AP17" s="64"/>
      <x:c r="AQ17" s="64"/>
      <x:c r="AR17" s="64"/>
      <x:c r="AS17" s="65"/>
      <x:c r="AT17" s="65" t="str">
        <x:f>IF(COUNT(E17,R17)=2,E17-R17,"не сверено")</x:f>
        <x:v>не сверено</x:v>
      </x:c>
      <x:c r="AU17" s="65" t="str">
        <x:f>IF(COUNT(F17,W17)=2,F17-W17,"не сверено")</x:f>
        <x:v>не сверено</x:v>
      </x:c>
      <x:c r="AV17" s="65" t="str">
        <x:f>IF(COUNT(G17,Y17)=2,G17-Y17,"не сверено")</x:f>
        <x:v>не сверено</x:v>
      </x:c>
      <x:c r="AW17" s="65" t="str">
        <x:f>IF(COUNT(J17,AG17)=2,J17-AG17,"не сверено")</x:f>
        <x:v>не сверено</x:v>
      </x:c>
      <x:c r="AX17" s="65" t="str">
        <x:f>IF(COUNT(K17,AI17)=2,K17-AI17,"не сверено")</x:f>
        <x:v>не сверено</x:v>
      </x:c>
      <x:c r="AY17" s="65" t="str">
        <x:f>IF(COUNT(I17,Z17)=2,I17-Z17,"не сверено")</x:f>
        <x:v>не сверено</x:v>
      </x:c>
      <x:c r="AZ17" s="65" t="str">
        <x:f>IF(COUNT(L17,AM17)=2,L17-AM17,"не сверено")</x:f>
        <x:v>не сверено</x:v>
      </x:c>
      <x:c r="BA17" s="65" t="str">
        <x:f>IF(COUNT(M17,AP17)=2,M17-AP17,"не сверено")</x:f>
        <x:v>не сверено</x:v>
      </x:c>
      <x:c r="BB17" s="65"/>
      <x:c r="BC17" s="67" t="str">
        <x:v>PLZL_IR_2026H1.pdf; PDF стр. 1; раскрыт только округлённый ЧД/скорр. EBITDA 1,0x; точные ЧД и EBITDA за сравнительный период не раскрыты — н.д.</x:v>
      </x:c>
      <x:c r="BD17" s="67"/>
      <x:c r="BE17" s="67"/>
      <x:c r="BF17" s="67" t="str">
        <x:v>PLZL_2026H1.pdf; PDF стр. 6</x:v>
      </x:c>
      <x:c r="BG17" s="67" t="str">
        <x:v>PLZL_IR_2026H1.pdf; точная обычная EBITDA не раскрыта — н.д.</x:v>
      </x:c>
      <x:c r="BH17" s="67" t="str">
        <x:v>PLZL_IR_2026H1.pdf; точная скорректированная EBITDA не раскрыта — н.д.; обратный расчёт из 1,0x не выполнялся.</x:v>
      </x:c>
      <x:c r="BI17" s="67"/>
      <x:c r="BJ17" s="67"/>
      <x:c r="BK17" s="67"/>
      <x:c r="BL17" s="67" t="str">
        <x:v>PLZL_2026H1.pdf; PDF стр. 6, 8</x:v>
      </x:c>
      <x:c r="BM17" s="67" t="str">
        <x:v>PLZL_2026H1.pdf; PDF стр. 8</x:v>
      </x:c>
      <x:c r="BN17" s="65"/>
      <x:c r="BO17" s="65"/>
      <x:c r="BP17" s="65"/>
      <x:c r="BQ17" s="65"/>
      <x:c r="BR17" s="67" t="str">
        <x:v>Сверено по доступному комплекту. Выручка, прибыль акционеров и капитал подтверждены. Точные ЧД и EBITDA отсутствуют; округлённый коэффициент 1,0x не использован для обратного расчёта.</x:v>
      </x:c>
      <x:c r="BS17" s="65"/>
      <x:c r="BT17" s="65"/>
      <x:c r="BU17" s="65"/>
      <x:c r="BV17" s="65"/>
      <x:c r="BW17" s="65"/>
      <x:c r="BX17" s="65"/>
      <x:c r="BY17" s="65"/>
      <x:c r="BZ17" s="65"/>
      <x:c r="CA17" s="65"/>
      <x:c r="CB17" s="65"/>
      <x:c r="CC17" s="65"/>
      <x:c r="CD17" s="65"/>
      <x:c r="CE17" s="65"/>
      <x:c r="CF17" s="65"/>
      <x:c r="CG17" s="65"/>
      <x:c r="CH17" s="65"/>
      <x:c r="CI17" s="65"/>
      <x:c r="CJ17" s="65"/>
      <x:c r="CK17" s="65"/>
      <x:c r="CL17" s="65"/>
      <x:c r="CM17" s="65"/>
      <x:c r="CN17" s="65"/>
    </x:row>
    <x:row r="18">
      <x:c r="A18"/>
      <x:c r="B18" s="3">
        <x:v>12</x:v>
      </x:c>
      <x:c r="C18" s="3" t="s">
        <x:v>87</x:v>
      </x:c>
      <x:c r="D18"/>
      <x:c r="E18" s="64"/>
      <x:c r="F18" s="64"/>
      <x:c r="G18" s="64"/>
      <x:c r="H18" s="64"/>
      <x:c r="I18" s="64"/>
      <x:c r="J18" s="64"/>
      <x:c r="K18" s="64"/>
      <x:c r="L18" s="64"/>
      <x:c r="M18" s="64"/>
      <x:c r="N18" s="64"/>
      <x:c r="O18" s="64"/>
      <x:c r="P18" s="65"/>
      <x:c r="Q18" s="65"/>
      <x:c r="R18" s="64"/>
      <x:c r="S18" s="66"/>
      <x:c r="T18" s="66"/>
      <x:c r="U18" s="66"/>
      <x:c r="V18" s="66"/>
      <x:c r="W18" s="64"/>
      <x:c r="X18" s="64"/>
      <x:c r="Y18" s="66" t="str">
        <x:v>н.п.</x:v>
      </x:c>
      <x:c r="Z18" s="64"/>
      <x:c r="AA18" s="64"/>
      <x:c r="AB18" s="66"/>
      <x:c r="AC18" s="66"/>
      <x:c r="AD18" s="66"/>
      <x:c r="AE18" s="66"/>
      <x:c r="AF18" s="66"/>
      <x:c r="AG18" s="64"/>
      <x:c r="AH18" s="64"/>
      <x:c r="AI18" s="64" t="str">
        <x:v>н.п.</x:v>
      </x:c>
      <x:c r="AJ18" s="64"/>
      <x:c r="AK18" s="64" t="str">
        <x:v>н.п.</x:v>
      </x:c>
      <x:c r="AL18" s="64"/>
      <x:c r="AM18" s="64"/>
      <x:c r="AN18" s="64"/>
      <x:c r="AO18" s="64"/>
      <x:c r="AP18" s="64"/>
      <x:c r="AQ18" s="64"/>
      <x:c r="AR18" s="64"/>
      <x:c r="AS18" s="65"/>
      <x:c r="AT18" s="65" t="str">
        <x:f>IF(COUNT(E18,R18)=2,E18-R18,"не сверено")</x:f>
        <x:v>не сверено</x:v>
      </x:c>
      <x:c r="AU18" s="65" t="str">
        <x:f>IF(COUNT(F18,W18)=2,F18-W18,"не сверено")</x:f>
        <x:v>не сверено</x:v>
      </x:c>
      <x:c r="AV18" s="65" t="str">
        <x:f>IF(COUNT(G18,Y18)=2,G18-Y18,"не сверено")</x:f>
        <x:v>не сверено</x:v>
      </x:c>
      <x:c r="AW18" s="65" t="str">
        <x:f>IF(COUNT(J18,AG18)=2,J18-AG18,"не сверено")</x:f>
        <x:v>не сверено</x:v>
      </x:c>
      <x:c r="AX18" s="65" t="str">
        <x:f>IF(COUNT(K18,AI18)=2,K18-AI18,"не сверено")</x:f>
        <x:v>не сверено</x:v>
      </x:c>
      <x:c r="AY18" s="65" t="str">
        <x:f>IF(COUNT(I18,Z18)=2,I18-Z18,"не сверено")</x:f>
        <x:v>не сверено</x:v>
      </x:c>
      <x:c r="AZ18" s="65" t="str">
        <x:f>IF(COUNT(L18,AM18)=2,L18-AM18,"не сверено")</x:f>
        <x:v>не сверено</x:v>
      </x:c>
      <x:c r="BA18" s="65" t="str">
        <x:f>IF(COUNT(M18,AP18)=2,M18-AP18,"не сверено")</x:f>
        <x:v>не сверено</x:v>
      </x:c>
      <x:c r="BB18" s="65"/>
      <x:c r="BC18" s="67"/>
      <x:c r="BD18" s="67"/>
      <x:c r="BE18" s="67"/>
      <x:c r="BF18" s="67"/>
      <x:c r="BG18" s="67"/>
      <x:c r="BH18" s="67"/>
      <x:c r="BI18" s="67"/>
      <x:c r="BJ18" s="67"/>
      <x:c r="BK18" s="67"/>
      <x:c r="BL18" s="67"/>
      <x:c r="BM18" s="67"/>
      <x:c r="BN18" s="65"/>
      <x:c r="BO18" s="65"/>
      <x:c r="BP18" s="65"/>
      <x:c r="BQ18" s="65"/>
      <x:c r="BR18" s="67" t="str">
        <x:v>Отчет не получен; данные не заменены нулями.</x:v>
      </x:c>
      <x:c r="BS18" s="65"/>
      <x:c r="BT18" s="65"/>
      <x:c r="BU18" s="65"/>
      <x:c r="BV18" s="65"/>
      <x:c r="BW18" s="65"/>
      <x:c r="BX18" s="65"/>
      <x:c r="BY18" s="65"/>
      <x:c r="BZ18" s="65"/>
      <x:c r="CA18" s="65"/>
      <x:c r="CB18" s="65"/>
      <x:c r="CC18" s="65"/>
      <x:c r="CD18" s="65"/>
      <x:c r="CE18" s="65"/>
      <x:c r="CF18" s="65"/>
      <x:c r="CG18" s="65"/>
      <x:c r="CH18" s="65"/>
      <x:c r="CI18" s="65"/>
      <x:c r="CJ18" s="65"/>
      <x:c r="CK18" s="65"/>
      <x:c r="CL18" s="65"/>
      <x:c r="CM18" s="65"/>
      <x:c r="CN18" s="65"/>
    </x:row>
    <x:row r="19">
      <x:c r="A19"/>
      <x:c r="B19" s="3">
        <x:v>13</x:v>
      </x:c>
      <x:c r="C19" s="3" t="s">
        <x:v>88</x:v>
      </x:c>
      <x:c r="D19"/>
      <x:c r="E19" s="64" t="str">
        <x:v>н.д.</x:v>
      </x:c>
      <x:c r="F19" s="64" t="str">
        <x:v>н.д.</x:v>
      </x:c>
      <x:c r="G19" s="64"/>
      <x:c r="H19" s="64" t="n">
        <x:f>'Расчетные показатели'!E256</x:f>
        <x:v>19787.72</x:v>
      </x:c>
      <x:c r="I19" s="64" t="n">
        <x:f>'Расчетные показатели'!E1361</x:f>
        <x:v>8793.531</x:v>
      </x:c>
      <x:c r="J19" s="64" t="n">
        <x:f>'Расчетные показатели'!E879</x:f>
        <x:v>10268.621000000001</x:v>
      </x:c>
      <x:c r="K19" s="64"/>
      <x:c r="L19" s="64" t="str">
        <x:f>AK19</x:f>
        <x:v>н.д.</x:v>
      </x:c>
      <x:c r="M19" s="64"/>
      <x:c r="N19" s="64" t="n">
        <x:f>'Расчетные показатели'!E258</x:f>
        <x:v>6421.123</x:v>
      </x:c>
      <x:c r="O19" s="64" t="n">
        <x:f>'Расчетные показатели'!E259</x:f>
        <x:v>5419.8</x:v>
      </x:c>
      <x:c r="P19" s="65"/>
      <x:c r="Q19" s="65"/>
      <x:c r="R19" s="64" t="str">
        <x:v>н.д.</x:v>
      </x:c>
      <x:c r="S19" s="66"/>
      <x:c r="T19" s="66"/>
      <x:c r="U19" s="66"/>
      <x:c r="V19" s="66"/>
      <x:c r="W19" s="64" t="str">
        <x:v>н.д.</x:v>
      </x:c>
      <x:c r="X19" s="64"/>
      <x:c r="Y19" s="66" t="str">
        <x:v>н.п.</x:v>
      </x:c>
      <x:c r="Z19" s="64" t="n">
        <x:f>'Расчетные показатели'!E1361</x:f>
        <x:v>8793.531</x:v>
      </x:c>
      <x:c r="AA19" s="64"/>
      <x:c r="AB19" s="66"/>
      <x:c r="AC19" s="66"/>
      <x:c r="AD19" s="66" t="n">
        <x:f>'Расчетные показатели'!E260</x:f>
        <x:v>594.543</x:v>
      </x:c>
      <x:c r="AE19" s="66" t="n">
        <x:f>'Расчетные показатели'!E261</x:f>
        <x:v>809.591</x:v>
      </x:c>
      <x:c r="AF19" s="66" t="n">
        <x:f>SUM('Расчетные показатели'!E874:E878)</x:f>
        <x:v>1475.0900000000001</x:v>
      </x:c>
      <x:c r="AG19" s="64" t="n">
        <x:f>'Расчетные показатели'!E879</x:f>
        <x:v>10268.621000000001</x:v>
      </x:c>
      <x:c r="AH19" s="64"/>
      <x:c r="AI19" s="64" t="str">
        <x:v>н.п.</x:v>
      </x:c>
      <x:c r="AJ19" s="64"/>
      <x:c r="AK19" s="64" t="str">
        <x:v>н.д.</x:v>
      </x:c>
      <x:c r="AL19" s="64"/>
      <x:c r="AM19" s="64"/>
      <x:c r="AN19" s="64"/>
      <x:c r="AO19" s="64"/>
      <x:c r="AP19" s="64"/>
      <x:c r="AQ19" s="64"/>
      <x:c r="AR19" s="64"/>
      <x:c r="AS19" s="65"/>
      <x:c r="AT19" s="65" t="str">
        <x:f>IF(COUNT(E19,R19)=2,E19-R19,"не сверено")</x:f>
        <x:v>не сверено</x:v>
      </x:c>
      <x:c r="AU19" s="65" t="str">
        <x:f>IF(COUNT(F19,W19)=2,F19-W19,"не сверено")</x:f>
        <x:v>не сверено</x:v>
      </x:c>
      <x:c r="AV19" s="65" t="str">
        <x:f>IF(COUNT(G19,Y19)=2,G19-Y19,"не сверено")</x:f>
        <x:v>не сверено</x:v>
      </x:c>
      <x:c r="AW19" s="65" t="n">
        <x:f>IF(COUNT(J19,AG19)=2,J19-AG19,"не сверено")</x:f>
        <x:v>0</x:v>
      </x:c>
      <x:c r="AX19" s="65" t="str">
        <x:f>IF(COUNT(K19,AI19)=2,K19-AI19,"не сверено")</x:f>
        <x:v>не сверено</x:v>
      </x:c>
      <x:c r="AY19" s="65" t="n">
        <x:f>IF(COUNT(I19,Z19)=2,I19-Z19,"не сверено")</x:f>
        <x:v>0</x:v>
      </x:c>
      <x:c r="AZ19" s="65" t="str">
        <x:f>IF(COUNT(L19,AM19)=2,L19-AM19,"не сверено")</x:f>
        <x:v>не сверено</x:v>
      </x:c>
      <x:c r="BA19" s="65" t="str">
        <x:f>IF(COUNT(M19,AP19)=2,M19-AP19,"не сверено")</x:f>
        <x:v>не сверено</x:v>
      </x:c>
      <x:c r="BB19" s="65"/>
      <x:c r="BC19" s="67" t="str">
        <x:v>Остатки долга, денег, краткосрочных инвестиций и аренды на 30.06.2025 в сравнительном комплекте отсутствуют — ЧД н.д.</x:v>
      </x:c>
      <x:c r="BD19" s="67" t="str">
        <x:v>Скорректированный ЧД с арендой на 30.06.2025 — н.д.</x:v>
      </x:c>
      <x:c r="BE19" s="67"/>
      <x:c r="BF19" s="67" t="str">
        <x:v>HEAD_2026H1.pdf; PDF стр. 6, 15, 17; сравнительная выручка 19 787,720 млн руб.</x:v>
      </x:c>
      <x:c r="BG19" s="67" t="str">
        <x:v>HEAD_2026H1.pdf; PDF стр. 15; EBITDA по сегменту 10 268,621 млн руб.</x:v>
      </x:c>
      <x:c r="BH19" s="67"/>
      <x:c r="BI19" s="67" t="str">
        <x:v>HEAD_2026H1.pdf; PDF стр. 15; аналитическая EBITDA 8 793,531 млн руб. по годовой методике эмитента</x:v>
      </x:c>
      <x:c r="BJ19" s="67" t="str">
        <x:v>Точная сумма капитализированных затрат на разработку не раскрыта; EBITDAC — н.д., ноль не подставлен.</x:v>
      </x:c>
      <x:c r="BK19" s="67"/>
      <x:c r="BL19" s="67" t="str">
        <x:v>HEAD_2026H1.pdf; PDF стр. 6, 7; прибыль собственников 6 421,123 млн руб.</x:v>
      </x:c>
      <x:c r="BM19" s="67" t="str">
        <x:v>HEAD_2026H1.pdf; PDF стр. 7; капитал собственников на 30.06.2025 5 419,800 млн руб.</x:v>
      </x:c>
      <x:c r="BN19" s="65"/>
      <x:c r="BO19" s="65"/>
      <x:c r="BP19" s="65"/>
      <x:c r="BQ19" s="65"/>
      <x:c r="BR19" s="67" t="str">
        <x:v>Полугодовая обычная EBITDA рассчитана по раскрытым компонентам и годовой методике эмитента. ЧД на 30.06.2025 не подтверждён из-за отсутствия сравнительных балансовых компонентов.</x:v>
      </x:c>
      <x:c r="BS19" s="65" t="n">
        <x:f>'Расчетные показатели'!E875</x:f>
        <x:v>1120.325</x:v>
      </x:c>
      <x:c r="BT19" s="65"/>
      <x:c r="BU19" s="65"/>
      <x:c r="BV19" s="65"/>
      <x:c r="BW19" s="65"/>
      <x:c r="BX19" s="65"/>
      <x:c r="BY19" s="65"/>
      <x:c r="BZ19" s="65"/>
      <x:c r="CA19" s="65"/>
      <x:c r="CB19" s="65"/>
      <x:c r="CC19" s="65"/>
      <x:c r="CD19" s="65" t="n">
        <x:f>'Расчетные показатели'!E874</x:f>
        <x:v>342.576</x:v>
      </x:c>
      <x:c r="CE19" s="65"/>
      <x:c r="CF19" s="65"/>
      <x:c r="CG19" s="65"/>
      <x:c r="CH19" s="65"/>
      <x:c r="CI19" s="65"/>
      <x:c r="CJ19" s="65"/>
      <x:c r="CK19" s="65"/>
      <x:c r="CL19" s="65"/>
      <x:c r="CM19" s="65"/>
      <x:c r="CN19" s="65"/>
    </x:row>
    <x:row r="20">
      <x:c r="A20"/>
      <x:c r="B20" s="3">
        <x:v>14</x:v>
      </x:c>
      <x:c r="C20" s="3" t="s">
        <x:v>89</x:v>
      </x:c>
      <x:c r="D20"/>
      <x:c r="E20" s="64" t="n">
        <x:f>'Расчетные показатели'!E1379</x:f>
        <x:v>430400</x:v>
      </x:c>
      <x:c r="F20" s="64" t="n">
        <x:f>'Расчетные показатели'!E1383</x:f>
        <x:v>542935</x:v>
      </x:c>
      <x:c r="G20" s="64"/>
      <x:c r="H20" s="64" t="n">
        <x:f>'Расчетные показатели'!E262</x:f>
        <x:v>370906</x:v>
      </x:c>
      <x:c r="I20" s="64"/>
      <x:c r="J20" s="64"/>
      <x:c r="K20" s="64"/>
      <x:c r="L20" s="64"/>
      <x:c r="M20" s="64" t="n">
        <x:f>'Расчетные показатели'!E986</x:f>
        <x:v>136077</x:v>
      </x:c>
      <x:c r="N20" s="64" t="n">
        <x:f>'Расчетные показатели'!E264</x:f>
        <x:v>7695</x:v>
      </x:c>
      <x:c r="O20" s="64" t="n">
        <x:f>'Расчетные показатели'!E265</x:f>
        <x:v>-72562</x:v>
      </x:c>
      <x:c r="P20" s="65"/>
      <x:c r="Q20" s="65"/>
      <x:c r="R20" s="64" t="n">
        <x:f>'Расчетные показатели'!E1379</x:f>
        <x:v>430400</x:v>
      </x:c>
      <x:c r="S20" s="66"/>
      <x:c r="T20" s="66"/>
      <x:c r="U20" s="66"/>
      <x:c r="V20" s="66" t="n">
        <x:f>'Расчетные показатели'!E1382</x:f>
        <x:v>112535</x:v>
      </x:c>
      <x:c r="W20" s="64" t="n">
        <x:f>R20+V20</x:f>
        <x:v>542935</x:v>
      </x:c>
      <x:c r="X20" s="64"/>
      <x:c r="Y20" s="66" t="str">
        <x:v>н.п.</x:v>
      </x:c>
      <x:c r="Z20" s="64"/>
      <x:c r="AA20" s="64"/>
      <x:c r="AB20" s="66"/>
      <x:c r="AC20" s="66"/>
      <x:c r="AD20" s="66"/>
      <x:c r="AE20" s="66"/>
      <x:c r="AF20" s="66"/>
      <x:c r="AG20" s="64"/>
      <x:c r="AH20" s="64"/>
      <x:c r="AI20" s="64" t="str">
        <x:v>н.п.</x:v>
      </x:c>
      <x:c r="AJ20" s="64"/>
      <x:c r="AK20" s="64" t="str">
        <x:v>н.п.</x:v>
      </x:c>
      <x:c r="AL20" s="64"/>
      <x:c r="AM20" s="64"/>
      <x:c r="AN20" s="64"/>
      <x:c r="AO20" s="64"/>
      <x:c r="AP20" s="64" t="n">
        <x:f>'Расчетные показатели'!E986</x:f>
        <x:v>136077</x:v>
      </x:c>
      <x:c r="AQ20" s="64"/>
      <x:c r="AR20" s="64"/>
      <x:c r="AS20" s="65"/>
      <x:c r="AT20" s="65" t="n">
        <x:f>IF(COUNT(E20,R20)=2,E20-R20,"не сверено")</x:f>
        <x:v>0</x:v>
      </x:c>
      <x:c r="AU20" s="65" t="n">
        <x:f>IF(COUNT(F20,W20)=2,F20-W20,"не сверено")</x:f>
        <x:v>0</x:v>
      </x:c>
      <x:c r="AV20" s="65" t="str">
        <x:f>IF(COUNT(G20,Y20)=2,G20-Y20,"не сверено")</x:f>
        <x:v>не сверено</x:v>
      </x:c>
      <x:c r="AW20" s="65" t="str">
        <x:f>IF(COUNT(J20,AG20)=2,J20-AG20,"не сверено")</x:f>
        <x:v>не сверено</x:v>
      </x:c>
      <x:c r="AX20" s="65" t="str">
        <x:f>IF(COUNT(K20,AI20)=2,K20-AI20,"не сверено")</x:f>
        <x:v>не сверено</x:v>
      </x:c>
      <x:c r="AY20" s="65" t="str">
        <x:f>IF(COUNT(I20,Z20)=2,I20-Z20,"не сверено")</x:f>
        <x:v>не сверено</x:v>
      </x:c>
      <x:c r="AZ20" s="65" t="str">
        <x:f>IF(COUNT(L20,AM20)=2,L20-AM20,"не сверено")</x:f>
        <x:v>не сверено</x:v>
      </x:c>
      <x:c r="BA20" s="65" t="n">
        <x:f>IF(COUNT(M20,AP20)=2,M20-AP20,"не сверено")</x:f>
        <x:v>0</x:v>
      </x:c>
      <x:c r="BB20" s="65"/>
      <x:c r="BC20" s="67" t="str">
        <x:v>430 400 млн руб.; официальный IR-релиз МТС от 19.08.2025: https://ir.mts.ru/news_and_events/corporate_releases/details/742278</x:v>
      </x:c>
      <x:c r="BD20" s="67" t="str">
        <x:v>542 935 млн руб. = 430 400 + аренда 112 535; МСФО 1П2025, стр. 4</x:v>
      </x:c>
      <x:c r="BE20" s="67"/>
      <x:c r="BF20" s="67" t="str">
        <x:v>МСФО МТС за 1П2025; выручка сверена</x:v>
      </x:c>
      <x:c r="BG20" s="67"/>
      <x:c r="BH20" s="67"/>
      <x:c r="BI20" s="67"/>
      <x:c r="BJ20" s="67"/>
      <x:c r="BK20" s="67" t="str">
        <x:v>MTSS_2026H1.pdf; сравнительные данные, стр. 16</x:v>
      </x:c>
      <x:c r="BL20" s="67" t="str">
        <x:v>МСФО МТС за 1П2025; прибыль акционеров сверена</x:v>
      </x:c>
      <x:c r="BM20" s="67" t="str">
        <x:v>МСФО МТС за 1П2025; капитал акционеров сверен</x:v>
      </x:c>
      <x:c r="BN20" s="65" t="n">
        <x:v>112535</x:v>
      </x:c>
      <x:c r="BO20" s="65" t="n">
        <x:v>27269</x:v>
      </x:c>
      <x:c r="BP20" s="65"/>
      <x:c r="BQ20" s="65" t="n">
        <x:f>O20+BO20</x:f>
        <x:v>-45293</x:v>
      </x:c>
      <x:c r="BR20" s="67" t="str">
        <x:v>OIBDA по методологии МТС. Чистый долг компании исключает обязательства по аренде; скорректированный ЧД показан отдельно с включением аренды.</x:v>
      </x:c>
      <x:c r="BS20" s="65"/>
      <x:c r="BT20" s="65"/>
      <x:c r="BU20" s="65"/>
      <x:c r="BV20" s="65"/>
      <x:c r="BW20" s="65"/>
      <x:c r="BX20" s="65"/>
      <x:c r="BY20" s="65"/>
      <x:c r="BZ20" s="65"/>
      <x:c r="CA20" s="65"/>
      <x:c r="CB20" s="65"/>
      <x:c r="CC20" s="65"/>
      <x:c r="CD20" s="65"/>
      <x:c r="CE20" s="65"/>
      <x:c r="CF20" s="65"/>
      <x:c r="CG20" s="65"/>
      <x:c r="CH20" s="65"/>
      <x:c r="CI20" s="65"/>
      <x:c r="CJ20" s="65"/>
      <x:c r="CK20" s="65"/>
      <x:c r="CL20" s="65"/>
      <x:c r="CM20" s="65"/>
      <x:c r="CN20" s="65"/>
    </x:row>
    <x:row r="21">
      <x:c r="A21"/>
      <x:c r="B21" s="3">
        <x:v>15</x:v>
      </x:c>
      <x:c r="C21" s="3" t="s">
        <x:v>91</x:v>
      </x:c>
      <x:c r="D21"/>
      <x:c r="E21" s="80" t="n">
        <x:f>'Расчетные показатели'!E1399</x:f>
        <x:v>-358800</x:v>
      </x:c>
      <x:c r="F21" s="64"/>
      <x:c r="G21" s="64"/>
      <x:c r="H21" s="64" t="n">
        <x:f>'Расчетные показатели'!E266</x:f>
        <x:v>818085</x:v>
      </x:c>
      <x:c r="I21" s="64"/>
      <x:c r="J21" s="64" t="n">
        <x:f>'Расчетные показатели'!E799</x:f>
        <x:v>93250</x:v>
      </x:c>
      <x:c r="K21" s="64"/>
      <x:c r="L21" s="64"/>
      <x:c r="M21" s="64"/>
      <x:c r="N21" s="64" t="n">
        <x:f>'Расчетные показатели'!E268</x:f>
        <x:v>81716</x:v>
      </x:c>
      <x:c r="O21" s="80" t="n">
        <x:f>'Расчетные показатели'!E1400</x:f>
        <x:v>1072669</x:v>
      </x:c>
      <x:c r="P21" s="65"/>
      <x:c r="Q21" s="65"/>
      <x:c r="R21" s="80" t="n">
        <x:f>'Расчетные показатели'!E1399</x:f>
        <x:v>-358800</x:v>
      </x:c>
      <x:c r="S21" s="66"/>
      <x:c r="T21" s="66"/>
      <x:c r="U21" s="66"/>
      <x:c r="V21" s="66"/>
      <x:c r="W21" s="64"/>
      <x:c r="X21" s="64"/>
      <x:c r="Y21" s="66" t="str">
        <x:v>н.п.</x:v>
      </x:c>
      <x:c r="Z21" s="64"/>
      <x:c r="AA21" s="64"/>
      <x:c r="AB21" s="66"/>
      <x:c r="AC21" s="66"/>
      <x:c r="AD21" s="66"/>
      <x:c r="AE21" s="66"/>
      <x:c r="AF21" s="66" t="n">
        <x:f>SUM('Расчетные показатели'!E792:E798)</x:f>
        <x:v>4194</x:v>
      </x:c>
      <x:c r="AG21" s="64" t="n">
        <x:f>'Расчетные показатели'!E799</x:f>
        <x:v>93250</x:v>
      </x:c>
      <x:c r="AH21" s="64"/>
      <x:c r="AI21" s="64" t="str">
        <x:v>н.п.</x:v>
      </x:c>
      <x:c r="AJ21" s="64"/>
      <x:c r="AK21" s="64" t="str">
        <x:v>н.п.</x:v>
      </x:c>
      <x:c r="AL21" s="64"/>
      <x:c r="AM21" s="64"/>
      <x:c r="AN21" s="64"/>
      <x:c r="AO21" s="64"/>
      <x:c r="AP21" s="64"/>
      <x:c r="AQ21" s="64"/>
      <x:c r="AR21" s="64"/>
      <x:c r="AS21" s="65"/>
      <x:c r="AT21" s="65" t="n">
        <x:f>IF(COUNT(E21,R21)=2,E21-R21,"не сверено")</x:f>
        <x:v>0</x:v>
      </x:c>
      <x:c r="AU21" s="65" t="str">
        <x:f>IF(COUNT(F21,W21)=2,F21-W21,"не сверено")</x:f>
        <x:v>не сверено</x:v>
      </x:c>
      <x:c r="AV21" s="65" t="str">
        <x:f>IF(COUNT(G21,Y21)=2,G21-Y21,"не сверено")</x:f>
        <x:v>не сверено</x:v>
      </x:c>
      <x:c r="AW21" s="65" t="n">
        <x:f>IF(COUNT(J21,AG21)=2,J21-AG21,"не сверено")</x:f>
        <x:v>0</x:v>
      </x:c>
      <x:c r="AX21" s="65" t="str">
        <x:f>IF(COUNT(K21,AI21)=2,K21-AI21,"не сверено")</x:f>
        <x:v>не сверено</x:v>
      </x:c>
      <x:c r="AY21" s="65" t="str">
        <x:f>IF(COUNT(I21,Z21)=2,I21-Z21,"не сверено")</x:f>
        <x:v>не сверено</x:v>
      </x:c>
      <x:c r="AZ21" s="65" t="str">
        <x:f>IF(COUNT(L21,AM21)=2,L21-AM21,"не сверено")</x:f>
        <x:v>не сверено</x:v>
      </x:c>
      <x:c r="BA21" s="65" t="str">
        <x:f>IF(COUNT(M21,AP21)=2,M21-AP21,"не сверено")</x:f>
        <x:v>не сверено</x:v>
      </x:c>
      <x:c r="BB21" s="65"/>
      <x:c r="BC21" s="67" t="str">
        <x:v>IFRS_MSFO_6mes2025.pdf; PDF стр. 21; опубликованный ЧД −358,8 млрд руб. на 30.06.2025</x:v>
      </x:c>
      <x:c r="BD21" s="67"/>
      <x:c r="BE21" s="67"/>
      <x:c r="BF21" s="67" t="str">
        <x:v>IRAO_2026H1.pdf; PDF стр. 6–7, 20; сравнительные выручка, прибыль акционеров и EBITDA подтверждены</x:v>
      </x:c>
      <x:c r="BG21" s="67" t="str">
        <x:v>IRAO_2026H1.pdf; PDF стр. 20; EBITDA 93 250, классифицирована как скорректированная по составу</x:v>
      </x:c>
      <x:c r="BH21" s="67"/>
      <x:c r="BI21" s="67"/>
      <x:c r="BJ21" s="67"/>
      <x:c r="BK21" s="67"/>
      <x:c r="BL21" s="67" t="str">
        <x:v>FS_RUS_6m2025.pdf; PDF стр. 5; капитал акционеров 1 072 669 и НКД 15 107</x:v>
      </x:c>
      <x:c r="BM21" s="67" t="str">
        <x:v>Общий капитал 1 087 776 = 1 072 669 + 15 107</x:v>
      </x:c>
      <x:c r="BN21" s="65"/>
      <x:c r="BO21" s="83" t="n">
        <x:f>'Расчетные показатели'!E1401</x:f>
        <x:v>15107</x:v>
      </x:c>
      <x:c r="BP21" s="65"/>
      <x:c r="BQ21" s="83" t="n">
        <x:f>O21+BO21</x:f>
        <x:v>1087776</x:v>
      </x:c>
      <x:c r="BR21" s="67" t="str">
        <x:v>ЧД раскрыт компанией округленно; обратная детализация не выдумывалась</x:v>
      </x:c>
      <x:c r="BS21" s="65"/>
      <x:c r="BT21" s="65"/>
      <x:c r="BU21" s="65"/>
      <x:c r="BV21" s="65"/>
      <x:c r="BW21" s="65"/>
      <x:c r="BX21" s="65"/>
      <x:c r="BY21" s="65"/>
      <x:c r="BZ21" s="65"/>
      <x:c r="CA21" s="65"/>
      <x:c r="CB21" s="65" t="n">
        <x:f>'Расчетные показатели'!E794</x:f>
        <x:v>1394</x:v>
      </x:c>
      <x:c r="CC21" s="65"/>
      <x:c r="CD21" s="65" t="n">
        <x:f>'Расчетные показатели'!E792</x:f>
        <x:v>1379</x:v>
      </x:c>
      <x:c r="CE21" s="65"/>
      <x:c r="CF21" s="65"/>
      <x:c r="CG21" s="65"/>
      <x:c r="CH21" s="65"/>
      <x:c r="CI21" s="65"/>
      <x:c r="CJ21" s="65"/>
      <x:c r="CK21" s="65"/>
      <x:c r="CL21" s="65"/>
      <x:c r="CM21" s="65"/>
      <x:c r="CN21" s="65"/>
    </x:row>
    <x:row r="22">
      <x:c r="A22"/>
      <x:c r="B22" s="3">
        <x:v>16</x:v>
      </x:c>
      <x:c r="C22" s="3" t="s">
        <x:v>93</x:v>
      </x:c>
      <x:c r="D22"/>
      <x:c r="E22" s="80" t="n">
        <x:f>'Расчетные показатели'!E1423</x:f>
        <x:v>1476</x:v>
      </x:c>
      <x:c r="F22" s="64"/>
      <x:c r="G22" s="64"/>
      <x:c r="H22" s="64" t="n">
        <x:f>'Расчетные показатели'!E269</x:f>
        <x:v>364210</x:v>
      </x:c>
      <x:c r="I22" s="82" t="str">
        <x:v>н.д.</x:v>
      </x:c>
      <x:c r="J22" s="64" t="n">
        <x:f>'Расчетные показатели'!E709</x:f>
        <x:v>78654</x:v>
      </x:c>
      <x:c r="K22" s="64"/>
      <x:c r="L22" s="64"/>
      <x:c r="M22" s="64"/>
      <x:c r="N22" s="64" t="n">
        <x:f>'Расчетные показатели'!E271</x:f>
        <x:v>36757</x:v>
      </x:c>
      <x:c r="O22" s="64" t="n">
        <x:f>'Расчетные показатели'!E272</x:f>
        <x:v>532087</x:v>
      </x:c>
      <x:c r="P22" s="65"/>
      <x:c r="Q22" s="65"/>
      <x:c r="R22" s="80" t="n">
        <x:f>'Расчетные показатели'!E1423</x:f>
        <x:v>1476</x:v>
      </x:c>
      <x:c r="S22" s="66"/>
      <x:c r="T22" s="66"/>
      <x:c r="U22" s="66"/>
      <x:c r="V22" s="66"/>
      <x:c r="W22" s="64"/>
      <x:c r="X22" s="64"/>
      <x:c r="Y22" s="66" t="str">
        <x:v>н.п.</x:v>
      </x:c>
      <x:c r="Z22" s="82" t="str">
        <x:v>н.д.</x:v>
      </x:c>
      <x:c r="AA22" s="64"/>
      <x:c r="AB22" s="66"/>
      <x:c r="AC22" s="66"/>
      <x:c r="AD22" s="66"/>
      <x:c r="AE22" s="66"/>
      <x:c r="AF22" s="66" t="n">
        <x:f>SUM('Расчетные показатели'!E707:E708)</x:f>
        <x:v>2452</x:v>
      </x:c>
      <x:c r="AG22" s="64" t="n">
        <x:f>'Расчетные показатели'!E709</x:f>
        <x:v>78654</x:v>
      </x:c>
      <x:c r="AH22" s="64"/>
      <x:c r="AI22" s="64" t="str">
        <x:v>н.п.</x:v>
      </x:c>
      <x:c r="AJ22" s="64"/>
      <x:c r="AK22" s="64" t="str">
        <x:v>н.п.</x:v>
      </x:c>
      <x:c r="AL22" s="64"/>
      <x:c r="AM22" s="64"/>
      <x:c r="AN22" s="64"/>
      <x:c r="AO22" s="64"/>
      <x:c r="AP22" s="64"/>
      <x:c r="AQ22" s="64"/>
      <x:c r="AR22" s="64"/>
      <x:c r="AS22" s="65"/>
      <x:c r="AT22" s="65" t="n">
        <x:f>IF(COUNT(E22,R22)=2,E22-R22,"не сверено")</x:f>
        <x:v>0</x:v>
      </x:c>
      <x:c r="AU22" s="65" t="str">
        <x:f>IF(COUNT(F22,W22)=2,F22-W22,"не сверено")</x:f>
        <x:v>не сверено</x:v>
      </x:c>
      <x:c r="AV22" s="65" t="str">
        <x:f>IF(COUNT(G22,Y22)=2,G22-Y22,"не сверено")</x:f>
        <x:v>не сверено</x:v>
      </x:c>
      <x:c r="AW22" s="65" t="n">
        <x:f>IF(COUNT(J22,AG22)=2,J22-AG22,"не сверено")</x:f>
        <x:v>0</x:v>
      </x:c>
      <x:c r="AX22" s="65" t="str">
        <x:f>IF(COUNT(K22,AI22)=2,K22-AI22,"не сверено")</x:f>
        <x:v>не сверено</x:v>
      </x:c>
      <x:c r="AY22" s="65" t="str">
        <x:f>IF(COUNT(I22,Z22)=2,I22-Z22,"не сверено")</x:f>
        <x:v>не сверено</x:v>
      </x:c>
      <x:c r="AZ22" s="65" t="str">
        <x:f>IF(COUNT(L22,AM22)=2,L22-AM22,"не сверено")</x:f>
        <x:v>не сверено</x:v>
      </x:c>
      <x:c r="BA22" s="65" t="str">
        <x:f>IF(COUNT(M22,AP22)=2,M22-AP22,"не сверено")</x:f>
        <x:v>не сверено</x:v>
      </x:c>
      <x:c r="BB22" s="65"/>
      <x:c r="BC22" s="67" t="str">
        <x:v>CHMF_2026H1.pdf; PDF стр. 14; опубликованный ЧД 1 476 на 30.06.2025</x:v>
      </x:c>
      <x:c r="BD22" s="67"/>
      <x:c r="BE22" s="67"/>
      <x:c r="BF22" s="67" t="str">
        <x:v>CHMF_2026H1.pdf; PDF стр. 9, 14; выручка, прибыль и капитал акционеров, НКД подтверждены</x:v>
      </x:c>
      <x:c r="BG22" s="67" t="str">
        <x:v>CHMF_2026H1.pdf; PDF стр. 14–15; EBITDA 78 654, скорректированная по составу</x:v>
      </x:c>
      <x:c r="BH22" s="67"/>
      <x:c r="BI22" s="67"/>
      <x:c r="BJ22" s="67"/>
      <x:c r="BK22" s="67"/>
      <x:c r="BL22" s="67" t="str">
        <x:v>Прибыль акционеров 36 757; общий совокупный доход акционеров 36 727 не использован как чистая прибыль</x:v>
      </x:c>
      <x:c r="BM22" s="67" t="str">
        <x:v>Капитал акционеров 532 087; НКД 1 153; общий капитал 533 240</x:v>
      </x:c>
      <x:c r="BN22" s="65"/>
      <x:c r="BO22" s="83" t="n">
        <x:f>'Расчетные показатели'!E1424</x:f>
        <x:v>1153</x:v>
      </x:c>
      <x:c r="BP22" s="65"/>
      <x:c r="BQ22" s="83" t="n">
        <x:f>O22+BO22</x:f>
        <x:v>533240</x:v>
      </x:c>
      <x:c r="BR22" s="67" t="str">
        <x:v>Компоненты ЧД на 30.06.2025 не раскрыты в сравнительном балансе; использован точный опубликованный итог.</x:v>
      </x:c>
      <x:c r="BS22" s="65"/>
      <x:c r="BT22" s="65"/>
      <x:c r="BU22" s="65"/>
      <x:c r="BV22" s="65"/>
      <x:c r="BW22" s="65"/>
      <x:c r="BX22" s="65"/>
      <x:c r="BY22" s="65"/>
      <x:c r="BZ22" s="65"/>
      <x:c r="CA22" s="65"/>
      <x:c r="CB22" s="65"/>
      <x:c r="CC22" s="65"/>
      <x:c r="CD22" s="65"/>
      <x:c r="CE22" s="65"/>
      <x:c r="CF22" s="65"/>
      <x:c r="CG22" s="65"/>
      <x:c r="CH22" s="65"/>
      <x:c r="CI22" s="65"/>
      <x:c r="CJ22" s="65"/>
      <x:c r="CK22" s="65"/>
      <x:c r="CL22" s="65"/>
      <x:c r="CM22" s="65"/>
      <x:c r="CN22" s="65"/>
    </x:row>
    <x:row r="23">
      <x:c r="A23"/>
      <x:c r="B23" s="3">
        <x:v>17</x:v>
      </x:c>
      <x:c r="C23" s="3" t="s">
        <x:v>94</x:v>
      </x:c>
      <x:c r="D23"/>
      <x:c r="E23" s="80" t="n">
        <x:f>'Расчетные показатели'!E1440</x:f>
        <x:v>578940.5930000001</x:v>
      </x:c>
      <x:c r="F23" s="64"/>
      <x:c r="G23" s="64"/>
      <x:c r="H23" s="64" t="n">
        <x:f>'Расчетные показатели'!E273</x:f>
        <x:v>654499.9177900553</x:v>
      </x:c>
      <x:c r="I23" s="82" t="str">
        <x:v>н.д.</x:v>
      </x:c>
      <x:c r="J23" s="64" t="n">
        <x:f>'Расчетные показатели'!E274</x:f>
        <x:v>65101.85352486188</x:v>
      </x:c>
      <x:c r="K23" s="64"/>
      <x:c r="L23" s="64"/>
      <x:c r="M23" s="64"/>
      <x:c r="N23" s="64" t="n">
        <x:f>'Расчетные показатели'!E275</x:f>
        <x:v>-7572.00702762431</x:v>
      </x:c>
      <x:c r="O23" s="80" t="n">
        <x:f>'Расчетные показатели'!E1441</x:f>
        <x:v>949782.724</x:v>
      </x:c>
      <x:c r="P23" s="65"/>
      <x:c r="Q23" s="65"/>
      <x:c r="R23" s="80" t="n">
        <x:f>'Расчетные показатели'!E1440</x:f>
        <x:v>578940.5930000001</x:v>
      </x:c>
      <x:c r="S23" s="66"/>
      <x:c r="T23" s="66"/>
      <x:c r="U23" s="66"/>
      <x:c r="V23" s="66"/>
      <x:c r="W23" s="64"/>
      <x:c r="X23" s="64"/>
      <x:c r="Y23" s="66" t="str">
        <x:v>н.п.</x:v>
      </x:c>
      <x:c r="Z23" s="82" t="str">
        <x:v>н.д.</x:v>
      </x:c>
      <x:c r="AA23" s="64"/>
      <x:c r="AB23" s="66"/>
      <x:c r="AC23" s="66"/>
      <x:c r="AD23" s="66"/>
      <x:c r="AE23" s="66"/>
      <x:c r="AF23" s="66"/>
      <x:c r="AG23" s="80" t="n">
        <x:f>'Расчетные показатели'!E1459</x:f>
        <x:v>65101.85352486188</x:v>
      </x:c>
      <x:c r="AH23" s="64"/>
      <x:c r="AI23" s="64" t="str">
        <x:v>н.п.</x:v>
      </x:c>
      <x:c r="AJ23" s="64"/>
      <x:c r="AK23" s="64" t="str">
        <x:v>н.п.</x:v>
      </x:c>
      <x:c r="AL23" s="64"/>
      <x:c r="AM23" s="64"/>
      <x:c r="AN23" s="64"/>
      <x:c r="AO23" s="64"/>
      <x:c r="AP23" s="64"/>
      <x:c r="AQ23" s="64"/>
      <x:c r="AR23" s="64"/>
      <x:c r="AS23" s="65"/>
      <x:c r="AT23" s="65" t="n">
        <x:f>IF(COUNT(E23,R23)=2,E23-R23,"не сверено")</x:f>
        <x:v>0</x:v>
      </x:c>
      <x:c r="AU23" s="65" t="str">
        <x:f>IF(COUNT(F23,W23)=2,F23-W23,"не сверено")</x:f>
        <x:v>не сверено</x:v>
      </x:c>
      <x:c r="AV23" s="65" t="str">
        <x:f>IF(COUNT(G23,Y23)=2,G23-Y23,"не сверено")</x:f>
        <x:v>не сверено</x:v>
      </x:c>
      <x:c r="AW23" s="65" t="n">
        <x:f>IF(COUNT(J23,AG23)=2,J23-AG23,"не сверено")</x:f>
        <x:v>0</x:v>
      </x:c>
      <x:c r="AX23" s="65" t="str">
        <x:f>IF(COUNT(K23,AI23)=2,K23-AI23,"не сверено")</x:f>
        <x:v>не сверено</x:v>
      </x:c>
      <x:c r="AY23" s="65" t="str">
        <x:f>IF(COUNT(I23,Z23)=2,I23-Z23,"не сверено")</x:f>
        <x:v>не сверено</x:v>
      </x:c>
      <x:c r="AZ23" s="65" t="str">
        <x:f>IF(COUNT(L23,AM23)=2,L23-AM23,"не сверено")</x:f>
        <x:v>не сверено</x:v>
      </x:c>
      <x:c r="BA23" s="65" t="str">
        <x:f>IF(COUNT(M23,AP23)=2,M23-AP23,"не сверено")</x:f>
        <x:v>не сверено</x:v>
      </x:c>
      <x:c r="BB23" s="65"/>
      <x:c r="BC23" s="67" t="str">
        <x:v>RUSAL_1H2025_press_release.pdf, PDF стр. 3; опубликованный ЧД 7 378 млн долл.; мост по МСФО стр. 8–9</x:v>
      </x:c>
      <x:c r="BD23" s="67"/>
      <x:c r="BE23" s="67"/>
      <x:c r="BF23" s="67" t="str">
        <x:v>RUAL_2026H1.pdf, PDF стр. 6; RUAL_2025H1_official.pdf, PDF стр. 9; потоки и капитал подтверждены</x:v>
      </x:c>
      <x:c r="BG23" s="67" t="str">
        <x:v>RUAL_2026H1.pdf, PDF стр. 6, 24; скорректированная EBITDA 748 млн долл.</x:v>
      </x:c>
      <x:c r="BH23" s="67"/>
      <x:c r="BI23" s="67"/>
      <x:c r="BJ23" s="67"/>
      <x:c r="BK23" s="67"/>
      <x:c r="BL23" s="67" t="str">
        <x:v>Убыток акционеров 87 млн долл.; совпадает с убытком группы</x:v>
      </x:c>
      <x:c r="BM23" s="67" t="str">
        <x:v>Капитал акционеров 12 104 млн долл.; НКД 0; общий капитал тот же</x:v>
      </x:c>
      <x:c r="BN23" s="65"/>
      <x:c r="BO23" s="83" t="n">
        <x:f>'Расчетные показатели'!E1442</x:f>
        <x:v>0</x:v>
      </x:c>
      <x:c r="BP23" s="65"/>
      <x:c r="BQ23" s="83" t="n">
        <x:f>O23+BO23</x:f>
        <x:v>949782.724</x:v>
      </x:c>
      <x:c r="BR23" s="67" t="str">
        <x:v>USD: потоки по среднему курсу ЦБ РФ 87,0345635359116; остатки на 30.06.2025 по курсу 78,4685.</x:v>
      </x:c>
      <x:c r="BS23" s="65"/>
      <x:c r="BT23" s="65"/>
      <x:c r="BU23" s="65"/>
      <x:c r="BV23" s="65"/>
      <x:c r="BW23" s="65"/>
      <x:c r="BX23" s="65"/>
      <x:c r="BY23" s="65"/>
      <x:c r="BZ23" s="65"/>
      <x:c r="CA23" s="65"/>
      <x:c r="CB23" s="65"/>
      <x:c r="CC23" s="65"/>
      <x:c r="CD23" s="65"/>
      <x:c r="CE23" s="65"/>
      <x:c r="CF23" s="65"/>
      <x:c r="CG23" s="65"/>
      <x:c r="CH23" s="65"/>
      <x:c r="CI23" s="65"/>
      <x:c r="CJ23" s="65"/>
      <x:c r="CK23" s="65"/>
      <x:c r="CL23" s="65"/>
      <x:c r="CM23" s="65"/>
      <x:c r="CN23" s="65"/>
    </x:row>
    <x:row r="24">
      <x:c r="A24"/>
      <x:c r="B24" s="3">
        <x:v>18</x:v>
      </x:c>
      <x:c r="C24" s="3" t="s">
        <x:v>95</x:v>
      </x:c>
      <x:c r="D24"/>
      <x:c r="E24" s="80" t="n">
        <x:f>'Расчетные показатели'!E1486</x:f>
        <x:v>-13102</x:v>
      </x:c>
      <x:c r="F24" s="64"/>
      <x:c r="G24" s="64"/>
      <x:c r="H24" s="64" t="n">
        <x:f>'Расчетные показатели'!E276</x:f>
        <x:v>438708</x:v>
      </x:c>
      <x:c r="I24" s="82" t="str">
        <x:v>н.д.</x:v>
      </x:c>
      <x:c r="J24" s="80" t="n">
        <x:f>'Расчетные показатели'!E1480</x:f>
        <x:v>84236</x:v>
      </x:c>
      <x:c r="K24" s="64"/>
      <x:c r="L24" s="64"/>
      <x:c r="M24" s="64"/>
      <x:c r="N24" s="64" t="n">
        <x:f>'Расчетные показатели'!E277</x:f>
        <x:v>44884</x:v>
      </x:c>
      <x:c r="O24" s="64" t="n">
        <x:f>'Расчетные показатели'!E1164</x:f>
        <x:v>865413</x:v>
      </x:c>
      <x:c r="P24" s="65"/>
      <x:c r="Q24" s="65"/>
      <x:c r="R24" s="80" t="n">
        <x:f>'Расчетные показатели'!E1486</x:f>
        <x:v>-13102</x:v>
      </x:c>
      <x:c r="S24" s="66"/>
      <x:c r="T24" s="66"/>
      <x:c r="U24" s="66"/>
      <x:c r="V24" s="66"/>
      <x:c r="W24" s="64"/>
      <x:c r="X24" s="64"/>
      <x:c r="Y24" s="66" t="str">
        <x:v>н.п.</x:v>
      </x:c>
      <x:c r="Z24" s="82" t="str">
        <x:v>н.д.</x:v>
      </x:c>
      <x:c r="AA24" s="64"/>
      <x:c r="AB24" s="66"/>
      <x:c r="AC24" s="66"/>
      <x:c r="AD24" s="66"/>
      <x:c r="AE24" s="66"/>
      <x:c r="AF24" s="66"/>
      <x:c r="AG24" s="80" t="n">
        <x:f>'Расчетные показатели'!E1480</x:f>
        <x:v>84236</x:v>
      </x:c>
      <x:c r="AH24" s="64"/>
      <x:c r="AI24" s="64" t="str">
        <x:v>н.п.</x:v>
      </x:c>
      <x:c r="AJ24" s="64"/>
      <x:c r="AK24" s="64" t="str">
        <x:v>н.п.</x:v>
      </x:c>
      <x:c r="AL24" s="64"/>
      <x:c r="AM24" s="64"/>
      <x:c r="AN24" s="64"/>
      <x:c r="AO24" s="64"/>
      <x:c r="AP24" s="64"/>
      <x:c r="AQ24" s="64"/>
      <x:c r="AR24" s="64"/>
      <x:c r="AS24" s="65"/>
      <x:c r="AT24" s="65" t="n">
        <x:f>IF(COUNT(E24,R24)=2,E24-R24,"не сверено")</x:f>
        <x:v>0</x:v>
      </x:c>
      <x:c r="AU24" s="65" t="str">
        <x:f>IF(COUNT(F24,W24)=2,F24-W24,"не сверено")</x:f>
        <x:v>не сверено</x:v>
      </x:c>
      <x:c r="AV24" s="65" t="str">
        <x:f>IF(COUNT(G24,Y24)=2,G24-Y24,"не сверено")</x:f>
        <x:v>не сверено</x:v>
      </x:c>
      <x:c r="AW24" s="65" t="n">
        <x:f>IF(COUNT(J24,AG24)=2,J24-AG24,"не сверено")</x:f>
        <x:v>0</x:v>
      </x:c>
      <x:c r="AX24" s="65" t="str">
        <x:f>IF(COUNT(K24,AI24)=2,K24-AI24,"не сверено")</x:f>
        <x:v>не сверено</x:v>
      </x:c>
      <x:c r="AY24" s="65" t="str">
        <x:f>IF(COUNT(I24,Z24)=2,I24-Z24,"не сверено")</x:f>
        <x:v>не сверено</x:v>
      </x:c>
      <x:c r="AZ24" s="65" t="str">
        <x:f>IF(COUNT(L24,AM24)=2,L24-AM24,"не сверено")</x:f>
        <x:v>не сверено</x:v>
      </x:c>
      <x:c r="BA24" s="65" t="str">
        <x:f>IF(COUNT(M24,AP24)=2,M24-AP24,"не сверено")</x:f>
        <x:v>не сверено</x:v>
      </x:c>
      <x:c r="BB24" s="65"/>
      <x:c r="BC24" s="67" t="str">
        <x:v>NLMK_2025H1_official.pdf, PDF стр. 5, 11, 13; аналитический ЧД −13 102 млн руб. по раскрытой методике</x:v>
      </x:c>
      <x:c r="BD24" s="67"/>
      <x:c r="BE24" s="67"/>
      <x:c r="BF24" s="67" t="str">
        <x:v>NLMK_2025H1_official.pdf, PDF стр. 5–6; выручка, прибыль и капитал акционеров подтверждены</x:v>
      </x:c>
      <x:c r="BG24" s="67" t="str">
        <x:v>NLMK_2025H1_official.pdf, PDF стр. 6, 9; аналитическая скорректированная EBITDA 84 236 млн руб.; опубликованный итог не найден</x:v>
      </x:c>
      <x:c r="BH24" s="67"/>
      <x:c r="BI24" s="67"/>
      <x:c r="BJ24" s="67"/>
      <x:c r="BK24" s="67"/>
      <x:c r="BL24" s="67" t="str">
        <x:v>Прибыль акционеров 44 884 млн руб.; прибыль группы 44 915 млн руб. не подменяет показатель акционеров</x:v>
      </x:c>
      <x:c r="BM24" s="67" t="str">
        <x:v>Капитал акционеров 865 413; НКД 325; общий капитал 865 738 млн руб.</x:v>
      </x:c>
      <x:c r="BN24" s="65"/>
      <x:c r="BO24" s="83" t="n">
        <x:f>'Расчетные показатели'!E1487</x:f>
        <x:v>325</x:v>
      </x:c>
      <x:c r="BP24" s="65"/>
      <x:c r="BQ24" s="83" t="n">
        <x:f>O24+BO24</x:f>
        <x:v>865738</x:v>
      </x:c>
      <x:c r="BR24" s="67" t="str">
        <x:v>ЧД и EBITDA воспроизведены по раскрытым компанией определениям; источник опубликован 20.08.2025.</x:v>
      </x:c>
      <x:c r="BS24" s="65"/>
      <x:c r="BT24" s="65"/>
      <x:c r="BU24" s="65"/>
      <x:c r="BV24" s="65"/>
      <x:c r="BW24" s="65"/>
      <x:c r="BX24" s="65"/>
      <x:c r="BY24" s="65"/>
      <x:c r="BZ24" s="65"/>
      <x:c r="CA24" s="65"/>
      <x:c r="CB24" s="65"/>
      <x:c r="CC24" s="65"/>
      <x:c r="CD24" s="65"/>
      <x:c r="CE24" s="65"/>
      <x:c r="CF24" s="65"/>
      <x:c r="CG24" s="65"/>
      <x:c r="CH24" s="65"/>
      <x:c r="CI24" s="65"/>
      <x:c r="CJ24" s="65"/>
      <x:c r="CK24" s="65"/>
      <x:c r="CL24" s="65"/>
      <x:c r="CM24" s="65"/>
      <x:c r="CN24" s="65"/>
    </x:row>
    <x:row r="25">
      <x:c r="A25"/>
      <x:c r="B25" s="3">
        <x:v>19</x:v>
      </x:c>
      <x:c r="C25" s="3" t="s">
        <x:v>96</x:v>
      </x:c>
      <x:c r="D25"/>
      <x:c r="E25" s="64"/>
      <x:c r="F25" s="64"/>
      <x:c r="G25" s="64"/>
      <x:c r="H25" s="64" t="n">
        <x:f>'Расчетные показатели'!E279</x:f>
        <x:v>298556</x:v>
      </x:c>
      <x:c r="I25" s="64" t="n">
        <x:f>'Расчетные показатели'!E1197</x:f>
        <x:v>94595</x:v>
      </x:c>
      <x:c r="J25" s="64" t="n">
        <x:f>'Расчетные показатели'!E1202</x:f>
        <x:v>115277</x:v>
      </x:c>
      <x:c r="K25" s="64"/>
      <x:c r="L25" s="64"/>
      <x:c r="M25" s="64"/>
      <x:c r="N25" s="64" t="n">
        <x:f>'Расчетные показатели'!E282</x:f>
        <x:v>75530</x:v>
      </x:c>
      <x:c r="O25" s="64"/>
      <x:c r="P25" s="65"/>
      <x:c r="Q25" s="65"/>
      <x:c r="R25" s="64"/>
      <x:c r="S25" s="66"/>
      <x:c r="T25" s="66"/>
      <x:c r="U25" s="66"/>
      <x:c r="V25" s="66"/>
      <x:c r="W25" s="64"/>
      <x:c r="X25" s="64"/>
      <x:c r="Y25" s="66" t="str">
        <x:v>н.п.</x:v>
      </x:c>
      <x:c r="Z25" s="64" t="n">
        <x:f>'Расчетные показатели'!E1197</x:f>
        <x:v>94595</x:v>
      </x:c>
      <x:c r="AA25" s="64" t="n">
        <x:f>'Расчетные показатели'!E283</x:f>
        <x:v>75542</x:v>
      </x:c>
      <x:c r="AB25" s="66" t="n">
        <x:f>'Расчетные показатели'!E284</x:f>
        <x:v>21930</x:v>
      </x:c>
      <x:c r="AC25" s="66" t="n">
        <x:f>'Расчетные показатели'!E285</x:f>
        <x:v>12651</x:v>
      </x:c>
      <x:c r="AD25" s="66" t="n">
        <x:f>'Расчетные показатели'!E286</x:f>
        <x:v>1493</x:v>
      </x:c>
      <x:c r="AE25" s="66" t="n">
        <x:f>'Расчетные показатели'!E287</x:f>
        <x:v>19749</x:v>
      </x:c>
      <x:c r="AF25" s="66" t="n">
        <x:f>SUM('Расчетные показатели'!E1201:E1201)</x:f>
        <x:v>20682</x:v>
      </x:c>
      <x:c r="AG25" s="64" t="n">
        <x:f>'Расчетные показатели'!E1202</x:f>
        <x:v>115277</x:v>
      </x:c>
      <x:c r="AH25" s="64"/>
      <x:c r="AI25" s="64" t="str">
        <x:v>н.п.</x:v>
      </x:c>
      <x:c r="AJ25" s="64"/>
      <x:c r="AK25" s="64" t="str">
        <x:v>н.п.</x:v>
      </x:c>
      <x:c r="AL25" s="64"/>
      <x:c r="AM25" s="64"/>
      <x:c r="AN25" s="64"/>
      <x:c r="AO25" s="64"/>
      <x:c r="AP25" s="64"/>
      <x:c r="AQ25" s="64"/>
      <x:c r="AR25" s="64"/>
      <x:c r="AS25" s="65"/>
      <x:c r="AT25" s="65" t="str">
        <x:f>IF(COUNT(E25,R25)=2,E25-R25,"не сверено")</x:f>
        <x:v>не сверено</x:v>
      </x:c>
      <x:c r="AU25" s="65" t="str">
        <x:f>IF(COUNT(F25,W25)=2,F25-W25,"не сверено")</x:f>
        <x:v>не сверено</x:v>
      </x:c>
      <x:c r="AV25" s="65" t="str">
        <x:f>IF(COUNT(G25,Y25)=2,G25-Y25,"не сверено")</x:f>
        <x:v>не сверено</x:v>
      </x:c>
      <x:c r="AW25" s="65" t="n">
        <x:f>IF(COUNT(J25,AG25)=2,J25-AG25,"не сверено")</x:f>
        <x:v>0</x:v>
      </x:c>
      <x:c r="AX25" s="65" t="str">
        <x:f>IF(COUNT(K25,AI25)=2,K25-AI25,"не сверено")</x:f>
        <x:v>не сверено</x:v>
      </x:c>
      <x:c r="AY25" s="65" t="n">
        <x:f>IF(COUNT(I25,Z25)=2,I25-Z25,"не сверено")</x:f>
        <x:v>0</x:v>
      </x:c>
      <x:c r="AZ25" s="65" t="str">
        <x:f>IF(COUNT(L25,AM25)=2,L25-AM25,"не сверено")</x:f>
        <x:v>не сверено</x:v>
      </x:c>
      <x:c r="BA25" s="65" t="str">
        <x:f>IF(COUNT(M25,AP25)=2,M25-AP25,"не сверено")</x:f>
        <x:v>не сверено</x:v>
      </x:c>
      <x:c r="BB25" s="65"/>
      <x:c r="BC25" s="67"/>
      <x:c r="BD25" s="67"/>
      <x:c r="BE25" s="67"/>
      <x:c r="BF25" s="67" t="str">
        <x:v>PHOR_2026H1.pdf; PDF стр. 5, 12</x:v>
      </x:c>
      <x:c r="BG25" s="67" t="str">
        <x:v>PHOR_2026H1.pdf; PDF стр. 7; расчет: строки 1199–1202</x:v>
      </x:c>
      <x:c r="BH25" s="67"/>
      <x:c r="BI25" s="67" t="str">
        <x:v>PHOR_2026H1.pdf; PDF стр. 7; расчет: строки 1195–1197</x:v>
      </x:c>
      <x:c r="BJ25" s="67"/>
      <x:c r="BK25" s="67"/>
      <x:c r="BL25" s="67" t="str">
        <x:v>PHOR_2026H1.pdf; PDF стр. 5, 8, 18</x:v>
      </x:c>
      <x:c r="BM25" s="67"/>
      <x:c r="BN25" s="65"/>
      <x:c r="BO25" s="65"/>
      <x:c r="BP25" s="65"/>
      <x:c r="BQ25" s="65"/>
      <x:c r="BR25" s="67" t="str">
        <x:v>Сравнительные потоки из отчета 1П2026; остатки 30.06.2025 требуют отдельного раскрытия. EBITDA = операционная прибыль + амортизация. Скорр. EBITDA исключает операционные курсовые разницы. Методология: https://ar2025.phosagro.ru/perfomance-review/financial-performance/ ; 1П2025: https://www.phosagro.ru/press/company/fosagro-publikuet-operatsionnye-i-finansovye-rezultaty-za-1-polugodie-2025-g/ .</x:v>
      </x:c>
      <x:c r="BS25" s="65"/>
      <x:c r="BT25" s="65"/>
      <x:c r="BU25" s="65"/>
      <x:c r="BV25" s="65"/>
      <x:c r="BW25" s="65"/>
      <x:c r="BX25" s="65"/>
      <x:c r="BY25" s="65"/>
      <x:c r="BZ25" s="65"/>
      <x:c r="CA25" s="65"/>
      <x:c r="CB25" s="65"/>
      <x:c r="CC25" s="65"/>
      <x:c r="CD25" s="65"/>
      <x:c r="CE25" s="65"/>
      <x:c r="CF25" s="65"/>
      <x:c r="CG25" s="65"/>
      <x:c r="CH25" s="65"/>
      <x:c r="CI25" s="65"/>
      <x:c r="CJ25" s="65"/>
      <x:c r="CK25" s="65"/>
      <x:c r="CL25" s="65"/>
      <x:c r="CM25" s="65"/>
      <x:c r="CN25" s="65" t="n">
        <x:f>'Расчетные показатели'!E1201</x:f>
        <x:v>20682</x:v>
      </x:c>
    </x:row>
    <x:row r="26">
      <x:c r="A26"/>
      <x:c r="B26" s="3">
        <x:v>20</x:v>
      </x:c>
      <x:c r="C26" s="3" t="s">
        <x:v>98</x:v>
      </x:c>
      <x:c r="D26"/>
      <x:c r="E26" s="80" t="n">
        <x:f>'Расчетные показатели'!E1511</x:f>
        <x:v>708484</x:v>
      </x:c>
      <x:c r="F26" s="82" t="str">
        <x:f>W26</x:f>
        <x:v>н.д.</x:v>
      </x:c>
      <x:c r="G26" s="64"/>
      <x:c r="H26" s="64" t="n">
        <x:f>'Расчетные показатели'!E288</x:f>
        <x:v>393605</x:v>
      </x:c>
      <x:c r="I26" s="82" t="str">
        <x:v>н.д.</x:v>
      </x:c>
      <x:c r="J26" s="64"/>
      <x:c r="K26" s="64"/>
      <x:c r="L26" s="64"/>
      <x:c r="M26" s="80" t="n">
        <x:f>'Расчетные показатели'!E1535</x:f>
        <x:v>154294</x:v>
      </x:c>
      <x:c r="N26" s="64" t="n">
        <x:f>'Расчетные показатели'!E290</x:f>
        <x:v>10858</x:v>
      </x:c>
      <x:c r="O26" s="82" t="str">
        <x:v>н.д.</x:v>
      </x:c>
      <x:c r="P26" s="65"/>
      <x:c r="Q26" s="65"/>
      <x:c r="R26" s="80" t="n">
        <x:f>'Расчетные показатели'!E1511</x:f>
        <x:v>708484</x:v>
      </x:c>
      <x:c r="S26" s="66"/>
      <x:c r="T26" s="66"/>
      <x:c r="U26" s="66"/>
      <x:c r="V26" s="92" t="str">
        <x:v>н.д.</x:v>
      </x:c>
      <x:c r="W26" s="82" t="str">
        <x:v>н.д.</x:v>
      </x:c>
      <x:c r="X26" s="64"/>
      <x:c r="Y26" s="66" t="str">
        <x:v>н.п.</x:v>
      </x:c>
      <x:c r="Z26" s="82" t="str">
        <x:v>н.д.</x:v>
      </x:c>
      <x:c r="AA26" s="64"/>
      <x:c r="AB26" s="66"/>
      <x:c r="AC26" s="66"/>
      <x:c r="AD26" s="66"/>
      <x:c r="AE26" s="66"/>
      <x:c r="AF26" s="66"/>
      <x:c r="AG26" s="64"/>
      <x:c r="AH26" s="64"/>
      <x:c r="AI26" s="64" t="str">
        <x:v>н.п.</x:v>
      </x:c>
      <x:c r="AJ26" s="64"/>
      <x:c r="AK26" s="64" t="str">
        <x:v>н.п.</x:v>
      </x:c>
      <x:c r="AL26" s="64"/>
      <x:c r="AM26" s="64"/>
      <x:c r="AN26" s="64"/>
      <x:c r="AO26" s="64"/>
      <x:c r="AP26" s="80" t="n">
        <x:f>'Расчетные показатели'!E1535</x:f>
        <x:v>154294</x:v>
      </x:c>
      <x:c r="AQ26" s="64"/>
      <x:c r="AR26" s="64"/>
      <x:c r="AS26" s="65"/>
      <x:c r="AT26" s="65" t="n">
        <x:f>IF(COUNT(E26,R26)=2,E26-R26,"не сверено")</x:f>
        <x:v>0</x:v>
      </x:c>
      <x:c r="AU26" s="65" t="str">
        <x:f>IF(COUNT(F26,W26)=2,F26-W26,"не сверено")</x:f>
        <x:v>не сверено</x:v>
      </x:c>
      <x:c r="AV26" s="65" t="str">
        <x:f>IF(COUNT(G26,Y26)=2,G26-Y26,"не сверено")</x:f>
        <x:v>не сверено</x:v>
      </x:c>
      <x:c r="AW26" s="65" t="str">
        <x:f>IF(COUNT(J26,AG26)=2,J26-AG26,"не сверено")</x:f>
        <x:v>не сверено</x:v>
      </x:c>
      <x:c r="AX26" s="65" t="str">
        <x:f>IF(COUNT(K26,AI26)=2,K26-AI26,"не сверено")</x:f>
        <x:v>не сверено</x:v>
      </x:c>
      <x:c r="AY26" s="65" t="str">
        <x:f>IF(COUNT(I26,Z26)=2,I26-Z26,"не сверено")</x:f>
        <x:v>не сверено</x:v>
      </x:c>
      <x:c r="AZ26" s="65" t="str">
        <x:f>IF(COUNT(L26,AM26)=2,L26-AM26,"не сверено")</x:f>
        <x:v>не сверено</x:v>
      </x:c>
      <x:c r="BA26" s="65" t="n">
        <x:f>IF(COUNT(M26,AP26)=2,M26-AP26,"не сверено")</x:f>
        <x:v>0</x:v>
      </x:c>
      <x:c r="BB26" s="65"/>
      <x:c r="BC26" s="93" t="str">
        <x:v>Официальный пресс-релиз Ростелекома от 05.08.2025; опубликованный ЧД 708 484 млн руб.</x:v>
      </x:c>
      <x:c r="BD26" s="93" t="str">
        <x:v>Раскрыт только ЧД без аренды / OIBDA 1,8x; точная сумма и компоненты на 30.06.2025 отсутствуют, обратный расчет не выполнялся.</x:v>
      </x:c>
      <x:c r="BE26" s="67"/>
      <x:c r="BF26" s="67" t="str">
        <x:v>RTKM_2026H1.pdf; PDF стр. 3, 23, 27</x:v>
      </x:c>
      <x:c r="BG26" s="67"/>
      <x:c r="BH26" s="67"/>
      <x:c r="BI26" s="93" t="str">
        <x:v>Обычная EBITDA не раскрыта; недостаточно точных компонентов для расчета по заданной формуле.</x:v>
      </x:c>
      <x:c r="BJ26" s="67"/>
      <x:c r="BK26" s="93" t="str">
        <x:v>RTKM_IR_2026H1.pdf; PDF стр. 3, 17; основной KPI OIBDA 154 294. RTKM_2026H1.pdf, стр. 27: сегментное раскрытие 154 295; разница 1 сохранена.</x:v>
      </x:c>
      <x:c r="BL26" s="93" t="str">
        <x:v>RTKM_2026H1.pdf; PDF стр. 3; прибыль акционеров 10 858</x:v>
      </x:c>
      <x:c r="BM26" s="93" t="str">
        <x:v>Сравнительный баланс на 30.06.2025 отсутствует; капитал акционеров н.д.</x:v>
      </x:c>
      <x:c r="BN26" s="65"/>
      <x:c r="BO26" s="90" t="str">
        <x:v>н.д.</x:v>
      </x:c>
      <x:c r="BP26" s="65"/>
      <x:c r="BQ26" s="90" t="str">
        <x:v>н.д.</x:v>
      </x:c>
      <x:c r="BR26" s="67" t="str">
        <x:v>Сравнительные потоки из отчета 1П2026; остатки 30.06.2025 требуют отдельного раскрытия.</x:v>
      </x:c>
      <x:c r="BS26" s="65"/>
      <x:c r="BT26" s="65"/>
      <x:c r="BU26" s="65"/>
      <x:c r="BV26" s="65"/>
      <x:c r="BW26" s="65"/>
      <x:c r="BX26" s="65"/>
      <x:c r="BY26" s="65"/>
      <x:c r="BZ26" s="65"/>
      <x:c r="CA26" s="65"/>
      <x:c r="CB26" s="65"/>
      <x:c r="CC26" s="65"/>
      <x:c r="CD26" s="65"/>
      <x:c r="CE26" s="65"/>
      <x:c r="CF26" s="65"/>
      <x:c r="CG26" s="65"/>
      <x:c r="CH26" s="65"/>
      <x:c r="CI26" s="65"/>
      <x:c r="CJ26" s="65"/>
      <x:c r="CK26" s="65"/>
      <x:c r="CL26" s="65"/>
      <x:c r="CM26" s="65"/>
      <x:c r="CN26" s="65"/>
    </x:row>
    <x:row r="27">
      <x:c r="A27"/>
      <x:c r="B27" s="3">
        <x:v>21</x:v>
      </x:c>
      <x:c r="C27" s="3" t="s">
        <x:v>99</x:v>
      </x:c>
      <x:c r="D27"/>
      <x:c r="E27" s="80" t="n">
        <x:f>'Расчетные показатели'!E1563</x:f>
        <x:v>476039</x:v>
      </x:c>
      <x:c r="F27" s="64"/>
      <x:c r="G27" s="64"/>
      <x:c r="H27" s="80" t="n">
        <x:f>'Расчетные показатели'!E1556</x:f>
        <x:v>414781</x:v>
      </x:c>
      <x:c r="I27" s="80" t="n">
        <x:f>'Расчетные показатели'!E1558</x:f>
        <x:v>141464</x:v>
      </x:c>
      <x:c r="J27" s="80" t="n">
        <x:f>'Расчетные показатели'!E1560</x:f>
        <x:v>82760</x:v>
      </x:c>
      <x:c r="K27" s="64"/>
      <x:c r="L27" s="64"/>
      <x:c r="M27" s="64"/>
      <x:c r="N27" s="80" t="n">
        <x:f>'Расчетные показатели'!E1557</x:f>
        <x:v>73098</x:v>
      </x:c>
      <x:c r="O27" s="82" t="str">
        <x:v>н.д.</x:v>
      </x:c>
      <x:c r="P27" s="65"/>
      <x:c r="Q27" s="65"/>
      <x:c r="R27" s="80" t="n">
        <x:f>'Расчетные показатели'!E1563</x:f>
        <x:v>476039</x:v>
      </x:c>
      <x:c r="S27" s="66"/>
      <x:c r="T27" s="66"/>
      <x:c r="U27" s="66"/>
      <x:c r="V27" s="66"/>
      <x:c r="W27" s="64"/>
      <x:c r="X27" s="64"/>
      <x:c r="Y27" s="66" t="str">
        <x:v>н.п.</x:v>
      </x:c>
      <x:c r="Z27" s="80" t="n">
        <x:f>I27</x:f>
        <x:v>141464</x:v>
      </x:c>
      <x:c r="AA27" s="64"/>
      <x:c r="AB27" s="66"/>
      <x:c r="AC27" s="66"/>
      <x:c r="AD27" s="66"/>
      <x:c r="AE27" s="66"/>
      <x:c r="AF27" s="66" t="n">
        <x:v>-58704</x:v>
      </x:c>
      <x:c r="AG27" s="80" t="n">
        <x:f>Z27+AF27</x:f>
        <x:v>82760</x:v>
      </x:c>
      <x:c r="AH27" s="64"/>
      <x:c r="AI27" s="64" t="str">
        <x:v>н.п.</x:v>
      </x:c>
      <x:c r="AJ27" s="64"/>
      <x:c r="AK27" s="64" t="str">
        <x:v>н.п.</x:v>
      </x:c>
      <x:c r="AL27" s="64"/>
      <x:c r="AM27" s="64"/>
      <x:c r="AN27" s="64"/>
      <x:c r="AO27" s="64"/>
      <x:c r="AP27" s="64"/>
      <x:c r="AQ27" s="64"/>
      <x:c r="AR27" s="64"/>
      <x:c r="AS27" s="65"/>
      <x:c r="AT27" s="65" t="n">
        <x:f>IF(COUNT(E27,R27)=2,E27-R27,"не сверено")</x:f>
        <x:v>0</x:v>
      </x:c>
      <x:c r="AU27" s="65" t="str">
        <x:f>IF(COUNT(F27,W27)=2,F27-W27,"не сверено")</x:f>
        <x:v>не сверено</x:v>
      </x:c>
      <x:c r="AV27" s="65" t="str">
        <x:f>IF(COUNT(G27,Y27)=2,G27-Y27,"не сверено")</x:f>
        <x:v>не сверено</x:v>
      </x:c>
      <x:c r="AW27" s="65" t="n">
        <x:f>IF(COUNT(J27,AG27)=2,J27-AG27,"не сверено")</x:f>
        <x:v>0</x:v>
      </x:c>
      <x:c r="AX27" s="65" t="str">
        <x:f>IF(COUNT(K27,AI27)=2,K27-AI27,"не сверено")</x:f>
        <x:v>не сверено</x:v>
      </x:c>
      <x:c r="AY27" s="65" t="n">
        <x:f>IF(COUNT(I27,Z27)=2,I27-Z27,"не сверено")</x:f>
        <x:v>0</x:v>
      </x:c>
      <x:c r="AZ27" s="65" t="str">
        <x:f>IF(COUNT(L27,AM27)=2,L27-AM27,"не сверено")</x:f>
        <x:v>не сверено</x:v>
      </x:c>
      <x:c r="BA27" s="65" t="str">
        <x:f>IF(COUNT(M27,AP27)=2,M27-AP27,"не сверено")</x:f>
        <x:v>не сверено</x:v>
      </x:c>
      <x:c r="BB27" s="65"/>
      <x:c r="BC27" s="67" t="str">
        <x:v>Официальный пресс-релиз Аэрофлота за 1П2025; таблица «Долговая нагрузка»; ЧД 476 039 = 579 738 − 103 699</x:v>
      </x:c>
      <x:c r="BD27" s="67"/>
      <x:c r="BE27" s="67"/>
      <x:c r="BF27" s="67" t="str">
        <x:v>AFLT_2026H1_official.pdf, PDF стр. 3; сравнительная выручка 1П2025: 414 781</x:v>
      </x:c>
      <x:c r="BG27" s="67" t="str">
        <x:v>Официальный пресс-релиз за 1П2025; скорр. EBITDA 82 760</x:v>
      </x:c>
      <x:c r="BH27" s="67"/>
      <x:c r="BI27" s="67" t="str">
        <x:v>Официальный пресс-релиз за 1П2025; EBITDA 141 464</x:v>
      </x:c>
      <x:c r="BJ27" s="67"/>
      <x:c r="BK27" s="67"/>
      <x:c r="BL27" s="67" t="str">
        <x:v>AFLT_2026H1_official.pdf, PDF стр. 3; прибыль акционеров 73 098; прибыль группы 74 314</x:v>
      </x:c>
      <x:c r="BM27" s="67" t="str">
        <x:v>н.д.: точный капитал акционеров на 30.06.2025 не подтвержден доступным первичным файлом</x:v>
      </x:c>
      <x:c r="BN27" s="83" t="n">
        <x:f>'Расчетные показатели'!E1564</x:f>
        <x:v>481147</x:v>
      </x:c>
      <x:c r="BO27" s="90" t="str">
        <x:v>н.д.</x:v>
      </x:c>
      <x:c r="BP27" s="65"/>
      <x:c r="BQ27" s="90" t="str">
        <x:v>н.д.</x:v>
      </x:c>
      <x:c r="BR27" s="67" t="str">
        <x:v>Потоки подтверждены МСФО/официальным пресс-релизом; ЧД — остаток на 30.06.2025. Капитал на 30.06.2025 оставлен н.д.; нулями не заменен. Совокупная корректировка к EBITDA −58 704 (42% базы).</x:v>
      </x:c>
      <x:c r="BS27" s="65"/>
      <x:c r="BT27" s="65"/>
      <x:c r="BU27" s="65"/>
      <x:c r="BV27" s="65"/>
      <x:c r="BW27" s="65"/>
      <x:c r="BX27" s="65"/>
      <x:c r="BY27" s="65"/>
      <x:c r="BZ27" s="65"/>
      <x:c r="CA27" s="65"/>
      <x:c r="CB27" s="65"/>
      <x:c r="CC27" s="65"/>
      <x:c r="CD27" s="65"/>
      <x:c r="CE27" s="65"/>
      <x:c r="CF27" s="65"/>
      <x:c r="CG27" s="65"/>
      <x:c r="CH27" s="65"/>
      <x:c r="CI27" s="65"/>
      <x:c r="CJ27" s="65"/>
      <x:c r="CK27" s="65"/>
      <x:c r="CL27" s="65"/>
      <x:c r="CM27" s="65"/>
      <x:c r="CN27" s="65"/>
    </x:row>
    <x:row r="28">
      <x:c r="A28"/>
      <x:c r="B28" s="3">
        <x:v>22</x:v>
      </x:c>
      <x:c r="C28" s="3" t="s">
        <x:v>101</x:v>
      </x:c>
      <x:c r="D28"/>
      <x:c r="E28" s="80" t="n">
        <x:f>'Расчетные показатели'!E1591</x:f>
        <x:v>-69676</x:v>
      </x:c>
      <x:c r="F28" s="64"/>
      <x:c r="G28" s="64"/>
      <x:c r="H28" s="80" t="n">
        <x:f>'Расчетные показатели'!E1621</x:f>
        <x:v>313515</x:v>
      </x:c>
      <x:c r="I28" s="82" t="str">
        <x:v>н.д.</x:v>
      </x:c>
      <x:c r="J28" s="80" t="n">
        <x:f>'Расчетные показатели'!E1608</x:f>
        <x:v>41785</x:v>
      </x:c>
      <x:c r="K28" s="64"/>
      <x:c r="L28" s="64"/>
      <x:c r="M28" s="64"/>
      <x:c r="N28" s="80" t="n">
        <x:f>'Расчетные показатели'!E1622</x:f>
        <x:v>5540</x:v>
      </x:c>
      <x:c r="O28" s="80" t="n">
        <x:f>'Расчетные показатели'!E1623</x:f>
        <x:v>684317</x:v>
      </x:c>
      <x:c r="P28" s="65"/>
      <x:c r="Q28" s="65"/>
      <x:c r="R28" s="80" t="n">
        <x:f>'Расчетные показатели'!E1591</x:f>
        <x:v>-69676</x:v>
      </x:c>
      <x:c r="S28" s="66" t="n">
        <x:v>40546</x:v>
      </x:c>
      <x:c r="T28" s="66" t="n">
        <x:v>4585</x:v>
      </x:c>
      <x:c r="U28" s="66" t="n">
        <x:v>31735</x:v>
      </x:c>
      <x:c r="V28" s="66"/>
      <x:c r="W28" s="64"/>
      <x:c r="X28" s="64"/>
      <x:c r="Y28" s="66" t="str">
        <x:v>н.п.</x:v>
      </x:c>
      <x:c r="Z28" s="82" t="str">
        <x:v>н.д.</x:v>
      </x:c>
      <x:c r="AA28" s="64"/>
      <x:c r="AB28" s="66"/>
      <x:c r="AC28" s="66"/>
      <x:c r="AD28" s="66"/>
      <x:c r="AE28" s="66"/>
      <x:c r="AF28" s="66" t="n">
        <x:f>SUM('Расчетные показатели'!E824:E825)</x:f>
        <x:v>-730</x:v>
      </x:c>
      <x:c r="AG28" s="80" t="n">
        <x:f>'Расчетные показатели'!E1608</x:f>
        <x:v>41785</x:v>
      </x:c>
      <x:c r="AH28" s="64"/>
      <x:c r="AI28" s="64" t="str">
        <x:v>н.п.</x:v>
      </x:c>
      <x:c r="AJ28" s="64"/>
      <x:c r="AK28" s="64" t="str">
        <x:v>н.п.</x:v>
      </x:c>
      <x:c r="AL28" s="64"/>
      <x:c r="AM28" s="64"/>
      <x:c r="AN28" s="64"/>
      <x:c r="AO28" s="64"/>
      <x:c r="AP28" s="64"/>
      <x:c r="AQ28" s="64"/>
      <x:c r="AR28" s="64"/>
      <x:c r="AS28" s="65"/>
      <x:c r="AT28" s="65" t="n">
        <x:f>IF(COUNT(E28,R28)=2,E28-R28,"не сверено")</x:f>
        <x:v>0</x:v>
      </x:c>
      <x:c r="AU28" s="65" t="str">
        <x:f>IF(COUNT(F28,W28)=2,F28-W28,"не сверено")</x:f>
        <x:v>не сверено</x:v>
      </x:c>
      <x:c r="AV28" s="65" t="str">
        <x:f>IF(COUNT(G28,Y28)=2,G28-Y28,"не сверено")</x:f>
        <x:v>не сверено</x:v>
      </x:c>
      <x:c r="AW28" s="65" t="n">
        <x:f>IF(COUNT(J28,AG28)=2,J28-AG28,"не сверено")</x:f>
        <x:v>0</x:v>
      </x:c>
      <x:c r="AX28" s="65" t="str">
        <x:f>IF(COUNT(K28,AI28)=2,K28-AI28,"не сверено")</x:f>
        <x:v>не сверено</x:v>
      </x:c>
      <x:c r="AY28" s="65" t="str">
        <x:f>IF(COUNT(I28,Z28)=2,I28-Z28,"не сверено")</x:f>
        <x:v>не сверено</x:v>
      </x:c>
      <x:c r="AZ28" s="65" t="str">
        <x:f>IF(COUNT(L28,AM28)=2,L28-AM28,"не сверено")</x:f>
        <x:v>не сверено</x:v>
      </x:c>
      <x:c r="BA28" s="65" t="str">
        <x:f>IF(COUNT(M28,AP28)=2,M28-AP28,"не сверено")</x:f>
        <x:v>не сверено</x:v>
      </x:c>
      <x:c r="BB28" s="65"/>
      <x:c r="BC28" s="67" t="str">
        <x:v>MAGN_2025_6_6M_МСФО.pdf; PDF стр. 19-20; ЧД −69 676 = 45 131 + 1 923 − 31 735 − 84 995</x:v>
      </x:c>
      <x:c r="BD28" s="67"/>
      <x:c r="BE28" s="67"/>
      <x:c r="BF28" s="67" t="str">
        <x:v>MAGN_2026H1.pdf; PDF стр. 6; сравнительная выручка 313 515</x:v>
      </x:c>
      <x:c r="BG28" s="67" t="str">
        <x:v>MAGN_2026H1.pdf; PDF стр. 14; EBITDA компании 41 785 классифицирована как скорректированная</x:v>
      </x:c>
      <x:c r="BH28" s="67"/>
      <x:c r="BI28" s="67" t="str">
        <x:v>н.д.: обычный EBITDA без дополнительных корректировок компанией не раскрыт</x:v>
      </x:c>
      <x:c r="BJ28" s="67"/>
      <x:c r="BK28" s="67"/>
      <x:c r="BL28" s="67" t="str">
        <x:v>MAGN_2026H1.pdf; PDF стр. 6, 8; прибыль акционеров 5 540; прибыль группы 5 614</x:v>
      </x:c>
      <x:c r="BM28" s="67" t="str">
        <x:v>MAGN_2026H1.pdf; PDF стр. 8; капитал акционеров 684 317; НКД 995; общий капитал 685 312</x:v>
      </x:c>
      <x:c r="BN28" s="83" t="n">
        <x:f>'Расчетные показатели'!E1588</x:f>
        <x:v>1923</x:v>
      </x:c>
      <x:c r="BO28" s="83" t="n">
        <x:f>'Расчетные показатели'!E1624</x:f>
        <x:v>995</x:v>
      </x:c>
      <x:c r="BP28" s="65"/>
      <x:c r="BQ28" s="83" t="n">
        <x:f>'Расчетные показатели'!E1625</x:f>
        <x:v>685312</x:v>
      </x:c>
      <x:c r="BR28" s="67" t="str">
        <x:v>ЧД — остаток на 30.06.2025 по первичной отчетности; включает аренду и вычитает банковские депозиты. Обычный EBITDA оставлен н.д.</x:v>
      </x:c>
      <x:c r="BS28" s="65"/>
      <x:c r="BT28" s="65"/>
      <x:c r="BU28" s="65"/>
      <x:c r="BV28" s="65"/>
      <x:c r="BW28" s="65"/>
      <x:c r="BX28" s="65"/>
      <x:c r="BY28" s="65"/>
      <x:c r="BZ28" s="65"/>
      <x:c r="CA28" s="65"/>
      <x:c r="CB28" s="65"/>
      <x:c r="CC28" s="65"/>
      <x:c r="CD28" s="65"/>
      <x:c r="CE28" s="65"/>
      <x:c r="CF28" s="65"/>
      <x:c r="CG28" s="65"/>
      <x:c r="CH28" s="65"/>
      <x:c r="CI28" s="65"/>
      <x:c r="CJ28" s="65"/>
      <x:c r="CK28" s="65"/>
      <x:c r="CL28" s="65"/>
      <x:c r="CM28" s="65"/>
      <x:c r="CN28" s="65"/>
    </x:row>
    <x:row r="29">
      <x:c r="A29"/>
      <x:c r="B29" s="3">
        <x:v>23</x:v>
      </x:c>
      <x:c r="C29" s="3" t="s">
        <x:v>102</x:v>
      </x:c>
      <x:c r="D29"/>
      <x:c r="E29" s="80" t="n">
        <x:f>'Расчетные показатели'!E1650</x:f>
        <x:v>803674.3770000001</x:v>
      </x:c>
      <x:c r="F29" s="64"/>
      <x:c r="G29" s="64"/>
      <x:c r="H29" s="80" t="n">
        <x:f>'Расчетные показатели'!E1656</x:f>
        <x:v>777914.9288839779</x:v>
      </x:c>
      <x:c r="I29" s="82" t="str">
        <x:v>н.д.</x:v>
      </x:c>
      <x:c r="J29" s="80" t="n">
        <x:f>'Расчетные показатели'!E1655</x:f>
        <x:v>133075.84764640883</x:v>
      </x:c>
      <x:c r="K29" s="64"/>
      <x:c r="L29" s="64"/>
      <x:c r="M29" s="64"/>
      <x:c r="N29" s="80" t="n">
        <x:f>'Расчетные показатели'!E1657</x:f>
        <x:v>32463.892198895028</x:v>
      </x:c>
      <x:c r="O29" s="80" t="n">
        <x:f>'Расчетные показатели'!E1659</x:f>
        <x:v>705824.1575000001</x:v>
      </x:c>
      <x:c r="P29" s="65"/>
      <x:c r="Q29" s="65"/>
      <x:c r="R29" s="80" t="n">
        <x:f>'Расчетные показатели'!E1650</x:f>
        <x:v>803674.3770000001</x:v>
      </x:c>
      <x:c r="S29" s="66"/>
      <x:c r="T29" s="66"/>
      <x:c r="U29" s="66"/>
      <x:c r="V29" s="66"/>
      <x:c r="W29" s="64"/>
      <x:c r="X29" s="64"/>
      <x:c r="Y29" s="66" t="str">
        <x:v>н.п.</x:v>
      </x:c>
      <x:c r="Z29" s="82" t="str">
        <x:v>н.д.</x:v>
      </x:c>
      <x:c r="AA29" s="64"/>
      <x:c r="AB29" s="66"/>
      <x:c r="AC29" s="66"/>
      <x:c r="AD29" s="66"/>
      <x:c r="AE29" s="66"/>
      <x:c r="AF29" s="66"/>
      <x:c r="AG29" s="80" t="n">
        <x:f>'Расчетные показатели'!E1655</x:f>
        <x:v>133075.84764640883</x:v>
      </x:c>
      <x:c r="AH29" s="64"/>
      <x:c r="AI29" s="64" t="str">
        <x:v>н.п.</x:v>
      </x:c>
      <x:c r="AJ29" s="64"/>
      <x:c r="AK29" s="64" t="str">
        <x:v>н.п.</x:v>
      </x:c>
      <x:c r="AL29" s="64"/>
      <x:c r="AM29" s="64"/>
      <x:c r="AN29" s="64"/>
      <x:c r="AO29" s="64"/>
      <x:c r="AP29" s="64"/>
      <x:c r="AQ29" s="64"/>
      <x:c r="AR29" s="64"/>
      <x:c r="AS29" s="65"/>
      <x:c r="AT29" s="65" t="n">
        <x:f>IF(COUNT(E29,R29)=2,E29-R29,"не сверено")</x:f>
        <x:v>0</x:v>
      </x:c>
      <x:c r="AU29" s="65" t="str">
        <x:f>IF(COUNT(F29,W29)=2,F29-W29,"не сверено")</x:f>
        <x:v>не сверено</x:v>
      </x:c>
      <x:c r="AV29" s="65" t="str">
        <x:f>IF(COUNT(G29,Y29)=2,G29-Y29,"не сверено")</x:f>
        <x:v>не сверено</x:v>
      </x:c>
      <x:c r="AW29" s="65" t="n">
        <x:f>IF(COUNT(J29,AG29)=2,J29-AG29,"не сверено")</x:f>
        <x:v>0</x:v>
      </x:c>
      <x:c r="AX29" s="65" t="str">
        <x:f>IF(COUNT(K29,AI29)=2,K29-AI29,"не сверено")</x:f>
        <x:v>не сверено</x:v>
      </x:c>
      <x:c r="AY29" s="65" t="str">
        <x:f>IF(COUNT(I29,Z29)=2,I29-Z29,"не сверено")</x:f>
        <x:v>не сверено</x:v>
      </x:c>
      <x:c r="AZ29" s="65" t="str">
        <x:f>IF(COUNT(L29,AM29)=2,L29-AM29,"не сверено")</x:f>
        <x:v>не сверено</x:v>
      </x:c>
      <x:c r="BA29" s="65" t="str">
        <x:f>IF(COUNT(M29,AP29)=2,M29-AP29,"не сверено")</x:f>
        <x:v>не сверено</x:v>
      </x:c>
      <x:c r="BB29" s="65"/>
      <x:c r="BC29" s="67" t="str">
        <x:v>Официальный пресс-релиз Эн+ за 1П2025; PDF стр. 1, 3; ЧД 10 242 млн долл. США; официальная МСФО стр. 8, 17: 11 621 − 1 379</x:v>
      </x:c>
      <x:c r="BD29" s="67"/>
      <x:c r="BE29" s="67"/>
      <x:c r="BF29" s="67" t="str">
        <x:v>ENPG_2026H1.pdf; PDF стр. 6, 19; сравнительная выручка 8 938 млн долл. США</x:v>
      </x:c>
      <x:c r="BG29" s="67" t="str">
        <x:v>Официальный пресс-релиз Эн+ за 1П2025; PDF стр. 2-3; скорр. EBITDA 1 529; мост ENPG_2026H1.pdf стр. 19</x:v>
      </x:c>
      <x:c r="BH29" s="67"/>
      <x:c r="BI29" s="67" t="str">
        <x:v>н.д.: обычная EBITDA без обесценения и убытка от выбытия отдельно не раскрыта</x:v>
      </x:c>
      <x:c r="BJ29" s="67"/>
      <x:c r="BK29" s="67"/>
      <x:c r="BL29" s="67" t="str">
        <x:v>ENPG_2026H1.pdf; PDF стр. 6; прибыль акционеров 373, прибыль группы 333 млн долл. США</x:v>
      </x:c>
      <x:c r="BM29" s="67" t="str">
        <x:v>Официальная МСФО Эн+ за 1П2025; PDF стр. 8, 11; капитал акционеров 8 995, НКД 5 146, общий капитал 14 141 млн долл. США</x:v>
      </x:c>
      <x:c r="BN29" s="65"/>
      <x:c r="BO29" s="83" t="n">
        <x:f>'Расчетные показатели'!E1660</x:f>
        <x:v>403798.901</x:v>
      </x:c>
      <x:c r="BP29" s="65"/>
      <x:c r="BQ29" s="83" t="n">
        <x:f>'Расчетные показатели'!E1661</x:f>
        <x:v>1109623.0585</x:v>
      </x:c>
      <x:c r="BR29" s="67" t="str">
        <x:v>USD: потоки по среднему курсу ЦБ РФ 87,0345635359116; остатки по курсу 30.06.2025 78,4685. Остатки подтверждены отдельной официальной МСФО за 1П2025.</x:v>
      </x:c>
      <x:c r="BS29" s="65"/>
      <x:c r="BT29" s="65"/>
      <x:c r="BU29" s="65"/>
      <x:c r="BV29" s="65"/>
      <x:c r="BW29" s="65"/>
      <x:c r="BX29" s="65"/>
      <x:c r="BY29" s="65"/>
      <x:c r="BZ29" s="65"/>
      <x:c r="CA29" s="65"/>
      <x:c r="CB29" s="65"/>
      <x:c r="CC29" s="65"/>
      <x:c r="CD29" s="65"/>
      <x:c r="CE29" s="65"/>
      <x:c r="CF29" s="65"/>
      <x:c r="CG29" s="65"/>
      <x:c r="CH29" s="65"/>
      <x:c r="CI29" s="65"/>
      <x:c r="CJ29" s="65"/>
      <x:c r="CK29" s="65"/>
      <x:c r="CL29" s="65"/>
      <x:c r="CM29" s="65"/>
      <x:c r="CN29" s="65"/>
    </x:row>
    <x:row r="30">
      <x:c r="A30"/>
      <x:c r="B30" s="3">
        <x:v>24</x:v>
      </x:c>
      <x:c r="C30" s="3" t="s">
        <x:v>103</x:v>
      </x:c>
      <x:c r="D30"/>
      <x:c r="E30" s="64"/>
      <x:c r="F30" s="64"/>
      <x:c r="G30" s="64"/>
      <x:c r="H30" s="64" t="n">
        <x:f>'Расчетные показатели'!E297</x:f>
        <x:v>19264.476</x:v>
      </x:c>
      <x:c r="I30" s="64" t="n">
        <x:f>'Расчетные показатели'!E298</x:f>
        <x:v>5823</x:v>
      </x:c>
      <x:c r="J30" s="64"/>
      <x:c r="K30" s="64"/>
      <x:c r="L30" s="64"/>
      <x:c r="M30" s="64"/>
      <x:c r="N30" s="64" t="n">
        <x:f>'Расчетные показатели'!E299</x:f>
        <x:v>4939.953</x:v>
      </x:c>
      <x:c r="O30" s="80" t="n">
        <x:f>'Расчетные показатели'!E1682</x:f>
        <x:v>33850.291</x:v>
      </x:c>
      <x:c r="P30" s="65"/>
      <x:c r="Q30" s="65"/>
      <x:c r="R30" s="80" t="n">
        <x:f>S30+T30-U30</x:f>
        <x:v>-389.25300000000016</x:v>
      </x:c>
      <x:c r="S30" s="81" t="n">
        <x:f>'Расчетные показатели'!E1683</x:f>
        <x:v>271.921</x:v>
      </x:c>
      <x:c r="T30" s="81" t="n">
        <x:f>'Расчетные показатели'!E1684</x:f>
        <x:v>2797.766</x:v>
      </x:c>
      <x:c r="U30" s="81" t="n">
        <x:f>'Расчетные показатели'!E1685</x:f>
        <x:v>3458.94</x:v>
      </x:c>
      <x:c r="V30" s="66"/>
      <x:c r="W30" s="64"/>
      <x:c r="X30" s="64"/>
      <x:c r="Y30" s="66" t="str">
        <x:v>н.п.</x:v>
      </x:c>
      <x:c r="Z30" s="64"/>
      <x:c r="AA30" s="64"/>
      <x:c r="AB30" s="66"/>
      <x:c r="AC30" s="66"/>
      <x:c r="AD30" s="66"/>
      <x:c r="AE30" s="66"/>
      <x:c r="AF30" s="66"/>
      <x:c r="AG30" s="64"/>
      <x:c r="AH30" s="64"/>
      <x:c r="AI30" s="64" t="str">
        <x:v>н.п.</x:v>
      </x:c>
      <x:c r="AJ30" s="64"/>
      <x:c r="AK30" s="64" t="str">
        <x:v>н.п.</x:v>
      </x:c>
      <x:c r="AL30" s="64"/>
      <x:c r="AM30" s="64"/>
      <x:c r="AN30" s="64"/>
      <x:c r="AO30" s="64"/>
      <x:c r="AP30" s="64"/>
      <x:c r="AQ30" s="64"/>
      <x:c r="AR30" s="64"/>
      <x:c r="AS30" s="65"/>
      <x:c r="AT30" s="65" t="str">
        <x:f>IF(COUNT(E30,R30)=2,E30-R30,"не сверено")</x:f>
        <x:v>не сверено</x:v>
      </x:c>
      <x:c r="AU30" s="65" t="str">
        <x:f>IF(COUNT(F30,W30)=2,F30-W30,"не сверено")</x:f>
        <x:v>не сверено</x:v>
      </x:c>
      <x:c r="AV30" s="65" t="str">
        <x:f>IF(COUNT(G30,Y30)=2,G30-Y30,"не сверено")</x:f>
        <x:v>не сверено</x:v>
      </x:c>
      <x:c r="AW30" s="65" t="str">
        <x:f>IF(COUNT(J30,AG30)=2,J30-AG30,"не сверено")</x:f>
        <x:v>не сверено</x:v>
      </x:c>
      <x:c r="AX30" s="65" t="str">
        <x:f>IF(COUNT(K30,AI30)=2,K30-AI30,"не сверено")</x:f>
        <x:v>не сверено</x:v>
      </x:c>
      <x:c r="AY30" s="65" t="str">
        <x:f>IF(COUNT(I30,Z30)=2,I30-Z30,"не сверено")</x:f>
        <x:v>не сверено</x:v>
      </x:c>
      <x:c r="AZ30" s="65" t="str">
        <x:f>IF(COUNT(L30,AM30)=2,L30-AM30,"не сверено")</x:f>
        <x:v>не сверено</x:v>
      </x:c>
      <x:c r="BA30" s="65" t="str">
        <x:f>IF(COUNT(M30,AP30)=2,M30-AP30,"не сверено")</x:f>
        <x:v>не сверено</x:v>
      </x:c>
      <x:c r="BB30" s="65"/>
      <x:c r="BC30" s="67" t="str">
        <x:v>н.д.: компания не обозначила итог как чистый долг; аналитический мост по МСФО: 271,921 + 2 797,766 − 3 458,940 = −389,253 млн руб.</x:v>
      </x:c>
      <x:c r="BD30" s="67"/>
      <x:c r="BE30" s="67"/>
      <x:c r="BF30" s="67" t="str">
        <x:v>MD Medical Group 6M 2025 IFRS; PDF стр. 17; выручка 19 264,476 млн руб.</x:v>
      </x:c>
      <x:c r="BG30" s="67"/>
      <x:c r="BH30" s="67"/>
      <x:c r="BI30" s="67" t="str">
        <x:v>Официальный пресс-релиз 6M 2025; PDF стр. 1, 3, 5; EBITDA 5 823 млн руб.</x:v>
      </x:c>
      <x:c r="BJ30" s="67"/>
      <x:c r="BK30" s="67"/>
      <x:c r="BL30" s="67" t="str">
        <x:v>MD Medical Group 6M 2025 IFRS; PDF стр. 7; прибыль акционеров 4 939,953 млн руб.</x:v>
      </x:c>
      <x:c r="BM30" s="67" t="str">
        <x:v>MD Medical Group 6M 2025 IFRS; PDF стр. 5, 7; капитал акционеров 33 850,291; НКД 215,790; всего 34 066,081 млн руб.</x:v>
      </x:c>
      <x:c r="BN30" s="65"/>
      <x:c r="BO30" s="83" t="n">
        <x:f>'Расчетные показатели'!E1686</x:f>
        <x:v>215.79</x:v>
      </x:c>
      <x:c r="BP30" s="65"/>
      <x:c r="BQ30" s="83" t="n">
        <x:f>O30+BO30</x:f>
        <x:v>34066.081</x:v>
      </x:c>
      <x:c r="BR30" s="67" t="str">
        <x:v>Выручка, прибыль и остатки подтверждены отдельной официальной МСФО за 1П2025; EBITDA — официальным пресс-релизом. E30 оставлена пустой: чистый долг компанией не раскрыт как отдельный показатель.</x:v>
      </x:c>
      <x:c r="BS30" s="65"/>
      <x:c r="BT30" s="65"/>
      <x:c r="BU30" s="65"/>
      <x:c r="BV30" s="65"/>
      <x:c r="BW30" s="65"/>
      <x:c r="BX30" s="65"/>
      <x:c r="BY30" s="65"/>
      <x:c r="BZ30" s="65"/>
      <x:c r="CA30" s="65"/>
      <x:c r="CB30" s="65"/>
      <x:c r="CC30" s="65"/>
      <x:c r="CD30" s="65"/>
      <x:c r="CE30" s="65"/>
      <x:c r="CF30" s="65"/>
      <x:c r="CG30" s="65"/>
      <x:c r="CH30" s="65"/>
      <x:c r="CI30" s="65"/>
      <x:c r="CJ30" s="65"/>
      <x:c r="CK30" s="65"/>
      <x:c r="CL30" s="65"/>
      <x:c r="CM30" s="65"/>
      <x:c r="CN30" s="65"/>
    </x:row>
    <x:row r="31">
      <x:c r="A31"/>
      <x:c r="B31" s="3">
        <x:v>25</x:v>
      </x:c>
      <x:c r="C31" s="3" t="s">
        <x:v>105</x:v>
      </x:c>
      <x:c r="D31"/>
      <x:c r="E31" s="80" t="n">
        <x:f>'Расчетные показатели'!E1699</x:f>
        <x:v>168838</x:v>
      </x:c>
      <x:c r="F31" s="64"/>
      <x:c r="G31" s="80" t="n">
        <x:f>'Расчетные показатели'!E1701</x:f>
        <x:v>69165</x:v>
      </x:c>
      <x:c r="H31" s="64" t="n">
        <x:f>'Расчетные показатели'!E300</x:f>
        <x:v>513933.284</x:v>
      </x:c>
      <x:c r="I31" s="64"/>
      <x:c r="J31" s="64" t="n">
        <x:f>'Расчетные показатели'!E657</x:f>
        <x:v>52095.445</x:v>
      </x:c>
      <x:c r="K31" s="80" t="n">
        <x:f>'Расчетные показатели'!E1702</x:f>
        <x:v>38531</x:v>
      </x:c>
      <x:c r="L31" s="64"/>
      <x:c r="M31" s="64"/>
      <x:c r="N31" s="64" t="n">
        <x:f>'Расчетные показатели'!E302</x:f>
        <x:v>14314.184</x:v>
      </x:c>
      <x:c r="O31" s="64" t="n">
        <x:f>'Расчетные показатели'!E303</x:f>
        <x:v>163301.853</x:v>
      </x:c>
      <x:c r="P31" s="65"/>
      <x:c r="Q31" s="65"/>
      <x:c r="R31" s="80" t="n">
        <x:f>S31+T31-U31+BN31</x:f>
        <x:v>168838.261</x:v>
      </x:c>
      <x:c r="S31" s="81" t="n">
        <x:f>'Расчетные показатели'!E1695</x:f>
        <x:v>56983</x:v>
      </x:c>
      <x:c r="T31" s="81" t="n">
        <x:f>'Расчетные показатели'!E1696</x:f>
        <x:v>43118</x:v>
      </x:c>
      <x:c r="U31" s="81" t="n">
        <x:f>'Расчетные показатели'!E1698</x:f>
        <x:v>30936</x:v>
      </x:c>
      <x:c r="V31" s="66"/>
      <x:c r="W31" s="64"/>
      <x:c r="X31" s="80" t="n">
        <x:f>-BN31</x:f>
        <x:v>-99673.261</x:v>
      </x:c>
      <x:c r="Y31" s="81" t="n">
        <x:f>R31+X31</x:f>
        <x:v>69165</x:v>
      </x:c>
      <x:c r="Z31" s="64"/>
      <x:c r="AA31" s="64"/>
      <x:c r="AB31" s="66"/>
      <x:c r="AC31" s="66"/>
      <x:c r="AD31" s="66"/>
      <x:c r="AE31" s="66"/>
      <x:c r="AF31" s="66" t="n">
        <x:f>SUM('Расчетные показатели'!E654:E656)</x:f>
        <x:v>20.835000000000036</x:v>
      </x:c>
      <x:c r="AG31" s="64" t="n">
        <x:f>'Расчетные показатели'!E657</x:f>
        <x:v>52095.445</x:v>
      </x:c>
      <x:c r="AH31" s="64"/>
      <x:c r="AI31" s="80" t="n">
        <x:f>'Расчетные показатели'!E1702</x:f>
        <x:v>38531</x:v>
      </x:c>
      <x:c r="AJ31" s="64"/>
      <x:c r="AK31" s="64" t="str">
        <x:v>н.п.</x:v>
      </x:c>
      <x:c r="AL31" s="64"/>
      <x:c r="AM31" s="64"/>
      <x:c r="AN31" s="64"/>
      <x:c r="AO31" s="64"/>
      <x:c r="AP31" s="64"/>
      <x:c r="AQ31" s="64"/>
      <x:c r="AR31" s="64"/>
      <x:c r="AS31" s="65"/>
      <x:c r="AT31" s="65" t="n">
        <x:f>IF(COUNT(E31,R31)=2,E31-R31,"не сверено")</x:f>
        <x:v>-0.260999999998603</x:v>
      </x:c>
      <x:c r="AU31" s="65" t="str">
        <x:f>IF(COUNT(F31,W31)=2,F31-W31,"не сверено")</x:f>
        <x:v>не сверено</x:v>
      </x:c>
      <x:c r="AV31" s="65" t="n">
        <x:f>IF(COUNT(G31,Y31)=2,G31-Y31,"не сверено")</x:f>
        <x:v>0</x:v>
      </x:c>
      <x:c r="AW31" s="65" t="n">
        <x:f>IF(COUNT(J31,AG31)=2,J31-AG31,"не сверено")</x:f>
        <x:v>0</x:v>
      </x:c>
      <x:c r="AX31" s="65" t="n">
        <x:f>IF(COUNT(K31,AI31)=2,K31-AI31,"не сверено")</x:f>
        <x:v>0</x:v>
      </x:c>
      <x:c r="AY31" s="65" t="str">
        <x:f>IF(COUNT(I31,Z31)=2,I31-Z31,"не сверено")</x:f>
        <x:v>не сверено</x:v>
      </x:c>
      <x:c r="AZ31" s="65" t="str">
        <x:f>IF(COUNT(L31,AM31)=2,L31-AM31,"не сверено")</x:f>
        <x:v>не сверено</x:v>
      </x:c>
      <x:c r="BA31" s="65" t="str">
        <x:f>IF(COUNT(M31,AP31)=2,M31-AP31,"не сверено")</x:f>
        <x:v>не сверено</x:v>
      </x:c>
      <x:c r="BB31" s="65"/>
      <x:c r="BC31" s="67" t="str">
        <x:v>Официальный IR 1П2025: опубликованный ЧД IFRS 16 168 838; точный мост 168 838,261 = 56 983 + 43 118 + 99 673,261 − 30 936</x:v>
      </x:c>
      <x:c r="BD31" s="67"/>
      <x:c r="BE31" s="67" t="str">
        <x:v>Официальный IR 1П2025: ЧД до IFRS 16 69 165 = 56 983 + 43 118 − 30 936</x:v>
      </x:c>
      <x:c r="BF31" s="67" t="str">
        <x:v>LENT_2026H1.pdf; PDF стр. 7; сравнительная выручка 513 933,284</x:v>
      </x:c>
      <x:c r="BG31" s="67" t="str">
        <x:v>LENT_2026H1.pdf; PDF стр. 24; EBITDA IFRS 16 52 095,445; классифицирована как скорректированная</x:v>
      </x:c>
      <x:c r="BH31" s="67" t="str">
        <x:v>https://www.lentagroup.ru/upload/iblock/cab/wecovlatbzf7qym5zfu40lie7ps1lx5l/7dbd7e9f-9099-49e0-b040-8fa6e7c7954a.pdf; EBITDA до IFRS 16 38 531</x:v>
      </x:c>
      <x:c r="BI31" s="67"/>
      <x:c r="BJ31" s="67"/>
      <x:c r="BK31" s="67"/>
      <x:c r="BL31" s="67" t="str">
        <x:v>LENT_2026H1.pdf; PDF стр. 7; прибыль акционеров и группы 14 314,184</x:v>
      </x:c>
      <x:c r="BM31" s="67" t="str">
        <x:v>LENT_2026H1.pdf; PDF стр. 9; капитал акционеров и группы 163 301,853; НКД отсутствует</x:v>
      </x:c>
      <x:c r="BN31" s="83" t="n">
        <x:f>'Расчетные показатели'!E1697</x:f>
        <x:v>99673.261</x:v>
      </x:c>
      <x:c r="BO31" s="83" t="n">
        <x:f>'Расчетные показатели'!E1703</x:f>
        <x:v>0</x:v>
      </x:c>
      <x:c r="BP31" s="65"/>
      <x:c r="BQ31" s="83" t="n">
        <x:f>'Расчетные показатели'!E1704</x:f>
        <x:v>163301.853</x:v>
      </x:c>
      <x:c r="BR31" s="67" t="str">
        <x:v>Потоки — сравнительные данные МСФО 1П2026. Компания отдельно раскрывает EBITDA и ЧД до применения IFRS 16. Разница 0,261 млн руб. между опубликованным ЧД IFRS 16 и точным мостом оставлена видимой как округление.</x:v>
      </x:c>
      <x:c r="BS31" s="65"/>
      <x:c r="BT31" s="65"/>
      <x:c r="BU31" s="65"/>
      <x:c r="BV31" s="65"/>
      <x:c r="BW31" s="65"/>
      <x:c r="BX31" s="65"/>
      <x:c r="BY31" s="65"/>
      <x:c r="BZ31" s="65"/>
      <x:c r="CA31" s="65"/>
      <x:c r="CB31" s="65"/>
      <x:c r="CC31" s="65"/>
      <x:c r="CD31" s="65"/>
      <x:c r="CE31" s="65"/>
      <x:c r="CF31" s="65"/>
      <x:c r="CG31" s="65"/>
      <x:c r="CH31" s="65"/>
      <x:c r="CI31" s="65"/>
      <x:c r="CJ31" s="65"/>
      <x:c r="CK31" s="65"/>
      <x:c r="CL31" s="65"/>
      <x:c r="CM31" s="65"/>
      <x:c r="CN31" s="65"/>
    </x:row>
    <x:row r="32">
      <x:c r="A32"/>
      <x:c r="B32" s="3">
        <x:v>26</x:v>
      </x:c>
      <x:c r="C32" s="3" t="s">
        <x:v>106</x:v>
      </x:c>
      <x:c r="D32"/>
      <x:c r="E32" s="64"/>
      <x:c r="F32" s="64"/>
      <x:c r="G32" s="64"/>
      <x:c r="H32" s="64" t="n">
        <x:f>'Расчетные показатели'!E304</x:f>
        <x:v>53429</x:v>
      </x:c>
      <x:c r="I32" s="64"/>
      <x:c r="J32" s="64"/>
      <x:c r="K32" s="64"/>
      <x:c r="L32" s="64"/>
      <x:c r="M32" s="64"/>
      <x:c r="N32" s="64" t="n">
        <x:f>'Расчетные показатели'!E305</x:f>
        <x:v>-35869</x:v>
      </x:c>
      <x:c r="O32" s="64" t="n">
        <x:f>'Расчетные показатели'!E306</x:f>
        <x:v>370573</x:v>
      </x:c>
      <x:c r="P32" s="65"/>
      <x:c r="Q32" s="65"/>
      <x:c r="R32" s="64"/>
      <x:c r="S32" s="66"/>
      <x:c r="T32" s="66"/>
      <x:c r="U32" s="66"/>
      <x:c r="V32" s="66"/>
      <x:c r="W32" s="64"/>
      <x:c r="X32" s="64"/>
      <x:c r="Y32" s="66" t="str">
        <x:v>н.п.</x:v>
      </x:c>
      <x:c r="Z32" s="64"/>
      <x:c r="AA32" s="64"/>
      <x:c r="AB32" s="66"/>
      <x:c r="AC32" s="66"/>
      <x:c r="AD32" s="66"/>
      <x:c r="AE32" s="66"/>
      <x:c r="AF32" s="66"/>
      <x:c r="AG32" s="64"/>
      <x:c r="AH32" s="64"/>
      <x:c r="AI32" s="64" t="str">
        <x:v>н.п.</x:v>
      </x:c>
      <x:c r="AJ32" s="64"/>
      <x:c r="AK32" s="64" t="str">
        <x:v>н.п.</x:v>
      </x:c>
      <x:c r="AL32" s="64"/>
      <x:c r="AM32" s="64"/>
      <x:c r="AN32" s="64"/>
      <x:c r="AO32" s="64"/>
      <x:c r="AP32" s="64"/>
      <x:c r="AQ32" s="64"/>
      <x:c r="AR32" s="64"/>
      <x:c r="AS32" s="65"/>
      <x:c r="AT32" s="65" t="str">
        <x:f>IF(COUNT(E32,R32)=2,E32-R32,"не сверено")</x:f>
        <x:v>не сверено</x:v>
      </x:c>
      <x:c r="AU32" s="65" t="str">
        <x:f>IF(COUNT(F32,W32)=2,F32-W32,"не сверено")</x:f>
        <x:v>не сверено</x:v>
      </x:c>
      <x:c r="AV32" s="65" t="str">
        <x:f>IF(COUNT(G32,Y32)=2,G32-Y32,"не сверено")</x:f>
        <x:v>не сверено</x:v>
      </x:c>
      <x:c r="AW32" s="65" t="str">
        <x:f>IF(COUNT(J32,AG32)=2,J32-AG32,"не сверено")</x:f>
        <x:v>не сверено</x:v>
      </x:c>
      <x:c r="AX32" s="65" t="str">
        <x:f>IF(COUNT(K32,AI32)=2,K32-AI32,"не сверено")</x:f>
        <x:v>не сверено</x:v>
      </x:c>
      <x:c r="AY32" s="65" t="str">
        <x:f>IF(COUNT(I32,Z32)=2,I32-Z32,"не сверено")</x:f>
        <x:v>не сверено</x:v>
      </x:c>
      <x:c r="AZ32" s="65" t="str">
        <x:f>IF(COUNT(L32,AM32)=2,L32-AM32,"не сверено")</x:f>
        <x:v>не сверено</x:v>
      </x:c>
      <x:c r="BA32" s="65" t="str">
        <x:f>IF(COUNT(M32,AP32)=2,M32-AP32,"не сверено")</x:f>
        <x:v>не сверено</x:v>
      </x:c>
      <x:c r="BB32" s="65"/>
      <x:c r="BC32" s="67"/>
      <x:c r="BD32" s="67"/>
      <x:c r="BE32" s="67"/>
      <x:c r="BF32" s="67" t="str">
        <x:v>FLOT_2026H1.pdf; PDF стр. 5</x:v>
      </x:c>
      <x:c r="BG32" s="67"/>
      <x:c r="BH32" s="67"/>
      <x:c r="BI32" s="67"/>
      <x:c r="BJ32" s="67"/>
      <x:c r="BK32" s="67"/>
      <x:c r="BL32" s="67" t="str">
        <x:v>FLOT_2026H1.pdf; PDF стр. 5, 8</x:v>
      </x:c>
      <x:c r="BM32" s="67" t="str">
        <x:v>FLOT_2026H1.pdf; PDF стр. 8</x:v>
      </x:c>
      <x:c r="BN32" s="65"/>
      <x:c r="BO32" s="65"/>
      <x:c r="BP32" s="65"/>
      <x:c r="BQ32" s="65"/>
      <x:c r="BR32" s="67" t="str">
        <x:v>Сравнительные потоки из отчета 1П2026; остатки 30.06.2025 требуют отдельного раскрытия.</x:v>
      </x:c>
      <x:c r="BS32" s="65"/>
      <x:c r="BT32" s="65"/>
      <x:c r="BU32" s="65"/>
      <x:c r="BV32" s="65"/>
      <x:c r="BW32" s="65"/>
      <x:c r="BX32" s="65"/>
      <x:c r="BY32" s="65"/>
      <x:c r="BZ32" s="65"/>
      <x:c r="CA32" s="65"/>
      <x:c r="CB32" s="65"/>
      <x:c r="CC32" s="65"/>
      <x:c r="CD32" s="65"/>
      <x:c r="CE32" s="65"/>
      <x:c r="CF32" s="65"/>
      <x:c r="CG32" s="65"/>
      <x:c r="CH32" s="65"/>
      <x:c r="CI32" s="65"/>
      <x:c r="CJ32" s="65"/>
      <x:c r="CK32" s="65"/>
      <x:c r="CL32" s="65"/>
      <x:c r="CM32" s="65"/>
      <x:c r="CN32" s="65"/>
    </x:row>
    <x:row r="33">
      <x:c r="A33"/>
      <x:c r="B33" s="3">
        <x:v>27</x:v>
      </x:c>
      <x:c r="C33" s="3" t="s">
        <x:v>108</x:v>
      </x:c>
      <x:c r="D33"/>
      <x:c r="E33" s="64"/>
      <x:c r="F33" s="64"/>
      <x:c r="G33" s="64"/>
      <x:c r="H33" s="64"/>
      <x:c r="I33" s="64"/>
      <x:c r="J33" s="64"/>
      <x:c r="K33" s="64"/>
      <x:c r="L33" s="64"/>
      <x:c r="M33" s="64"/>
      <x:c r="N33" s="64" t="n">
        <x:f>'Расчетные показатели'!E307</x:f>
        <x:v>24652</x:v>
      </x:c>
      <x:c r="O33" s="64"/>
      <x:c r="P33" s="65"/>
      <x:c r="Q33" s="65"/>
      <x:c r="R33" s="64"/>
      <x:c r="S33" s="66"/>
      <x:c r="T33" s="66"/>
      <x:c r="U33" s="66"/>
      <x:c r="V33" s="66"/>
      <x:c r="W33" s="64"/>
      <x:c r="X33" s="64"/>
      <x:c r="Y33" s="66" t="str">
        <x:v>н.п.</x:v>
      </x:c>
      <x:c r="Z33" s="64"/>
      <x:c r="AA33" s="64"/>
      <x:c r="AB33" s="66"/>
      <x:c r="AC33" s="66"/>
      <x:c r="AD33" s="66"/>
      <x:c r="AE33" s="66"/>
      <x:c r="AF33" s="66"/>
      <x:c r="AG33" s="64"/>
      <x:c r="AH33" s="64"/>
      <x:c r="AI33" s="64" t="str">
        <x:v>н.п.</x:v>
      </x:c>
      <x:c r="AJ33" s="64"/>
      <x:c r="AK33" s="64" t="str">
        <x:v>н.п.</x:v>
      </x:c>
      <x:c r="AL33" s="64"/>
      <x:c r="AM33" s="64"/>
      <x:c r="AN33" s="64"/>
      <x:c r="AO33" s="64"/>
      <x:c r="AP33" s="64"/>
      <x:c r="AQ33" s="64"/>
      <x:c r="AR33" s="64"/>
      <x:c r="AS33" s="65"/>
      <x:c r="AT33" s="65" t="str">
        <x:f>IF(COUNT(E33,R33)=2,E33-R33,"не сверено")</x:f>
        <x:v>не сверено</x:v>
      </x:c>
      <x:c r="AU33" s="65" t="str">
        <x:f>IF(COUNT(F33,W33)=2,F33-W33,"не сверено")</x:f>
        <x:v>не сверено</x:v>
      </x:c>
      <x:c r="AV33" s="65" t="str">
        <x:f>IF(COUNT(G33,Y33)=2,G33-Y33,"не сверено")</x:f>
        <x:v>не сверено</x:v>
      </x:c>
      <x:c r="AW33" s="65" t="str">
        <x:f>IF(COUNT(J33,AG33)=2,J33-AG33,"не сверено")</x:f>
        <x:v>не сверено</x:v>
      </x:c>
      <x:c r="AX33" s="65" t="str">
        <x:f>IF(COUNT(K33,AI33)=2,K33-AI33,"не сверено")</x:f>
        <x:v>не сверено</x:v>
      </x:c>
      <x:c r="AY33" s="65" t="str">
        <x:f>IF(COUNT(I33,Z33)=2,I33-Z33,"не сверено")</x:f>
        <x:v>не сверено</x:v>
      </x:c>
      <x:c r="AZ33" s="65" t="str">
        <x:f>IF(COUNT(L33,AM33)=2,L33-AM33,"не сверено")</x:f>
        <x:v>не сверено</x:v>
      </x:c>
      <x:c r="BA33" s="65" t="str">
        <x:f>IF(COUNT(M33,AP33)=2,M33-AP33,"не сверено")</x:f>
        <x:v>не сверено</x:v>
      </x:c>
      <x:c r="BB33" s="65"/>
      <x:c r="BC33" s="67"/>
      <x:c r="BD33" s="67"/>
      <x:c r="BE33" s="67"/>
      <x:c r="BF33" s="67"/>
      <x:c r="BG33" s="67"/>
      <x:c r="BH33" s="67"/>
      <x:c r="BI33" s="67"/>
      <x:c r="BJ33" s="67"/>
      <x:c r="BK33" s="67"/>
      <x:c r="BL33" s="67" t="str">
        <x:v>BSPB_2026H1.pdf; PDF стр. 6, 8, 41</x:v>
      </x:c>
      <x:c r="BM33" s="67"/>
      <x:c r="BN33" s="65"/>
      <x:c r="BO33" s="65"/>
      <x:c r="BP33" s="65"/>
      <x:c r="BQ33" s="65"/>
      <x:c r="BR33" s="67" t="str">
        <x:v>Сравнительные потоки из отчета 1П2026; остатки 30.06.2025 требуют отдельного раскрытия. Банк: обычная выручка и EBITDA неприменимы; банковский аналог выручки не выбран.</x:v>
      </x:c>
      <x:c r="BS33" s="65"/>
      <x:c r="BT33" s="65"/>
      <x:c r="BU33" s="65"/>
      <x:c r="BV33" s="65"/>
      <x:c r="BW33" s="65"/>
      <x:c r="BX33" s="65"/>
      <x:c r="BY33" s="65"/>
      <x:c r="BZ33" s="65"/>
      <x:c r="CA33" s="65"/>
      <x:c r="CB33" s="65"/>
      <x:c r="CC33" s="65"/>
      <x:c r="CD33" s="65"/>
      <x:c r="CE33" s="65"/>
      <x:c r="CF33" s="65"/>
      <x:c r="CG33" s="65"/>
      <x:c r="CH33" s="65"/>
      <x:c r="CI33" s="65"/>
      <x:c r="CJ33" s="65"/>
      <x:c r="CK33" s="65"/>
      <x:c r="CL33" s="65"/>
      <x:c r="CM33" s="65"/>
      <x:c r="CN33" s="65"/>
    </x:row>
    <x:row r="34">
      <x:c r="A34"/>
      <x:c r="B34" s="3">
        <x:v>28</x:v>
      </x:c>
      <x:c r="C34" s="3" t="s">
        <x:v>109</x:v>
      </x:c>
      <x:c r="D34"/>
      <x:c r="E34" s="64"/>
      <x:c r="F34" s="64"/>
      <x:c r="G34" s="64"/>
      <x:c r="H34" s="64" t="n">
        <x:f>'Расчетные показатели'!E308</x:f>
        <x:v>134257</x:v>
      </x:c>
      <x:c r="I34" s="64"/>
      <x:c r="J34" s="64" t="n">
        <x:f>'Расчетные показатели'!E309</x:f>
        <x:v>37095</x:v>
      </x:c>
      <x:c r="K34" s="64"/>
      <x:c r="L34" s="64"/>
      <x:c r="M34" s="64"/>
      <x:c r="N34" s="64" t="n">
        <x:f>'Расчетные показатели'!E310</x:f>
        <x:v>40616</x:v>
      </x:c>
      <x:c r="O34" s="64" t="n">
        <x:f>'Расчетные показатели'!E311</x:f>
        <x:v>410537</x:v>
      </x:c>
      <x:c r="P34" s="65"/>
      <x:c r="Q34" s="65"/>
      <x:c r="R34" s="64"/>
      <x:c r="S34" s="66"/>
      <x:c r="T34" s="66"/>
      <x:c r="U34" s="66"/>
      <x:c r="V34" s="66"/>
      <x:c r="W34" s="64"/>
      <x:c r="X34" s="64"/>
      <x:c r="Y34" s="66" t="str">
        <x:v>н.п.</x:v>
      </x:c>
      <x:c r="Z34" s="64"/>
      <x:c r="AA34" s="64"/>
      <x:c r="AB34" s="66"/>
      <x:c r="AC34" s="66"/>
      <x:c r="AD34" s="66"/>
      <x:c r="AE34" s="66"/>
      <x:c r="AF34" s="66"/>
      <x:c r="AG34" s="64"/>
      <x:c r="AH34" s="64"/>
      <x:c r="AI34" s="64" t="str">
        <x:v>н.п.</x:v>
      </x:c>
      <x:c r="AJ34" s="64"/>
      <x:c r="AK34" s="64" t="str">
        <x:v>н.п.</x:v>
      </x:c>
      <x:c r="AL34" s="64"/>
      <x:c r="AM34" s="64"/>
      <x:c r="AN34" s="64"/>
      <x:c r="AO34" s="64"/>
      <x:c r="AP34" s="64"/>
      <x:c r="AQ34" s="64"/>
      <x:c r="AR34" s="64"/>
      <x:c r="AS34" s="65"/>
      <x:c r="AT34" s="65" t="str">
        <x:f>IF(COUNT(E34,R34)=2,E34-R34,"не сверено")</x:f>
        <x:v>не сверено</x:v>
      </x:c>
      <x:c r="AU34" s="65" t="str">
        <x:f>IF(COUNT(F34,W34)=2,F34-W34,"не сверено")</x:f>
        <x:v>не сверено</x:v>
      </x:c>
      <x:c r="AV34" s="65" t="str">
        <x:f>IF(COUNT(G34,Y34)=2,G34-Y34,"не сверено")</x:f>
        <x:v>не сверено</x:v>
      </x:c>
      <x:c r="AW34" s="65" t="str">
        <x:f>IF(COUNT(J34,AG34)=2,J34-AG34,"не сверено")</x:f>
        <x:v>не сверено</x:v>
      </x:c>
      <x:c r="AX34" s="65" t="str">
        <x:f>IF(COUNT(K34,AI34)=2,K34-AI34,"не сверено")</x:f>
        <x:v>не сверено</x:v>
      </x:c>
      <x:c r="AY34" s="65" t="str">
        <x:f>IF(COUNT(I34,Z34)=2,I34-Z34,"не сверено")</x:f>
        <x:v>не сверено</x:v>
      </x:c>
      <x:c r="AZ34" s="65" t="str">
        <x:f>IF(COUNT(L34,AM34)=2,L34-AM34,"не сверено")</x:f>
        <x:v>не сверено</x:v>
      </x:c>
      <x:c r="BA34" s="65" t="str">
        <x:f>IF(COUNT(M34,AP34)=2,M34-AP34,"не сверено")</x:f>
        <x:v>не сверено</x:v>
      </x:c>
      <x:c r="BB34" s="65"/>
      <x:c r="BC34" s="67"/>
      <x:c r="BD34" s="67"/>
      <x:c r="BE34" s="67"/>
      <x:c r="BF34" s="67" t="str">
        <x:v>ALRS_2026H1.pdf; PDF стр. 7, 27, 39</x:v>
      </x:c>
      <x:c r="BG34" s="67" t="str">
        <x:v>ALRS_2026H1.pdf; PDF стр. 14</x:v>
      </x:c>
      <x:c r="BH34" s="67"/>
      <x:c r="BI34" s="67"/>
      <x:c r="BJ34" s="67"/>
      <x:c r="BK34" s="67"/>
      <x:c r="BL34" s="67" t="str">
        <x:v>ALRS_2026H1.pdf; PDF стр. 7, 9</x:v>
      </x:c>
      <x:c r="BM34" s="67" t="str">
        <x:v>ALRS_2026H1.pdf; PDF стр. 9</x:v>
      </x:c>
      <x:c r="BN34" s="65"/>
      <x:c r="BO34" s="65"/>
      <x:c r="BP34" s="65"/>
      <x:c r="BQ34" s="65"/>
      <x:c r="BR34" s="67" t="str">
        <x:v>Компания называет EBITDA; содержит дополнительные корректировки, в базе — скорр. EBITDA. Сравнительные потоки из отчета 1П2026; остатки 30.06.2025 требуют отдельного раскрытия.</x:v>
      </x:c>
      <x:c r="BS34" s="65"/>
      <x:c r="BT34" s="65"/>
      <x:c r="BU34" s="65"/>
      <x:c r="BV34" s="65"/>
      <x:c r="BW34" s="65"/>
      <x:c r="BX34" s="65"/>
      <x:c r="BY34" s="65"/>
      <x:c r="BZ34" s="65"/>
      <x:c r="CA34" s="65"/>
      <x:c r="CB34" s="65"/>
      <x:c r="CC34" s="65"/>
      <x:c r="CD34" s="65"/>
      <x:c r="CE34" s="65"/>
      <x:c r="CF34" s="65"/>
      <x:c r="CG34" s="65"/>
      <x:c r="CH34" s="65"/>
      <x:c r="CI34" s="65"/>
      <x:c r="CJ34" s="65"/>
      <x:c r="CK34" s="65"/>
      <x:c r="CL34" s="65"/>
      <x:c r="CM34" s="65"/>
      <x:c r="CN34" s="65"/>
    </x:row>
    <x:row r="35">
      <x:c r="A35"/>
      <x:c r="B35" s="3">
        <x:v>29</x:v>
      </x:c>
      <x:c r="C35" s="3" t="s">
        <x:v>110</x:v>
      </x:c>
      <x:c r="D35"/>
      <x:c r="E35" s="64"/>
      <x:c r="F35" s="64"/>
      <x:c r="G35" s="64"/>
      <x:c r="H35" s="64" t="n">
        <x:f>'Расчетные показатели'!E312</x:f>
        <x:v>6906</x:v>
      </x:c>
      <x:c r="I35" s="64"/>
      <x:c r="J35" s="64" t="n">
        <x:f>'Расчетные показатели'!E1176</x:f>
        <x:v>1618</x:v>
      </x:c>
      <x:c r="K35" s="64"/>
      <x:c r="L35" s="64" t="str">
        <x:f>AK35</x:f>
        <x:v>н.д.</x:v>
      </x:c>
      <x:c r="M35" s="64"/>
      <x:c r="N35" s="64" t="n">
        <x:f>'Расчетные показатели'!E314</x:f>
        <x:v>929</x:v>
      </x:c>
      <x:c r="O35" s="64" t="n">
        <x:f>'Расчетные показатели'!E1168</x:f>
        <x:v>10371</x:v>
      </x:c>
      <x:c r="P35" s="65"/>
      <x:c r="Q35" s="65"/>
      <x:c r="R35" s="64"/>
      <x:c r="S35" s="66"/>
      <x:c r="T35" s="66"/>
      <x:c r="U35" s="66"/>
      <x:c r="V35" s="66"/>
      <x:c r="W35" s="64"/>
      <x:c r="X35" s="64"/>
      <x:c r="Y35" s="66" t="str">
        <x:v>н.п.</x:v>
      </x:c>
      <x:c r="Z35" s="64"/>
      <x:c r="AA35" s="64"/>
      <x:c r="AB35" s="66"/>
      <x:c r="AC35" s="66"/>
      <x:c r="AD35" s="66"/>
      <x:c r="AE35" s="66"/>
      <x:c r="AF35" s="66" t="n">
        <x:f>SUM('Расчетные показатели'!E1173:E1175)</x:f>
        <x:v>815</x:v>
      </x:c>
      <x:c r="AG35" s="64" t="n">
        <x:f>'Расчетные показатели'!E1176</x:f>
        <x:v>1618</x:v>
      </x:c>
      <x:c r="AH35" s="64"/>
      <x:c r="AI35" s="64" t="str">
        <x:v>н.п.</x:v>
      </x:c>
      <x:c r="AJ35" s="64"/>
      <x:c r="AK35" s="64" t="str">
        <x:v>н.д.</x:v>
      </x:c>
      <x:c r="AL35" s="64"/>
      <x:c r="AM35" s="64"/>
      <x:c r="AN35" s="64"/>
      <x:c r="AO35" s="64"/>
      <x:c r="AP35" s="64"/>
      <x:c r="AQ35" s="64"/>
      <x:c r="AR35" s="64"/>
      <x:c r="AS35" s="65"/>
      <x:c r="AT35" s="65" t="str">
        <x:f>IF(COUNT(E35,R35)=2,E35-R35,"не сверено")</x:f>
        <x:v>не сверено</x:v>
      </x:c>
      <x:c r="AU35" s="65" t="str">
        <x:f>IF(COUNT(F35,W35)=2,F35-W35,"не сверено")</x:f>
        <x:v>не сверено</x:v>
      </x:c>
      <x:c r="AV35" s="65" t="str">
        <x:f>IF(COUNT(G35,Y35)=2,G35-Y35,"не сверено")</x:f>
        <x:v>не сверено</x:v>
      </x:c>
      <x:c r="AW35" s="65" t="n">
        <x:f>IF(COUNT(J35,AG35)=2,J35-AG35,"не сверено")</x:f>
        <x:v>0</x:v>
      </x:c>
      <x:c r="AX35" s="65" t="str">
        <x:f>IF(COUNT(K35,AI35)=2,K35-AI35,"не сверено")</x:f>
        <x:v>не сверено</x:v>
      </x:c>
      <x:c r="AY35" s="65" t="str">
        <x:f>IF(COUNT(I35,Z35)=2,I35-Z35,"не сверено")</x:f>
        <x:v>не сверено</x:v>
      </x:c>
      <x:c r="AZ35" s="65" t="str">
        <x:f>IF(COUNT(L35,AM35)=2,L35-AM35,"не сверено")</x:f>
        <x:v>не сверено</x:v>
      </x:c>
      <x:c r="BA35" s="65" t="str">
        <x:f>IF(COUNT(M35,AP35)=2,M35-AP35,"не сверено")</x:f>
        <x:v>не сверено</x:v>
      </x:c>
      <x:c r="BB35" s="65"/>
      <x:c r="BC35" s="67"/>
      <x:c r="BD35" s="67"/>
      <x:c r="BE35" s="67"/>
      <x:c r="BF35" s="67" t="str">
        <x:v>CNRU_2026H1.pdf; PDF стр. 12</x:v>
      </x:c>
      <x:c r="BG35" s="67" t="str">
        <x:v>CNRU_2026H1.pdf; PDF стр. 12; расчет: строки 1170–1176</x:v>
      </x:c>
      <x:c r="BH35" s="67"/>
      <x:c r="BI35" s="67"/>
      <x:c r="BJ35" s="67" t="str">
        <x:v>Нужны раскрытые капитализированные затраты для аналитического EBITDAC. Нули не подставлены.</x:v>
      </x:c>
      <x:c r="BK35" s="67"/>
      <x:c r="BL35" s="67" t="str">
        <x:v>CNRU_2026H1.pdf; страница не подтверждена</x:v>
      </x:c>
      <x:c r="BM35" s="67" t="str">
        <x:v>CNRU_2026H1.pdf; PDF стр. 6; расчет: строки 1166–1168</x:v>
      </x:c>
      <x:c r="BN35" s="65"/>
      <x:c r="BO35" s="65"/>
      <x:c r="BP35" s="65"/>
      <x:c r="BQ35" s="65"/>
      <x:c r="BR35" s="67" t="str">
        <x:v>Сравнительные потоки из отчета 1П2026; остатки 30.06.2025 требуют отдельного раскрытия.</x:v>
      </x:c>
      <x:c r="BS35" s="65" t="n">
        <x:f>'Расчетные показатели'!E1175</x:f>
        <x:v>88</x:v>
      </x:c>
      <x:c r="BT35" s="65"/>
      <x:c r="BU35" s="65"/>
      <x:c r="BV35" s="65"/>
      <x:c r="BW35" s="65"/>
      <x:c r="BX35" s="65"/>
      <x:c r="BY35" s="65"/>
      <x:c r="BZ35" s="65"/>
      <x:c r="CA35" s="65"/>
      <x:c r="CB35" s="65"/>
      <x:c r="CC35" s="65"/>
      <x:c r="CD35" s="65" t="n">
        <x:f>'Расчетные показатели'!E1173</x:f>
        <x:v>577</x:v>
      </x:c>
      <x:c r="CE35" s="65"/>
      <x:c r="CF35" s="65"/>
      <x:c r="CG35" s="65"/>
      <x:c r="CH35" s="65"/>
      <x:c r="CI35" s="65"/>
      <x:c r="CJ35" s="65"/>
      <x:c r="CK35" s="65"/>
      <x:c r="CL35" s="65"/>
      <x:c r="CM35" s="65" t="n">
        <x:f>'Расчетные показатели'!E1174</x:f>
        <x:v>150</x:v>
      </x:c>
      <x:c r="CN35" s="65"/>
    </x:row>
    <x:row r="36">
      <x:c r="A36"/>
      <x:c r="B36" s="3">
        <x:v>30</x:v>
      </x:c>
      <x:c r="C36" s="3" t="s">
        <x:v>111</x:v>
      </x:c>
      <x:c r="D36"/>
      <x:c r="E36" s="64"/>
      <x:c r="F36" s="64"/>
      <x:c r="G36" s="64"/>
      <x:c r="H36" s="64" t="n">
        <x:f>'Расчетные показатели'!E316</x:f>
        <x:v>600748</x:v>
      </x:c>
      <x:c r="I36" s="64"/>
      <x:c r="J36" s="64"/>
      <x:c r="K36" s="64"/>
      <x:c r="L36" s="64"/>
      <x:c r="M36" s="64"/>
      <x:c r="N36" s="64" t="n">
        <x:f>'Расчетные показатели'!E317</x:f>
        <x:v>-70254</x:v>
      </x:c>
      <x:c r="O36" s="64" t="n">
        <x:f>'Расчетные показатели'!E318</x:f>
        <x:v>-52935</x:v>
      </x:c>
      <x:c r="P36" s="65"/>
      <x:c r="Q36" s="65"/>
      <x:c r="R36" s="64"/>
      <x:c r="S36" s="66"/>
      <x:c r="T36" s="66"/>
      <x:c r="U36" s="66"/>
      <x:c r="V36" s="66"/>
      <x:c r="W36" s="64"/>
      <x:c r="X36" s="64"/>
      <x:c r="Y36" s="66" t="str">
        <x:v>н.п.</x:v>
      </x:c>
      <x:c r="Z36" s="64"/>
      <x:c r="AA36" s="64"/>
      <x:c r="AB36" s="66"/>
      <x:c r="AC36" s="66"/>
      <x:c r="AD36" s="66"/>
      <x:c r="AE36" s="66"/>
      <x:c r="AF36" s="66"/>
      <x:c r="AG36" s="64"/>
      <x:c r="AH36" s="64"/>
      <x:c r="AI36" s="64" t="str">
        <x:v>н.п.</x:v>
      </x:c>
      <x:c r="AJ36" s="64"/>
      <x:c r="AK36" s="64" t="str">
        <x:v>н.п.</x:v>
      </x:c>
      <x:c r="AL36" s="64"/>
      <x:c r="AM36" s="64"/>
      <x:c r="AN36" s="64" t="n">
        <x:f>'Расчетные показатели'!E319</x:f>
        <x:v>92559</x:v>
      </x:c>
      <x:c r="AO36" s="64" t="n">
        <x:f>'Расчетные показатели'!E320</x:f>
        <x:v>87908</x:v>
      </x:c>
      <x:c r="AP36" s="64"/>
      <x:c r="AQ36" s="64"/>
      <x:c r="AR36" s="64"/>
      <x:c r="AS36" s="65"/>
      <x:c r="AT36" s="65" t="str">
        <x:f>IF(COUNT(E36,R36)=2,E36-R36,"не сверено")</x:f>
        <x:v>не сверено</x:v>
      </x:c>
      <x:c r="AU36" s="65" t="str">
        <x:f>IF(COUNT(F36,W36)=2,F36-W36,"не сверено")</x:f>
        <x:v>не сверено</x:v>
      </x:c>
      <x:c r="AV36" s="65" t="str">
        <x:f>IF(COUNT(G36,Y36)=2,G36-Y36,"не сверено")</x:f>
        <x:v>не сверено</x:v>
      </x:c>
      <x:c r="AW36" s="65" t="str">
        <x:f>IF(COUNT(J36,AG36)=2,J36-AG36,"не сверено")</x:f>
        <x:v>не сверено</x:v>
      </x:c>
      <x:c r="AX36" s="65" t="str">
        <x:f>IF(COUNT(K36,AI36)=2,K36-AI36,"не сверено")</x:f>
        <x:v>не сверено</x:v>
      </x:c>
      <x:c r="AY36" s="65" t="str">
        <x:f>IF(COUNT(I36,Z36)=2,I36-Z36,"не сверено")</x:f>
        <x:v>не сверено</x:v>
      </x:c>
      <x:c r="AZ36" s="65" t="str">
        <x:f>IF(COUNT(L36,AM36)=2,L36-AM36,"не сверено")</x:f>
        <x:v>не сверено</x:v>
      </x:c>
      <x:c r="BA36" s="65" t="str">
        <x:f>IF(COUNT(M36,AP36)=2,M36-AP36,"не сверено")</x:f>
        <x:v>не сверено</x:v>
      </x:c>
      <x:c r="BB36" s="65"/>
      <x:c r="BC36" s="67"/>
      <x:c r="BD36" s="67"/>
      <x:c r="BE36" s="67"/>
      <x:c r="BF36" s="67" t="str">
        <x:v>AFKS_2026H1.pdf; PDF стр. 5, 16, 19, 35</x:v>
      </x:c>
      <x:c r="BG36" s="67"/>
      <x:c r="BH36" s="67"/>
      <x:c r="BI36" s="67"/>
      <x:c r="BJ36" s="67"/>
      <x:c r="BK36" s="67"/>
      <x:c r="BL36" s="67" t="str">
        <x:v>AFKS_2026H1.pdf; PDF стр. 5, 9</x:v>
      </x:c>
      <x:c r="BM36" s="67" t="str">
        <x:v>AFKS_2026H1.pdf; PDF стр. 9</x:v>
      </x:c>
      <x:c r="BN36" s="65"/>
      <x:c r="BO36" s="65"/>
      <x:c r="BP36" s="65"/>
      <x:c r="BQ36" s="65"/>
      <x:c r="BR36" s="67" t="str">
        <x:v>Сравнительные потоки из отчета 1П2026; остатки 30.06.2025 требуют отдельного раскрытия.</x:v>
      </x:c>
      <x:c r="BS36" s="65"/>
      <x:c r="BT36" s="65"/>
      <x:c r="BU36" s="65"/>
      <x:c r="BV36" s="65"/>
      <x:c r="BW36" s="65"/>
      <x:c r="BX36" s="65"/>
      <x:c r="BY36" s="65"/>
      <x:c r="BZ36" s="65"/>
      <x:c r="CA36" s="65"/>
      <x:c r="CB36" s="65"/>
      <x:c r="CC36" s="65"/>
      <x:c r="CD36" s="65"/>
      <x:c r="CE36" s="65"/>
      <x:c r="CF36" s="65"/>
      <x:c r="CG36" s="65"/>
      <x:c r="CH36" s="65"/>
      <x:c r="CI36" s="65"/>
      <x:c r="CJ36" s="65"/>
      <x:c r="CK36" s="65"/>
      <x:c r="CL36" s="65"/>
      <x:c r="CM36" s="65"/>
      <x:c r="CN36" s="65"/>
    </x:row>
    <x:row r="37">
      <x:c r="A37"/>
      <x:c r="B37" s="3">
        <x:v>31</x:v>
      </x:c>
      <x:c r="C37" s="3" t="s">
        <x:v>113</x:v>
      </x:c>
      <x:c r="D37"/>
      <x:c r="E37" s="64"/>
      <x:c r="F37" s="64"/>
      <x:c r="G37" s="64"/>
      <x:c r="H37" s="64" t="n">
        <x:f>'Расчетные показатели'!E321</x:f>
        <x:v>44156</x:v>
      </x:c>
      <x:c r="I37" s="64"/>
      <x:c r="J37" s="64" t="n">
        <x:f>'Расчетные показатели'!E628</x:f>
        <x:v>15360</x:v>
      </x:c>
      <x:c r="K37" s="64"/>
      <x:c r="L37" s="64"/>
      <x:c r="M37" s="64"/>
      <x:c r="N37" s="64" t="n">
        <x:f>'Расчетные показатели'!E323</x:f>
        <x:v>7295</x:v>
      </x:c>
      <x:c r="O37" s="64" t="n">
        <x:f>'Расчетные показатели'!E324</x:f>
        <x:v>55314</x:v>
      </x:c>
      <x:c r="P37" s="65"/>
      <x:c r="Q37" s="65"/>
      <x:c r="R37" s="64"/>
      <x:c r="S37" s="66"/>
      <x:c r="T37" s="66"/>
      <x:c r="U37" s="66"/>
      <x:c r="V37" s="66"/>
      <x:c r="W37" s="64"/>
      <x:c r="X37" s="64"/>
      <x:c r="Y37" s="66" t="str">
        <x:v>н.п.</x:v>
      </x:c>
      <x:c r="Z37" s="64"/>
      <x:c r="AA37" s="64"/>
      <x:c r="AB37" s="66"/>
      <x:c r="AC37" s="66"/>
      <x:c r="AD37" s="66"/>
      <x:c r="AE37" s="66"/>
      <x:c r="AF37" s="66" t="n">
        <x:f>SUM('Расчетные показатели'!E624:E627)</x:f>
        <x:v>-4069</x:v>
      </x:c>
      <x:c r="AG37" s="64" t="n">
        <x:f>'Расчетные показатели'!E628</x:f>
        <x:v>15360</x:v>
      </x:c>
      <x:c r="AH37" s="64"/>
      <x:c r="AI37" s="64" t="str">
        <x:v>н.п.</x:v>
      </x:c>
      <x:c r="AJ37" s="64"/>
      <x:c r="AK37" s="64" t="str">
        <x:v>н.п.</x:v>
      </x:c>
      <x:c r="AL37" s="64"/>
      <x:c r="AM37" s="64"/>
      <x:c r="AN37" s="64"/>
      <x:c r="AO37" s="64"/>
      <x:c r="AP37" s="64"/>
      <x:c r="AQ37" s="64"/>
      <x:c r="AR37" s="64"/>
      <x:c r="AS37" s="65"/>
      <x:c r="AT37" s="65" t="str">
        <x:f>IF(COUNT(E37,R37)=2,E37-R37,"не сверено")</x:f>
        <x:v>не сверено</x:v>
      </x:c>
      <x:c r="AU37" s="65" t="str">
        <x:f>IF(COUNT(F37,W37)=2,F37-W37,"не сверено")</x:f>
        <x:v>не сверено</x:v>
      </x:c>
      <x:c r="AV37" s="65" t="str">
        <x:f>IF(COUNT(G37,Y37)=2,G37-Y37,"не сверено")</x:f>
        <x:v>не сверено</x:v>
      </x:c>
      <x:c r="AW37" s="65" t="n">
        <x:f>IF(COUNT(J37,AG37)=2,J37-AG37,"не сверено")</x:f>
        <x:v>0</x:v>
      </x:c>
      <x:c r="AX37" s="65" t="str">
        <x:f>IF(COUNT(K37,AI37)=2,K37-AI37,"не сверено")</x:f>
        <x:v>не сверено</x:v>
      </x:c>
      <x:c r="AY37" s="65" t="str">
        <x:f>IF(COUNT(I37,Z37)=2,I37-Z37,"не сверено")</x:f>
        <x:v>не сверено</x:v>
      </x:c>
      <x:c r="AZ37" s="65" t="str">
        <x:f>IF(COUNT(L37,AM37)=2,L37-AM37,"не сверено")</x:f>
        <x:v>не сверено</x:v>
      </x:c>
      <x:c r="BA37" s="65" t="str">
        <x:f>IF(COUNT(M37,AP37)=2,M37-AP37,"не сверено")</x:f>
        <x:v>не сверено</x:v>
      </x:c>
      <x:c r="BB37" s="65"/>
      <x:c r="BC37" s="67"/>
      <x:c r="BD37" s="67"/>
      <x:c r="BE37" s="67"/>
      <x:c r="BF37" s="67" t="str">
        <x:v>UGLD_2026H1.pdf; PDF стр. 6, 14, 15</x:v>
      </x:c>
      <x:c r="BG37" s="67" t="str">
        <x:v>UGLD_2026H1.pdf; PDF стр. 14; расчет: строки 621–628</x:v>
      </x:c>
      <x:c r="BH37" s="67"/>
      <x:c r="BI37" s="67"/>
      <x:c r="BJ37" s="67"/>
      <x:c r="BK37" s="67"/>
      <x:c r="BL37" s="67" t="str">
        <x:v>UGLD_2026H1.pdf; PDF стр. 6, 8, 25</x:v>
      </x:c>
      <x:c r="BM37" s="67" t="str">
        <x:v>UGLD_2026H1.pdf; PDF стр. 8</x:v>
      </x:c>
      <x:c r="BN37" s="65"/>
      <x:c r="BO37" s="65"/>
      <x:c r="BP37" s="65"/>
      <x:c r="BQ37" s="65"/>
      <x:c r="BR37" s="67" t="str">
        <x:v>Сравнительные потоки из отчета 1П2026; остатки 30.06.2025 требуют отдельного раскрытия.</x:v>
      </x:c>
      <x:c r="BS37" s="65"/>
      <x:c r="BT37" s="65"/>
      <x:c r="BU37" s="65"/>
      <x:c r="BV37" s="65" t="n">
        <x:f>'Расчетные показатели'!E624</x:f>
        <x:v>-6646</x:v>
      </x:c>
      <x:c r="BW37" s="65"/>
      <x:c r="BX37" s="65"/>
      <x:c r="BY37" s="65"/>
      <x:c r="BZ37" s="65"/>
      <x:c r="CA37" s="65"/>
      <x:c r="CB37" s="65"/>
      <x:c r="CC37" s="65"/>
      <x:c r="CD37" s="65"/>
      <x:c r="CE37" s="65"/>
      <x:c r="CF37" s="65"/>
      <x:c r="CG37" s="65"/>
      <x:c r="CH37" s="65"/>
      <x:c r="CI37" s="65"/>
      <x:c r="CJ37" s="65"/>
      <x:c r="CK37" s="65"/>
      <x:c r="CL37" s="65"/>
      <x:c r="CM37" s="65"/>
      <x:c r="CN37" s="65"/>
    </x:row>
    <x:row r="38">
      <x:c r="A38"/>
      <x:c r="B38" s="3">
        <x:v>32</x:v>
      </x:c>
      <x:c r="C38" s="3" t="s">
        <x:v>114</x:v>
      </x:c>
      <x:c r="D38"/>
      <x:c r="E38" s="64"/>
      <x:c r="F38" s="64"/>
      <x:c r="G38" s="64"/>
      <x:c r="H38" s="64" t="n">
        <x:f>'Расчетные показатели'!E325</x:f>
        <x:v>6756.954</x:v>
      </x:c>
      <x:c r="I38" s="64"/>
      <x:c r="J38" s="64" t="n">
        <x:f>'Расчетные показатели'!E326</x:f>
        <x:v>-2484.348</x:v>
      </x:c>
      <x:c r="K38" s="64"/>
      <x:c r="L38" s="64" t="n">
        <x:f>AM38</x:f>
        <x:v>-5782.57</x:v>
      </x:c>
      <x:c r="M38" s="64"/>
      <x:c r="N38" s="64" t="n">
        <x:f>'Расчетные показатели'!E328</x:f>
        <x:v>-5015.402</x:v>
      </x:c>
      <x:c r="O38" s="64"/>
      <x:c r="P38" s="65"/>
      <x:c r="Q38" s="65"/>
      <x:c r="R38" s="64"/>
      <x:c r="S38" s="66"/>
      <x:c r="T38" s="66"/>
      <x:c r="U38" s="66"/>
      <x:c r="V38" s="66"/>
      <x:c r="W38" s="64"/>
      <x:c r="X38" s="64"/>
      <x:c r="Y38" s="66" t="str">
        <x:v>н.п.</x:v>
      </x:c>
      <x:c r="Z38" s="64"/>
      <x:c r="AA38" s="64"/>
      <x:c r="AB38" s="66"/>
      <x:c r="AC38" s="66"/>
      <x:c r="AD38" s="66"/>
      <x:c r="AE38" s="66"/>
      <x:c r="AF38" s="66"/>
      <x:c r="AG38" s="64"/>
      <x:c r="AH38" s="64"/>
      <x:c r="AI38" s="64" t="str">
        <x:v>н.п.</x:v>
      </x:c>
      <x:c r="AJ38" s="64" t="n">
        <x:f>'Расчетные показатели'!E329</x:f>
        <x:v>3563.826</x:v>
      </x:c>
      <x:c r="AK38" s="64" t="n">
        <x:f>J38-AJ38</x:f>
        <x:v>-6048.174</x:v>
      </x:c>
      <x:c r="AL38" s="64" t="n">
        <x:f>'Расчетные показатели'!E330</x:f>
        <x:v>265.604</x:v>
      </x:c>
      <x:c r="AM38" s="64" t="n">
        <x:f>AK38+AL38</x:f>
        <x:v>-5782.57</x:v>
      </x:c>
      <x:c r="AN38" s="64"/>
      <x:c r="AO38" s="64"/>
      <x:c r="AP38" s="64"/>
      <x:c r="AQ38" s="64"/>
      <x:c r="AR38" s="64"/>
      <x:c r="AS38" s="65"/>
      <x:c r="AT38" s="65" t="str">
        <x:f>IF(COUNT(E38,R38)=2,E38-R38,"не сверено")</x:f>
        <x:v>не сверено</x:v>
      </x:c>
      <x:c r="AU38" s="65" t="str">
        <x:f>IF(COUNT(F38,W38)=2,F38-W38,"не сверено")</x:f>
        <x:v>не сверено</x:v>
      </x:c>
      <x:c r="AV38" s="65" t="str">
        <x:f>IF(COUNT(G38,Y38)=2,G38-Y38,"не сверено")</x:f>
        <x:v>не сверено</x:v>
      </x:c>
      <x:c r="AW38" s="65" t="str">
        <x:f>IF(COUNT(J38,AG38)=2,J38-AG38,"не сверено")</x:f>
        <x:v>не сверено</x:v>
      </x:c>
      <x:c r="AX38" s="65" t="str">
        <x:f>IF(COUNT(K38,AI38)=2,K38-AI38,"не сверено")</x:f>
        <x:v>не сверено</x:v>
      </x:c>
      <x:c r="AY38" s="65" t="str">
        <x:f>IF(COUNT(I38,Z38)=2,I38-Z38,"не сверено")</x:f>
        <x:v>не сверено</x:v>
      </x:c>
      <x:c r="AZ38" s="65" t="n">
        <x:f>IF(COUNT(L38,AM38)=2,L38-AM38,"не сверено")</x:f>
        <x:v>0</x:v>
      </x:c>
      <x:c r="BA38" s="65" t="str">
        <x:f>IF(COUNT(M38,AP38)=2,M38-AP38,"не сверено")</x:f>
        <x:v>не сверено</x:v>
      </x:c>
      <x:c r="BB38" s="65"/>
      <x:c r="BC38" s="67"/>
      <x:c r="BD38" s="67"/>
      <x:c r="BE38" s="67"/>
      <x:c r="BF38" s="67" t="str">
        <x:v>POSI_2026H1.pdf; PDF стр. 5, 13</x:v>
      </x:c>
      <x:c r="BG38" s="67" t="str">
        <x:v>POSI_2026H1.pdf; PDF стр. 13</x:v>
      </x:c>
      <x:c r="BH38" s="67"/>
      <x:c r="BI38" s="67"/>
      <x:c r="BJ38" s="67" t="str">
        <x:v>POSI_2026H1.pdf; PDF стр. 13; расчет: строки 974–977</x:v>
      </x:c>
      <x:c r="BK38" s="67"/>
      <x:c r="BL38" s="67" t="str">
        <x:v>POSI_2026H1.pdf; PDF стр. 5, 7</x:v>
      </x:c>
      <x:c r="BM38" s="67"/>
      <x:c r="BN38" s="65"/>
      <x:c r="BO38" s="65"/>
      <x:c r="BP38" s="65"/>
      <x:c r="BQ38" s="65"/>
      <x:c r="BR38" s="67" t="str">
        <x:v>Компания называет EBITDA; содержит дополнительные корректировки, в базе — скорр. EBITDA. Сравнительные потоки из отчета 1П2026; остатки 30.06.2025 требуют отдельного раскрытия. ЧД компании исключает аренду и вычитает банковские депозиты. EBITDAC включает отгрузки и капитализацию.</x:v>
      </x:c>
      <x:c r="BS38" s="65"/>
      <x:c r="BT38" s="65"/>
      <x:c r="BU38" s="65"/>
      <x:c r="BV38" s="65"/>
      <x:c r="BW38" s="65"/>
      <x:c r="BX38" s="65"/>
      <x:c r="BY38" s="65"/>
      <x:c r="BZ38" s="65"/>
      <x:c r="CA38" s="65"/>
      <x:c r="CB38" s="65"/>
      <x:c r="CC38" s="65"/>
      <x:c r="CD38" s="65"/>
      <x:c r="CE38" s="65"/>
      <x:c r="CF38" s="65" t="n">
        <x:f>'Расчетные показатели'!E975</x:f>
        <x:v>-3563.826</x:v>
      </x:c>
      <x:c r="CG38" s="65" t="n">
        <x:f>'Расчетные показатели'!E976</x:f>
        <x:v>265.604</x:v>
      </x:c>
      <x:c r="CH38" s="65"/>
      <x:c r="CI38" s="65"/>
      <x:c r="CJ38" s="65"/>
      <x:c r="CK38" s="65"/>
      <x:c r="CL38" s="65"/>
      <x:c r="CM38" s="65"/>
      <x:c r="CN38" s="65"/>
    </x:row>
    <x:row r="39">
      <x:c r="A39"/>
      <x:c r="B39" s="3">
        <x:v>33</x:v>
      </x:c>
      <x:c r="C39" s="3" t="s">
        <x:v>115</x:v>
      </x:c>
      <x:c r="D39"/>
      <x:c r="E39" s="64"/>
      <x:c r="F39" s="64"/>
      <x:c r="G39" s="64"/>
      <x:c r="H39" s="64" t="n">
        <x:f>'Расчетные показатели'!E331</x:f>
        <x:v>72567</x:v>
      </x:c>
      <x:c r="I39" s="64"/>
      <x:c r="J39" s="64" t="n">
        <x:f>'Расчетные показатели'!E751</x:f>
        <x:v>10441</x:v>
      </x:c>
      <x:c r="K39" s="64"/>
      <x:c r="L39" s="64" t="str">
        <x:f>AK39</x:f>
        <x:v>н.д.</x:v>
      </x:c>
      <x:c r="M39" s="64"/>
      <x:c r="N39" s="64" t="n">
        <x:f>'Расчетные показатели'!E333</x:f>
        <x:v>-12853</x:v>
      </x:c>
      <x:c r="O39" s="64" t="n">
        <x:f>'Расчетные показатели'!E334</x:f>
        <x:v>143378</x:v>
      </x:c>
      <x:c r="P39" s="65"/>
      <x:c r="Q39" s="65"/>
      <x:c r="R39" s="64"/>
      <x:c r="S39" s="66"/>
      <x:c r="T39" s="66"/>
      <x:c r="U39" s="66"/>
      <x:c r="V39" s="66"/>
      <x:c r="W39" s="64"/>
      <x:c r="X39" s="64"/>
      <x:c r="Y39" s="66" t="str">
        <x:v>н.п.</x:v>
      </x:c>
      <x:c r="Z39" s="64"/>
      <x:c r="AA39" s="64"/>
      <x:c r="AB39" s="66"/>
      <x:c r="AC39" s="66"/>
      <x:c r="AD39" s="66"/>
      <x:c r="AE39" s="66"/>
      <x:c r="AF39" s="66" t="n">
        <x:f>SUM('Расчетные показатели'!E740:E750)</x:f>
        <x:v>-11019</x:v>
      </x:c>
      <x:c r="AG39" s="64" t="n">
        <x:f>'Расчетные показатели'!E751</x:f>
        <x:v>10441</x:v>
      </x:c>
      <x:c r="AH39" s="64"/>
      <x:c r="AI39" s="64" t="str">
        <x:v>н.п.</x:v>
      </x:c>
      <x:c r="AJ39" s="64"/>
      <x:c r="AK39" s="64" t="str">
        <x:v>н.д.</x:v>
      </x:c>
      <x:c r="AL39" s="64"/>
      <x:c r="AM39" s="64"/>
      <x:c r="AN39" s="64"/>
      <x:c r="AO39" s="64"/>
      <x:c r="AP39" s="64"/>
      <x:c r="AQ39" s="64"/>
      <x:c r="AR39" s="64"/>
      <x:c r="AS39" s="65"/>
      <x:c r="AT39" s="65" t="str">
        <x:f>IF(COUNT(E39,R39)=2,E39-R39,"не сверено")</x:f>
        <x:v>не сверено</x:v>
      </x:c>
      <x:c r="AU39" s="65" t="str">
        <x:f>IF(COUNT(F39,W39)=2,F39-W39,"не сверено")</x:f>
        <x:v>не сверено</x:v>
      </x:c>
      <x:c r="AV39" s="65" t="str">
        <x:f>IF(COUNT(G39,Y39)=2,G39-Y39,"не сверено")</x:f>
        <x:v>не сверено</x:v>
      </x:c>
      <x:c r="AW39" s="65" t="n">
        <x:f>IF(COUNT(J39,AG39)=2,J39-AG39,"не сверено")</x:f>
        <x:v>0</x:v>
      </x:c>
      <x:c r="AX39" s="65" t="str">
        <x:f>IF(COUNT(K39,AI39)=2,K39-AI39,"не сверено")</x:f>
        <x:v>не сверено</x:v>
      </x:c>
      <x:c r="AY39" s="65" t="str">
        <x:f>IF(COUNT(I39,Z39)=2,I39-Z39,"не сверено")</x:f>
        <x:v>не сверено</x:v>
      </x:c>
      <x:c r="AZ39" s="65" t="str">
        <x:f>IF(COUNT(L39,AM39)=2,L39-AM39,"не сверено")</x:f>
        <x:v>не сверено</x:v>
      </x:c>
      <x:c r="BA39" s="65" t="str">
        <x:f>IF(COUNT(M39,AP39)=2,M39-AP39,"не сверено")</x:f>
        <x:v>не сверено</x:v>
      </x:c>
      <x:c r="BB39" s="65"/>
      <x:c r="BC39" s="67"/>
      <x:c r="BD39" s="67"/>
      <x:c r="BE39" s="67"/>
      <x:c r="BF39" s="67" t="str">
        <x:v>VKCO_2026H1.pdf; PDF стр. 6, 16, 19</x:v>
      </x:c>
      <x:c r="BG39" s="67" t="str">
        <x:v>VKCO_2026H1.pdf; PDF стр. 16; расчет: строки 735–751</x:v>
      </x:c>
      <x:c r="BH39" s="67"/>
      <x:c r="BI39" s="67"/>
      <x:c r="BJ39" s="67" t="str">
        <x:v>Нужны раскрытые капитализированные затраты для аналитического EBITDAC. Нули не подставлены.</x:v>
      </x:c>
      <x:c r="BK39" s="67"/>
      <x:c r="BL39" s="67" t="str">
        <x:v>VKCO_2026H1.pdf; PDF стр. 7, 10</x:v>
      </x:c>
      <x:c r="BM39" s="67" t="str">
        <x:v>VKCO_2026H1.pdf; PDF стр. 10</x:v>
      </x:c>
      <x:c r="BN39" s="65"/>
      <x:c r="BO39" s="65"/>
      <x:c r="BP39" s="65"/>
      <x:c r="BQ39" s="65"/>
      <x:c r="BR39" s="67" t="str">
        <x:v>Сравнительные потоки из отчета 1П2026; остатки 30.06.2025 требуют отдельного раскрытия.</x:v>
      </x:c>
      <x:c r="BS39" s="65" t="n">
        <x:f>'Расчетные показатели'!E740</x:f>
        <x:v>13</x:v>
      </x:c>
      <x:c r="BT39" s="65" t="n">
        <x:f>'Расчетные показатели'!E743</x:f>
        <x:v>-17</x:v>
      </x:c>
      <x:c r="BU39" s="65"/>
      <x:c r="BV39" s="65" t="n">
        <x:f>'Расчетные показатели'!E749</x:f>
        <x:v>-3389</x:v>
      </x:c>
      <x:c r="BW39" s="65"/>
      <x:c r="BX39" s="65"/>
      <x:c r="BY39" s="65" t="n">
        <x:f>'Расчетные показатели'!E741</x:f>
        <x:v>-5882</x:v>
      </x:c>
      <x:c r="BZ39" s="65" t="n">
        <x:f>'Расчетные показатели'!E742</x:f>
        <x:v>-2963</x:v>
      </x:c>
      <x:c r="CA39" s="65" t="n">
        <x:f>'Расчетные показатели'!E745</x:f>
        <x:v>0</x:v>
      </x:c>
      <x:c r="CB39" s="65"/>
      <x:c r="CC39" s="65"/>
      <x:c r="CD39" s="65"/>
      <x:c r="CE39" s="65"/>
      <x:c r="CF39" s="65"/>
      <x:c r="CG39" s="65"/>
      <x:c r="CH39" s="65"/>
      <x:c r="CI39" s="65"/>
      <x:c r="CJ39" s="65"/>
      <x:c r="CK39" s="65"/>
      <x:c r="CL39" s="65"/>
      <x:c r="CM39" s="65"/>
      <x:c r="CN39" s="65"/>
    </x:row>
    <x:row r="40">
      <x:c r="A40"/>
      <x:c r="B40" s="3">
        <x:v>34</x:v>
      </x:c>
      <x:c r="C40" s="3" t="s">
        <x:v>116</x:v>
      </x:c>
      <x:c r="D40"/>
      <x:c r="E40" s="64"/>
      <x:c r="F40" s="64"/>
      <x:c r="G40" s="64"/>
      <x:c r="H40" s="64" t="n">
        <x:f>'Расчетные показатели'!E335</x:f>
        <x:v>167774.391</x:v>
      </x:c>
      <x:c r="I40" s="64"/>
      <x:c r="J40" s="64" t="n">
        <x:f>'Расчетные показатели'!E679</x:f>
        <x:v>17305.025</x:v>
      </x:c>
      <x:c r="K40" s="64"/>
      <x:c r="L40" s="64"/>
      <x:c r="M40" s="64"/>
      <x:c r="N40" s="64" t="n">
        <x:f>'Расчетные показатели'!E337</x:f>
        <x:v>5649.704</x:v>
      </x:c>
      <x:c r="O40" s="64" t="n">
        <x:f>'Расчетные показатели'!E338</x:f>
        <x:v>226645.564</x:v>
      </x:c>
      <x:c r="P40" s="65"/>
      <x:c r="Q40" s="65"/>
      <x:c r="R40" s="64"/>
      <x:c r="S40" s="66"/>
      <x:c r="T40" s="66"/>
      <x:c r="U40" s="66"/>
      <x:c r="V40" s="66"/>
      <x:c r="W40" s="64"/>
      <x:c r="X40" s="64"/>
      <x:c r="Y40" s="66" t="str">
        <x:v>н.п.</x:v>
      </x:c>
      <x:c r="Z40" s="64"/>
      <x:c r="AA40" s="64"/>
      <x:c r="AB40" s="66"/>
      <x:c r="AC40" s="66"/>
      <x:c r="AD40" s="66"/>
      <x:c r="AE40" s="66"/>
      <x:c r="AF40" s="66" t="n">
        <x:f>SUM('Расчетные показатели'!E677:E678)</x:f>
        <x:v>-2009.8639999999996</x:v>
      </x:c>
      <x:c r="AG40" s="64" t="n">
        <x:f>'Расчетные показатели'!E679</x:f>
        <x:v>17305.025</x:v>
      </x:c>
      <x:c r="AH40" s="64"/>
      <x:c r="AI40" s="64" t="str">
        <x:v>н.п.</x:v>
      </x:c>
      <x:c r="AJ40" s="64"/>
      <x:c r="AK40" s="64" t="str">
        <x:v>н.п.</x:v>
      </x:c>
      <x:c r="AL40" s="64"/>
      <x:c r="AM40" s="64"/>
      <x:c r="AN40" s="64"/>
      <x:c r="AO40" s="64"/>
      <x:c r="AP40" s="64"/>
      <x:c r="AQ40" s="64"/>
      <x:c r="AR40" s="64"/>
      <x:c r="AS40" s="65"/>
      <x:c r="AT40" s="65" t="str">
        <x:f>IF(COUNT(E40,R40)=2,E40-R40,"не сверено")</x:f>
        <x:v>не сверено</x:v>
      </x:c>
      <x:c r="AU40" s="65" t="str">
        <x:f>IF(COUNT(F40,W40)=2,F40-W40,"не сверено")</x:f>
        <x:v>не сверено</x:v>
      </x:c>
      <x:c r="AV40" s="65" t="str">
        <x:f>IF(COUNT(G40,Y40)=2,G40-Y40,"не сверено")</x:f>
        <x:v>не сверено</x:v>
      </x:c>
      <x:c r="AW40" s="65" t="n">
        <x:f>IF(COUNT(J40,AG40)=2,J40-AG40,"не сверено")</x:f>
        <x:v>0</x:v>
      </x:c>
      <x:c r="AX40" s="65" t="str">
        <x:f>IF(COUNT(K40,AI40)=2,K40-AI40,"не сверено")</x:f>
        <x:v>не сверено</x:v>
      </x:c>
      <x:c r="AY40" s="65" t="str">
        <x:f>IF(COUNT(I40,Z40)=2,I40-Z40,"не сверено")</x:f>
        <x:v>не сверено</x:v>
      </x:c>
      <x:c r="AZ40" s="65" t="str">
        <x:f>IF(COUNT(L40,AM40)=2,L40-AM40,"не сверено")</x:f>
        <x:v>не сверено</x:v>
      </x:c>
      <x:c r="BA40" s="65" t="str">
        <x:f>IF(COUNT(M40,AP40)=2,M40-AP40,"не сверено")</x:f>
        <x:v>не сверено</x:v>
      </x:c>
      <x:c r="BB40" s="65"/>
      <x:c r="BC40" s="67"/>
      <x:c r="BD40" s="67"/>
      <x:c r="BE40" s="67"/>
      <x:c r="BF40" s="67" t="str">
        <x:v>RAGR_2026H1.pdf; PDF стр. 6, 21, 25, 33</x:v>
      </x:c>
      <x:c r="BG40" s="67" t="str">
        <x:v>RAGR_2026H1.pdf; PDF стр. 33; расчет: строки 675–679</x:v>
      </x:c>
      <x:c r="BH40" s="67"/>
      <x:c r="BI40" s="67"/>
      <x:c r="BJ40" s="67"/>
      <x:c r="BK40" s="67"/>
      <x:c r="BL40" s="67" t="str">
        <x:v>RAGR_2026H1.pdf; PDF стр. 6, 7, 25, 26, 30</x:v>
      </x:c>
      <x:c r="BM40" s="67" t="str">
        <x:v>RAGR_2026H1.pdf; PDF стр. 7</x:v>
      </x:c>
      <x:c r="BN40" s="65"/>
      <x:c r="BO40" s="65"/>
      <x:c r="BP40" s="65"/>
      <x:c r="BQ40" s="65"/>
      <x:c r="BR40" s="67" t="str">
        <x:v>Сравнительные потоки из отчета 1П2026; остатки 30.06.2025 требуют отдельного раскрытия.</x:v>
      </x:c>
      <x:c r="BS40" s="65"/>
      <x:c r="BT40" s="65"/>
      <x:c r="BU40" s="65"/>
      <x:c r="BV40" s="65"/>
      <x:c r="BW40" s="65" t="n">
        <x:f>'Расчетные показатели'!E677</x:f>
        <x:v>6926.359</x:v>
      </x:c>
      <x:c r="BX40" s="65" t="n">
        <x:f>'Расчетные показатели'!E678</x:f>
        <x:v>-8936.223</x:v>
      </x:c>
      <x:c r="BY40" s="65"/>
      <x:c r="BZ40" s="65"/>
      <x:c r="CA40" s="65"/>
      <x:c r="CB40" s="65"/>
      <x:c r="CC40" s="65"/>
      <x:c r="CD40" s="65"/>
      <x:c r="CE40" s="65"/>
      <x:c r="CF40" s="65"/>
      <x:c r="CG40" s="65"/>
      <x:c r="CH40" s="65"/>
      <x:c r="CI40" s="65"/>
      <x:c r="CJ40" s="65"/>
      <x:c r="CK40" s="65"/>
      <x:c r="CL40" s="65"/>
      <x:c r="CM40" s="65"/>
      <x:c r="CN40" s="65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xSplit="3" ySplit="6" topLeftCell="D7" activePane="bottomRight" state="frozen"/>
    </x:sheetView>
  </x:sheetViews>
  <x:sheetFormatPr defaultRowHeight="15"/>
  <x:cols>
    <x:col min="66" max="66" width="25" hidden="0" customWidth="1"/>
    <x:col min="67" max="67" width="25" hidden="0" customWidth="1"/>
    <x:col min="68" max="68" width="25" hidden="0" customWidth="1"/>
    <x:col min="69" max="69" width="25" hidden="0" customWidth="1"/>
    <x:col min="70" max="70" width="70" hidden="0" customWidth="1"/>
    <x:col min="71" max="71" width="25" hidden="0" customWidth="1"/>
    <x:col min="72" max="72" width="25" hidden="0" customWidth="1"/>
    <x:col min="73" max="73" width="25" hidden="0" customWidth="1"/>
    <x:col min="74" max="74" width="25" hidden="0" customWidth="1"/>
    <x:col min="75" max="75" width="25" hidden="0" customWidth="1"/>
    <x:col min="76" max="76" width="25" hidden="0" customWidth="1"/>
    <x:col min="77" max="77" width="25" hidden="0" customWidth="1"/>
    <x:col min="78" max="78" width="25" hidden="0" customWidth="1"/>
    <x:col min="79" max="79" width="25" hidden="0" customWidth="1"/>
    <x:col min="80" max="80" width="25" hidden="0" customWidth="1"/>
    <x:col min="81" max="81" width="25" hidden="0" customWidth="1"/>
    <x:col min="82" max="82" width="25" hidden="0" customWidth="1"/>
    <x:col min="83" max="83" width="25" hidden="0" customWidth="1"/>
    <x:col min="84" max="84" width="25" hidden="0" customWidth="1"/>
    <x:col min="85" max="85" width="25" hidden="0" customWidth="1"/>
    <x:col min="86" max="86" width="25" hidden="0" customWidth="1"/>
    <x:col min="87" max="87" width="25" hidden="0" customWidth="1"/>
    <x:col min="88" max="88" width="25" hidden="0" customWidth="1"/>
    <x:col min="89" max="89" width="25" hidden="0" customWidth="1"/>
    <x:col min="90" max="90" width="25" hidden="0" customWidth="1"/>
    <x:col min="91" max="91" width="25" hidden="0" customWidth="1"/>
    <x:col min="92" max="92" width="25" hidden="0" customWidth="1"/>
    <x:col min="55" max="55" width="38" hidden="0" customWidth="1"/>
    <x:col min="56" max="56" width="38" hidden="0" customWidth="1"/>
    <x:col min="57" max="57" width="38" hidden="0" customWidth="1"/>
    <x:col min="58" max="58" width="38" hidden="0" customWidth="1"/>
    <x:col min="59" max="59" width="38" hidden="0" customWidth="1"/>
    <x:col min="60" max="60" width="38" hidden="0" customWidth="1"/>
    <x:col min="61" max="61" width="38" hidden="0" customWidth="1"/>
    <x:col min="62" max="62" width="38" hidden="0" customWidth="1"/>
    <x:col min="63" max="63" width="38" hidden="0" customWidth="1"/>
    <x:col min="64" max="64" width="38" hidden="0" customWidth="1"/>
    <x:col min="65" max="65" width="38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</x:cols>
  <x:sheetData>
    <x:row r="1">
      <x:c r="A1"/>
      <x:c r="B1"/>
      <x:c r="C1"/>
      <x:c r="D1"/>
      <x:c r="E1"/>
      <x:c r="F1"/>
      <x:c r="G1"/>
      <x:c r="H1"/>
      <x:c r="I1"/>
      <x:c r="J1"/>
      <x:c r="K1"/>
      <x:c r="L1"/>
      <x:c r="M1"/>
      <x:c r="N1"/>
      <x:c r="O1"/>
      <x:c r="P1"/>
      <x:c r="Q1"/>
      <x:c r="R1"/>
      <x:c r="S1"/>
      <x:c r="T1"/>
      <x:c r="U1"/>
      <x:c r="V1"/>
      <x:c r="W1"/>
      <x:c r="X1"/>
      <x:c r="Y1"/>
      <x:c r="Z1"/>
      <x:c r="AA1"/>
      <x:c r="AB1"/>
      <x:c r="AC1"/>
      <x:c r="AD1"/>
      <x:c r="AE1"/>
      <x:c r="AF1"/>
      <x:c r="AG1"/>
      <x:c r="AH1"/>
      <x:c r="AI1"/>
      <x:c r="AJ1"/>
      <x:c r="AK1"/>
      <x:c r="AL1"/>
      <x:c r="AM1"/>
      <x:c r="AN1"/>
      <x:c r="AO1"/>
      <x:c r="AP1"/>
      <x:c r="AQ1"/>
      <x:c r="AR1"/>
      <x:c r="AS1"/>
      <x:c r="AT1"/>
      <x:c r="AU1"/>
      <x:c r="AV1"/>
      <x:c r="AW1"/>
      <x:c r="AX1"/>
      <x:c r="AY1"/>
      <x:c r="AZ1"/>
      <x:c r="BA1"/>
      <x:c r="BB1"/>
      <x:c r="BC1"/>
      <x:c r="BD1"/>
      <x:c r="BE1"/>
      <x:c r="BF1"/>
      <x:c r="BG1"/>
      <x:c r="BH1"/>
      <x:c r="BI1"/>
      <x:c r="BJ1"/>
      <x:c r="BK1"/>
      <x:c r="BL1"/>
      <x:c r="BM1"/>
    </x:row>
    <x:row r="2">
      <x:c r="A2"/>
      <x:c r="B2" t="str">
        <x:v>6 месяцев 2026</x:v>
      </x:c>
      <x:c r="C2"/>
      <x:c r="D2"/>
      <x:c r="E2"/>
      <x:c r="F2"/>
      <x:c r="G2"/>
      <x:c r="H2"/>
      <x:c r="I2"/>
      <x:c r="J2"/>
      <x:c r="K2"/>
      <x:c r="L2"/>
      <x:c r="M2"/>
      <x:c r="N2"/>
      <x:c r="O2"/>
      <x:c r="P2"/>
      <x:c r="Q2"/>
      <x:c r="R2"/>
      <x:c r="S2"/>
      <x:c r="T2"/>
      <x:c r="U2"/>
      <x:c r="V2"/>
      <x:c r="W2"/>
      <x:c r="X2"/>
      <x:c r="Y2"/>
      <x:c r="Z2"/>
      <x:c r="AA2"/>
      <x:c r="AB2"/>
      <x:c r="AC2"/>
      <x:c r="AD2"/>
      <x:c r="AE2"/>
      <x:c r="AF2"/>
      <x:c r="AG2"/>
      <x:c r="AH2"/>
      <x:c r="AI2"/>
      <x:c r="AJ2"/>
      <x:c r="AK2"/>
      <x:c r="AL2"/>
      <x:c r="AM2"/>
      <x:c r="AN2"/>
      <x:c r="AO2"/>
      <x:c r="AP2"/>
      <x:c r="AQ2"/>
      <x:c r="AR2"/>
      <x:c r="AS2"/>
      <x:c r="AT2"/>
      <x:c r="AU2"/>
      <x:c r="AV2"/>
      <x:c r="AW2"/>
      <x:c r="AX2"/>
      <x:c r="AY2"/>
      <x:c r="AZ2"/>
      <x:c r="BA2"/>
      <x:c r="BB2"/>
      <x:c r="BC2"/>
      <x:c r="BD2"/>
      <x:c r="BE2"/>
      <x:c r="BF2"/>
      <x:c r="BG2"/>
      <x:c r="BH2"/>
      <x:c r="BI2"/>
      <x:c r="BJ2"/>
      <x:c r="BK2"/>
      <x:c r="BL2"/>
      <x:c r="BM2"/>
    </x:row>
    <x:row r="3">
      <x:c r="A3"/>
      <x:c r="B3"/>
      <x:c r="C3"/>
      <x:c r="D3"/>
      <x:c r="E3" t="str">
        <x:v>Все суммы в млн руб. Источники и подробные расчеты — на листе «Расчетные показатели».</x:v>
      </x:c>
      <x:c r="F3"/>
      <x:c r="G3"/>
      <x:c r="H3"/>
      <x:c r="I3"/>
      <x:c r="J3"/>
      <x:c r="K3"/>
      <x:c r="L3"/>
      <x:c r="M3"/>
      <x:c r="N3"/>
      <x:c r="O3"/>
      <x:c r="P3"/>
      <x:c r="Q3"/>
      <x:c r="R3"/>
      <x:c r="S3"/>
      <x:c r="T3"/>
      <x:c r="U3"/>
      <x:c r="V3"/>
      <x:c r="W3"/>
      <x:c r="X3"/>
      <x:c r="Y3"/>
      <x:c r="Z3"/>
      <x:c r="AA3"/>
      <x:c r="AB3"/>
      <x:c r="AC3"/>
      <x:c r="AD3"/>
      <x:c r="AE3"/>
      <x:c r="AF3"/>
      <x:c r="AG3"/>
      <x:c r="AH3"/>
      <x:c r="AI3"/>
      <x:c r="AJ3"/>
      <x:c r="AK3"/>
      <x:c r="AL3"/>
      <x:c r="AM3"/>
      <x:c r="AN3"/>
      <x:c r="AO3"/>
      <x:c r="AP3"/>
      <x:c r="AQ3"/>
      <x:c r="AR3"/>
      <x:c r="AS3"/>
      <x:c r="AT3"/>
      <x:c r="AU3"/>
      <x:c r="AV3"/>
      <x:c r="AW3"/>
      <x:c r="AX3"/>
      <x:c r="AY3"/>
      <x:c r="AZ3"/>
      <x:c r="BA3"/>
      <x:c r="BB3"/>
      <x:c r="BC3"/>
      <x:c r="BD3"/>
      <x:c r="BE3"/>
      <x:c r="BF3"/>
      <x:c r="BG3"/>
      <x:c r="BH3"/>
      <x:c r="BI3"/>
      <x:c r="BJ3"/>
      <x:c r="BK3"/>
      <x:c r="BL3"/>
      <x:c r="BM3"/>
    </x:row>
    <x:row r="4">
      <x:c r="A4"/>
      <x:c r="B4"/>
      <x:c r="C4"/>
      <x:c r="D4"/>
      <x:c r="E4"/>
      <x:c r="F4"/>
      <x:c r="G4"/>
      <x:c r="H4"/>
      <x:c r="I4"/>
      <x:c r="J4"/>
      <x:c r="K4"/>
      <x:c r="L4"/>
      <x:c r="M4"/>
      <x:c r="N4"/>
      <x:c r="O4"/>
      <x:c r="P4"/>
      <x:c r="Q4"/>
      <x:c r="R4"/>
      <x:c r="S4"/>
      <x:c r="T4"/>
      <x:c r="U4"/>
      <x:c r="V4"/>
      <x:c r="W4"/>
      <x:c r="X4"/>
      <x:c r="Y4"/>
      <x:c r="Z4"/>
      <x:c r="AA4"/>
      <x:c r="AB4"/>
      <x:c r="AC4"/>
      <x:c r="AD4"/>
      <x:c r="AE4"/>
      <x:c r="AF4"/>
      <x:c r="AG4"/>
      <x:c r="AH4"/>
      <x:c r="AI4"/>
      <x:c r="AJ4"/>
      <x:c r="AK4"/>
      <x:c r="AL4"/>
      <x:c r="AM4"/>
      <x:c r="AN4"/>
      <x:c r="AO4"/>
      <x:c r="AP4"/>
      <x:c r="AQ4"/>
      <x:c r="AR4"/>
      <x:c r="AS4"/>
      <x:c r="AT4"/>
      <x:c r="AU4"/>
      <x:c r="AV4"/>
      <x:c r="AW4"/>
      <x:c r="AX4"/>
      <x:c r="AY4"/>
      <x:c r="AZ4"/>
      <x:c r="BA4"/>
      <x:c r="BB4"/>
      <x:c r="BC4"/>
      <x:c r="BD4"/>
      <x:c r="BE4"/>
      <x:c r="BF4"/>
      <x:c r="BG4"/>
      <x:c r="BH4"/>
      <x:c r="BI4"/>
      <x:c r="BJ4"/>
      <x:c r="BK4"/>
      <x:c r="BL4"/>
      <x:c r="BM4"/>
    </x:row>
    <x:row r="5">
      <x:c r="A5"/>
      <x:c r="B5" s="20" t="s">
        <x:v>120</x:v>
      </x:c>
      <x:c r="C5" s="20"/>
      <x:c r="D5"/>
      <x:c r="E5" s="20" t="str">
        <x:v>Финансовые показатели: раскрытые и расчетные</x:v>
      </x:c>
      <x:c r="F5" s="20"/>
      <x:c r="G5" s="20"/>
      <x:c r="H5" s="20"/>
      <x:c r="I5" s="20"/>
      <x:c r="J5" s="20"/>
      <x:c r="K5" s="20"/>
      <x:c r="L5" s="20"/>
      <x:c r="M5" s="20"/>
      <x:c r="N5" s="20"/>
      <x:c r="O5" s="20"/>
      <x:c r="P5"/>
      <x:c r="Q5"/>
      <x:c r="R5" s="29" t="s">
        <x:v>121</x:v>
      </x:c>
      <x:c r="S5" s="29"/>
      <x:c r="T5" s="29"/>
      <x:c r="U5" s="29"/>
      <x:c r="V5" s="29"/>
      <x:c r="W5" s="29"/>
      <x:c r="X5" s="29"/>
      <x:c r="Y5" s="29"/>
      <x:c r="Z5" s="29"/>
      <x:c r="AA5" s="29"/>
      <x:c r="AB5" s="29"/>
      <x:c r="AC5" s="29"/>
      <x:c r="AD5" s="29"/>
      <x:c r="AE5" s="29"/>
      <x:c r="AF5" s="29"/>
      <x:c r="AG5" s="29"/>
      <x:c r="AH5" s="29"/>
      <x:c r="AI5" s="29"/>
      <x:c r="AJ5" s="29"/>
      <x:c r="AK5" s="29"/>
      <x:c r="AL5" s="29"/>
      <x:c r="AM5" s="29"/>
      <x:c r="AN5" s="29"/>
      <x:c r="AO5" s="29"/>
      <x:c r="AP5" s="29"/>
      <x:c r="AQ5" s="54"/>
      <x:c r="AR5" s="54"/>
      <x:c r="AS5"/>
      <x:c r="AT5" s="41" t="s">
        <x:v>122</x:v>
      </x:c>
      <x:c r="AU5" s="41"/>
      <x:c r="AV5" s="41"/>
      <x:c r="AW5" s="41"/>
      <x:c r="AX5" s="41"/>
      <x:c r="AY5" s="41"/>
      <x:c r="AZ5" s="41"/>
      <x:c r="BA5" s="41"/>
      <x:c r="BB5"/>
      <x:c r="BC5" s="20" t="s">
        <x:v>123</x:v>
      </x:c>
      <x:c r="BD5" s="20"/>
      <x:c r="BE5" s="20"/>
      <x:c r="BF5" s="20"/>
      <x:c r="BG5" s="20"/>
      <x:c r="BH5" s="20"/>
      <x:c r="BI5" s="20"/>
      <x:c r="BJ5" s="20"/>
      <x:c r="BK5" s="20"/>
      <x:c r="BL5" s="20"/>
      <x:c r="BM5" s="20"/>
    </x:row>
    <x:row r="6">
      <x:c r="A6"/>
      <x:c r="B6" s="20" t="s">
        <x:v>33</x:v>
      </x:c>
      <x:c r="C6" s="20" t="s">
        <x:v>34</x:v>
      </x:c>
      <x:c r="D6"/>
      <x:c r="E6" s="21" t="s">
        <x:v>54</x:v>
      </x:c>
      <x:c r="F6" s="21" t="s">
        <x:v>55</x:v>
      </x:c>
      <x:c r="G6" s="21" t="s">
        <x:v>56</x:v>
      </x:c>
      <x:c r="H6" s="21" t="s">
        <x:v>62</x:v>
      </x:c>
      <x:c r="I6" s="20" t="s">
        <x:v>63</x:v>
      </x:c>
      <x:c r="J6" s="21" t="s">
        <x:v>64</x:v>
      </x:c>
      <x:c r="K6" s="20" t="s">
        <x:v>65</x:v>
      </x:c>
      <x:c r="L6" s="20" t="s">
        <x:v>66</x:v>
      </x:c>
      <x:c r="M6" s="20" t="s">
        <x:v>67</x:v>
      </x:c>
      <x:c r="N6" s="21" t="s">
        <x:v>68</x:v>
      </x:c>
      <x:c r="O6" s="20" t="s">
        <x:v>69</x:v>
      </x:c>
      <x:c r="P6"/>
      <x:c r="Q6"/>
      <x:c r="R6" s="21" t="s">
        <x:v>54</x:v>
      </x:c>
      <x:c r="S6" s="21" t="s">
        <x:v>124</x:v>
      </x:c>
      <x:c r="T6" s="21" t="s">
        <x:v>125</x:v>
      </x:c>
      <x:c r="U6" s="21" t="s">
        <x:v>126</x:v>
      </x:c>
      <x:c r="V6" s="21" t="s">
        <x:v>127</x:v>
      </x:c>
      <x:c r="W6" s="21" t="s">
        <x:v>55</x:v>
      </x:c>
      <x:c r="X6" s="21" t="s">
        <x:v>128</x:v>
      </x:c>
      <x:c r="Y6" s="21" t="s">
        <x:v>56</x:v>
      </x:c>
      <x:c r="Z6" s="20" t="s">
        <x:v>63</x:v>
      </x:c>
      <x:c r="AA6" s="20" t="s">
        <x:v>68</x:v>
      </x:c>
      <x:c r="AB6" s="20" t="s">
        <x:v>129</x:v>
      </x:c>
      <x:c r="AC6" s="21" t="s">
        <x:v>130</x:v>
      </x:c>
      <x:c r="AD6" s="21" t="s">
        <x:v>131</x:v>
      </x:c>
      <x:c r="AE6" s="20" t="s">
        <x:v>132</x:v>
      </x:c>
      <x:c r="AF6" s="21" t="s">
        <x:v>133</x:v>
      </x:c>
      <x:c r="AG6" s="21" t="s">
        <x:v>64</x:v>
      </x:c>
      <x:c r="AH6" s="21" t="s">
        <x:v>128</x:v>
      </x:c>
      <x:c r="AI6" s="20" t="s">
        <x:v>65</x:v>
      </x:c>
      <x:c r="AJ6" s="20" t="s">
        <x:v>134</x:v>
      </x:c>
      <x:c r="AK6" s="20" t="s">
        <x:v>66</x:v>
      </x:c>
      <x:c r="AL6" s="21" t="s">
        <x:v>135</x:v>
      </x:c>
      <x:c r="AM6" s="21" t="s">
        <x:v>136</x:v>
      </x:c>
      <x:c r="AN6" s="21" t="s">
        <x:v>137</x:v>
      </x:c>
      <x:c r="AO6" s="21" t="s">
        <x:v>132</x:v>
      </x:c>
      <x:c r="AP6" s="20" t="s">
        <x:v>67</x:v>
      </x:c>
      <x:c r="AQ6" s="21" t="s">
        <x:v>138</x:v>
      </x:c>
      <x:c r="AR6" s="21" t="s">
        <x:v>139</x:v>
      </x:c>
      <x:c r="AS6"/>
      <x:c r="AT6" s="21" t="s">
        <x:v>54</x:v>
      </x:c>
      <x:c r="AU6" s="21" t="s">
        <x:v>55</x:v>
      </x:c>
      <x:c r="AV6" s="21" t="s">
        <x:v>56</x:v>
      </x:c>
      <x:c r="AW6" s="21" t="s">
        <x:v>64</x:v>
      </x:c>
      <x:c r="AX6" s="21" t="s">
        <x:v>65</x:v>
      </x:c>
      <x:c r="AY6" s="20" t="s">
        <x:v>63</x:v>
      </x:c>
      <x:c r="AZ6" s="20" t="s">
        <x:v>66</x:v>
      </x:c>
      <x:c r="BA6" s="20" t="s">
        <x:v>67</x:v>
      </x:c>
      <x:c r="BB6"/>
      <x:c r="BC6" s="21" t="s">
        <x:v>54</x:v>
      </x:c>
      <x:c r="BD6" s="21" t="s">
        <x:v>55</x:v>
      </x:c>
      <x:c r="BE6" s="21" t="s">
        <x:v>56</x:v>
      </x:c>
      <x:c r="BF6" s="21" t="s">
        <x:v>62</x:v>
      </x:c>
      <x:c r="BG6" s="21" t="s">
        <x:v>64</x:v>
      </x:c>
      <x:c r="BH6" s="20" t="s">
        <x:v>65</x:v>
      </x:c>
      <x:c r="BI6" s="20" t="s">
        <x:v>63</x:v>
      </x:c>
      <x:c r="BJ6" s="20" t="s">
        <x:v>66</x:v>
      </x:c>
      <x:c r="BK6" s="20" t="s">
        <x:v>67</x:v>
      </x:c>
      <x:c r="BL6" s="21" t="s">
        <x:v>68</x:v>
      </x:c>
      <x:c r="BM6" s="20" t="s">
        <x:v>69</x:v>
      </x:c>
      <x:c r="BN6" s="63" t="str">
        <x:v>Обязательства по аренде вне кредитов</x:v>
      </x:c>
      <x:c r="BO6" s="63" t="str">
        <x:v>Неконтролирующие доли</x:v>
      </x:c>
      <x:c r="BP6" s="63" t="str">
        <x:v>Скорр. EBITDA IAS 17</x:v>
      </x:c>
      <x:c r="BQ6" s="63" t="str">
        <x:v>Капитал группы, включая НКД</x:v>
      </x:c>
      <x:c r="BR6" s="63" t="str">
        <x:v>Метод / ограничения</x:v>
      </x:c>
      <x:c r="BS6" s="63" t="str">
        <x:v>Вознаграждения акциями</x:v>
      </x:c>
      <x:c r="BT6" s="63" t="str">
        <x:v>Прочие внеоперационные расходы</x:v>
      </x:c>
      <x:c r="BU6" s="63" t="str">
        <x:v>Минус доход от продажи Авто.ру</x:v>
      </x:c>
      <x:c r="BV6" s="63" t="str">
        <x:v>Курсовые разницы</x:v>
      </x:c>
      <x:c r="BW6" s="63" t="str">
        <x:v>Разовые операционные корректировки</x:v>
      </x:c>
      <x:c r="BX6" s="63" t="str">
        <x:v>Переоценка биологических активов</x:v>
      </x:c>
      <x:c r="BY6" s="63" t="str">
        <x:v>Результат прочих инвестиций</x:v>
      </x:c>
      <x:c r="BZ6" s="63" t="str">
        <x:v>Доля в прибыли инвестиций</x:v>
      </x:c>
      <x:c r="CA6" s="63" t="str">
        <x:v>Прибыль от продажи инвестиций</x:v>
      </x:c>
      <x:c r="CB6" s="63" t="str">
        <x:v>Резервы</x:v>
      </x:c>
      <x:c r="CC6" s="63" t="str">
        <x:v>Обесценение нефинансовых активов</x:v>
      </x:c>
      <x:c r="CD6" s="63" t="str">
        <x:v>Курсовые убытки</x:v>
      </x:c>
      <x:c r="CE6" s="63" t="str">
        <x:v>Фиксированные расходы по аренде</x:v>
      </x:c>
      <x:c r="CF6" s="63" t="str">
        <x:v>Капитализированные расходы и прочее</x:v>
      </x:c>
      <x:c r="CG6" s="63" t="str">
        <x:v>Корректировка отгрузок</x:v>
      </x:c>
      <x:c r="CH6" s="63" t="str">
        <x:v>Краткосрочная аренда</x:v>
      </x:c>
      <x:c r="CI6" s="63" t="str">
        <x:v>Долгосрочная аренда</x:v>
      </x:c>
      <x:c r="CJ6" s="63" t="str">
        <x:v>Облигации</x:v>
      </x:c>
      <x:c r="CK6" s="63" t="str">
        <x:v>Переоценка инвестиций в Яндекс</x:v>
      </x:c>
      <x:c r="CL6" s="63" t="str">
        <x:v>Минус банковские депозиты</x:v>
      </x:c>
      <x:c r="CM6" s="63" t="str">
        <x:v>Расходы на реструктуризацию</x:v>
      </x:c>
      <x:c r="CN6" s="63" t="str">
        <x:v>Операционные курсовые убытки</x:v>
      </x:c>
    </x:row>
    <x:row r="7">
      <x:c r="A7"/>
      <x:c r="B7" s="3">
        <x:v>1</x:v>
      </x:c>
      <x:c r="C7" s="3" t="s">
        <x:v>70</x:v>
      </x:c>
      <x:c r="D7"/>
      <x:c r="E7" s="64" t="n">
        <x:f>R7</x:f>
        <x:v>-342691</x:v>
      </x:c>
      <x:c r="F7" s="64"/>
      <x:c r="G7" s="64"/>
      <x:c r="H7" s="64" t="n">
        <x:f>'Расчетные показатели'!E339</x:f>
        <x:v>2059279</x:v>
      </x:c>
      <x:c r="I7" s="64" t="n">
        <x:f>Z7</x:f>
        <x:v>815342</x:v>
      </x:c>
      <x:c r="J7" s="64"/>
      <x:c r="K7" s="64"/>
      <x:c r="L7" s="64"/>
      <x:c r="M7" s="64"/>
      <x:c r="N7" s="64" t="n">
        <x:f>'Расчетные показатели'!E341</x:f>
        <x:v>430907</x:v>
      </x:c>
      <x:c r="O7" s="64" t="n">
        <x:f>'Расчетные показатели'!E342</x:f>
        <x:v>3630123</x:v>
      </x:c>
      <x:c r="P7" s="65"/>
      <x:c r="Q7" s="65"/>
      <x:c r="R7" s="64" t="n">
        <x:f>S7+T7-U7+BN7</x:f>
        <x:v>-342691</x:v>
      </x:c>
      <x:c r="S7" s="66" t="n">
        <x:f>'Расчетные показатели'!E343</x:f>
        <x:v>81987</x:v>
      </x:c>
      <x:c r="T7" s="66" t="n">
        <x:f>'Расчетные показатели'!E344</x:f>
        <x:v>236713</x:v>
      </x:c>
      <x:c r="U7" s="66" t="n">
        <x:f>'Расчетные показатели'!E345</x:f>
        <x:v>661391</x:v>
      </x:c>
      <x:c r="V7" s="66"/>
      <x:c r="W7" s="64"/>
      <x:c r="X7" s="64"/>
      <x:c r="Y7" s="66" t="str">
        <x:v>н.п.</x:v>
      </x:c>
      <x:c r="Z7" s="64" t="n">
        <x:f>AN7+AO7</x:f>
        <x:v>815342</x:v>
      </x:c>
      <x:c r="AA7" s="64"/>
      <x:c r="AB7" s="66"/>
      <x:c r="AC7" s="66"/>
      <x:c r="AD7" s="66"/>
      <x:c r="AE7" s="66"/>
      <x:c r="AF7" s="66"/>
      <x:c r="AG7" s="64"/>
      <x:c r="AH7" s="64"/>
      <x:c r="AI7" s="64" t="str">
        <x:v>н.п.</x:v>
      </x:c>
      <x:c r="AJ7" s="64"/>
      <x:c r="AK7" s="64" t="str">
        <x:v>н.п.</x:v>
      </x:c>
      <x:c r="AL7" s="64"/>
      <x:c r="AM7" s="64"/>
      <x:c r="AN7" s="64" t="n">
        <x:f>'Расчетные показатели'!E346</x:f>
        <x:v>610942</x:v>
      </x:c>
      <x:c r="AO7" s="64" t="n">
        <x:f>'Расчетные показатели'!E347</x:f>
        <x:v>204400</x:v>
      </x:c>
      <x:c r="AP7" s="64"/>
      <x:c r="AQ7" s="64"/>
      <x:c r="AR7" s="64"/>
      <x:c r="AS7" s="65"/>
      <x:c r="AT7" s="65" t="n">
        <x:f>IF(COUNT(E7,R7)=2,E7-R7,"не сверено")</x:f>
        <x:v>0</x:v>
      </x:c>
      <x:c r="AU7" s="65" t="str">
        <x:f>IF(COUNT(F7,W7)=2,F7-W7,"не сверено")</x:f>
        <x:v>не сверено</x:v>
      </x:c>
      <x:c r="AV7" s="65" t="str">
        <x:f>IF(COUNT(G7,Y7)=2,G7-Y7,"не сверено")</x:f>
        <x:v>не сверено</x:v>
      </x:c>
      <x:c r="AW7" s="65" t="str">
        <x:f>IF(COUNT(J7,AG7)=2,J7-AG7,"не сверено")</x:f>
        <x:v>не сверено</x:v>
      </x:c>
      <x:c r="AX7" s="65" t="str">
        <x:f>IF(COUNT(K7,AI7)=2,K7-AI7,"не сверено")</x:f>
        <x:v>не сверено</x:v>
      </x:c>
      <x:c r="AY7" s="65" t="n">
        <x:f>IF(COUNT(I7,Z7)=2,I7-Z7,"не сверено")</x:f>
        <x:v>0</x:v>
      </x:c>
      <x:c r="AZ7" s="65" t="str">
        <x:f>IF(COUNT(L7,AM7)=2,L7-AM7,"не сверено")</x:f>
        <x:v>не сверено</x:v>
      </x:c>
      <x:c r="BA7" s="65" t="str">
        <x:f>IF(COUNT(M7,AP7)=2,M7-AP7,"не сверено")</x:f>
        <x:v>не сверено</x:v>
      </x:c>
      <x:c r="BB7" s="65"/>
      <x:c r="BC7" s="67" t="str">
        <x:v>LKOH_2026H1.pdf; PDF стр. 4, 16; кредиты + аренда − деньги</x:v>
      </x:c>
      <x:c r="BD7" s="67"/>
      <x:c r="BE7" s="67"/>
      <x:c r="BF7" s="67" t="str">
        <x:v>LKOH_2026H1.pdf; PDF стр. 5, 25, 26</x:v>
      </x:c>
      <x:c r="BG7" s="67"/>
      <x:c r="BH7" s="67"/>
      <x:c r="BI7" s="67" t="str">
        <x:v>LKOH_2026H1.pdf; PDF стр. 5; операционная прибыль + амортизация</x:v>
      </x:c>
      <x:c r="BJ7" s="67"/>
      <x:c r="BK7" s="67"/>
      <x:c r="BL7" s="67" t="str">
        <x:v>LKOH_2026H1.pdf; PDF стр. 5, 6, 7, 21, 25</x:v>
      </x:c>
      <x:c r="BM7" s="67" t="str">
        <x:v>LKOH_2026H1.pdf; PDF стр. 4, 6</x:v>
      </x:c>
      <x:c r="BN7" s="65" t="n">
        <x:f>'Расчетные показатели'!E348</x:f>
        <x:v>0</x:v>
      </x:c>
      <x:c r="BO7" s="65" t="n">
        <x:f>'Расчетные показатели'!E349</x:f>
        <x:v>247853</x:v>
      </x:c>
      <x:c r="BP7" s="65"/>
      <x:c r="BQ7" s="65"/>
      <x:c r="BR7" s="67" t="str">
        <x:v>Аренда уже включена в S/T; BK=0 исключает двойной учет. ЧП включает прекращенную деятельность.</x:v>
      </x:c>
      <x:c r="BS7" s="65"/>
      <x:c r="BT7" s="65"/>
      <x:c r="BU7" s="65"/>
      <x:c r="BV7" s="65"/>
      <x:c r="BW7" s="65"/>
      <x:c r="BX7" s="65"/>
      <x:c r="BY7" s="65"/>
      <x:c r="BZ7" s="65"/>
      <x:c r="CA7" s="65"/>
      <x:c r="CB7" s="65"/>
      <x:c r="CC7" s="65"/>
      <x:c r="CD7" s="65"/>
      <x:c r="CE7" s="65"/>
      <x:c r="CF7" s="65"/>
      <x:c r="CG7" s="65"/>
      <x:c r="CH7" s="65"/>
      <x:c r="CI7" s="65"/>
      <x:c r="CJ7" s="65"/>
      <x:c r="CK7" s="65"/>
      <x:c r="CL7" s="65"/>
      <x:c r="CM7" s="65"/>
      <x:c r="CN7" s="65"/>
    </x:row>
    <x:row r="8">
      <x:c r="A8"/>
      <x:c r="B8" s="3">
        <x:v>2</x:v>
      </x:c>
      <x:c r="C8" s="3" t="s">
        <x:v>72</x:v>
      </x:c>
      <x:c r="D8"/>
      <x:c r="E8" s="64"/>
      <x:c r="F8" s="64"/>
      <x:c r="G8" s="64"/>
      <x:c r="H8" s="64" t="n">
        <x:f>'Расчетные показатели'!E350</x:f>
        <x:v>5301986</x:v>
      </x:c>
      <x:c r="I8" s="64" t="str">
        <x:v>н.д.</x:v>
      </x:c>
      <x:c r="J8" s="68" t="n">
        <x:f>AG8</x:f>
        <x:v>1976746</x:v>
      </x:c>
      <x:c r="K8" s="64"/>
      <x:c r="L8" s="64"/>
      <x:c r="M8" s="64"/>
      <x:c r="N8" s="64" t="n">
        <x:f>'Расчетные показатели'!E351</x:f>
        <x:v>863862</x:v>
      </x:c>
      <x:c r="O8" s="64" t="n">
        <x:f>'Расчетные показатели'!E352</x:f>
        <x:v>18180194</x:v>
      </x:c>
      <x:c r="P8" s="65"/>
      <x:c r="Q8" s="65"/>
      <x:c r="R8" s="68" t="n">
        <x:f>S8+T8-U8</x:f>
        <x:v>6108148</x:v>
      </x:c>
      <x:c r="S8" s="66" t="n">
        <x:f>'Расчетные показатели'!E1238</x:f>
        <x:v>1737448</x:v>
      </x:c>
      <x:c r="T8" s="66" t="n">
        <x:f>'Расчетные показатели'!E1239</x:f>
        <x:v>5118041</x:v>
      </x:c>
      <x:c r="U8" s="66" t="n">
        <x:f>'Расчетные показатели'!E1240</x:f>
        <x:v>747341</x:v>
      </x:c>
      <x:c r="V8" s="66"/>
      <x:c r="W8" s="64"/>
      <x:c r="X8" s="64"/>
      <x:c r="Y8" s="66" t="str">
        <x:v>н.п.</x:v>
      </x:c>
      <x:c r="Z8" s="68" t="n">
        <x:f>'Расчетные показатели'!K1236</x:f>
        <x:v>1957553</x:v>
      </x:c>
      <x:c r="AA8" s="64" t="n">
        <x:f>'Расчетные показатели'!E353</x:f>
        <x:v>932884</x:v>
      </x:c>
      <x:c r="AB8" s="66" t="n">
        <x:f>'Расчетные показатели'!E354</x:f>
        <x:v>376869</x:v>
      </x:c>
      <x:c r="AC8" s="66" t="n">
        <x:f>'Расчетные показатели'!E355</x:f>
        <x:v>162484</x:v>
      </x:c>
      <x:c r="AD8" s="66" t="n">
        <x:f>'Расчетные показатели'!E356</x:f>
        <x:v>151450</x:v>
      </x:c>
      <x:c r="AE8" s="66" t="n">
        <x:f>'Расчетные показатели'!E357</x:f>
        <x:v>762548</x:v>
      </x:c>
      <x:c r="AF8" s="68" t="n">
        <x:f>'Расчетные показатели'!E1236-'Расчетные показатели'!K1236</x:f>
        <x:v>19193</x:v>
      </x:c>
      <x:c r="AG8" s="68" t="n">
        <x:f>Z8+AF8</x:f>
        <x:v>1976746</x:v>
      </x:c>
      <x:c r="AH8" s="64"/>
      <x:c r="AI8" s="64" t="str">
        <x:v>н.п.</x:v>
      </x:c>
      <x:c r="AJ8" s="64"/>
      <x:c r="AK8" s="64" t="str">
        <x:v>н.п.</x:v>
      </x:c>
      <x:c r="AL8" s="64"/>
      <x:c r="AM8" s="64"/>
      <x:c r="AN8" s="64"/>
      <x:c r="AO8" s="64"/>
      <x:c r="AP8" s="64"/>
      <x:c r="AQ8" s="64"/>
      <x:c r="AR8" s="64"/>
      <x:c r="AS8" s="65"/>
      <x:c r="AT8" s="65" t="str">
        <x:f>IF(COUNT(E8,R8)=2,E8-R8,"не сверено")</x:f>
        <x:v>не сверено</x:v>
      </x:c>
      <x:c r="AU8" s="65" t="str">
        <x:f>IF(COUNT(F8,W8)=2,F8-W8,"не сверено")</x:f>
        <x:v>не сверено</x:v>
      </x:c>
      <x:c r="AV8" s="65" t="str">
        <x:f>IF(COUNT(G8,Y8)=2,G8-Y8,"не сверено")</x:f>
        <x:v>не сверено</x:v>
      </x:c>
      <x:c r="AW8" s="65" t="n">
        <x:f>IF(COUNT(J8,AG8)=2,J8-AG8,"не сверено")</x:f>
        <x:v>0</x:v>
      </x:c>
      <x:c r="AX8" s="65" t="str">
        <x:f>IF(COUNT(K8,AI8)=2,K8-AI8,"не сверено")</x:f>
        <x:v>не сверено</x:v>
      </x:c>
      <x:c r="AY8" s="65" t="str">
        <x:f>IF(COUNT(I8,Z8)=2,I8-Z8,"не сверено")</x:f>
        <x:v>не сверено</x:v>
      </x:c>
      <x:c r="AZ8" s="65" t="str">
        <x:f>IF(COUNT(L8,AM8)=2,L8-AM8,"не сверено")</x:f>
        <x:v>не сверено</x:v>
      </x:c>
      <x:c r="BA8" s="65" t="str">
        <x:f>IF(COUNT(M8,AP8)=2,M8-AP8,"не сверено")</x:f>
        <x:v>не сверено</x:v>
      </x:c>
      <x:c r="BB8" s="65"/>
      <x:c r="BC8" s="67"/>
      <x:c r="BD8" s="67"/>
      <x:c r="BE8" s="67"/>
      <x:c r="BF8" s="67" t="str">
        <x:v>GAZP_2026H1.pdf; PDF стр. 6, 12, 13, 24</x:v>
      </x:c>
      <x:c r="BG8" s="67"/>
      <x:c r="BH8" s="67"/>
      <x:c r="BI8" s="67" t="str">
        <x:v>Расчет по формуле пользователя; GAZP_2026H1.pdf; PDF стр. 6, 8; GAZP_2026H1.pdf; PDF стр. 7, 12, 24</x:v>
      </x:c>
      <x:c r="BJ8" s="67"/>
      <x:c r="BK8" s="67"/>
      <x:c r="BL8" s="67" t="str">
        <x:v>GAZP_2026H1.pdf; PDF стр. 6, 8, 25</x:v>
      </x:c>
      <x:c r="BM8" s="67" t="str">
        <x:v>GAZP_2026H1.pdf; страница не подтверждена</x:v>
      </x:c>
      <x:c r="BN8" s="65"/>
      <x:c r="BO8" s="65" t="n">
        <x:f>'Расчетные показатели'!E358</x:f>
        <x:v>850031</x:v>
      </x:c>
      <x:c r="BP8" s="65"/>
      <x:c r="BQ8" s="65"/>
      <x:c r="BR8" s="67" t="str">
        <x:v> Book Value исключает бессрочные облигации.</x:v>
      </x:c>
      <x:c r="BS8" s="65"/>
      <x:c r="BT8" s="65"/>
      <x:c r="BU8" s="65"/>
      <x:c r="BV8" s="65"/>
      <x:c r="BW8" s="65"/>
      <x:c r="BX8" s="65"/>
      <x:c r="BY8" s="65"/>
      <x:c r="BZ8" s="65"/>
      <x:c r="CA8" s="65"/>
      <x:c r="CB8" s="65"/>
      <x:c r="CC8" s="65"/>
      <x:c r="CD8" s="65"/>
      <x:c r="CE8" s="65"/>
      <x:c r="CF8" s="65"/>
      <x:c r="CG8" s="65"/>
      <x:c r="CH8" s="65"/>
      <x:c r="CI8" s="65"/>
      <x:c r="CJ8" s="65"/>
      <x:c r="CK8" s="65"/>
      <x:c r="CL8" s="65"/>
      <x:c r="CM8" s="65"/>
      <x:c r="CN8" s="65"/>
    </x:row>
    <x:row r="9">
      <x:c r="A9"/>
      <x:c r="B9" s="3">
        <x:v>3</x:v>
      </x:c>
      <x:c r="C9" s="3" t="s">
        <x:v>73</x:v>
      </x:c>
      <x:c r="D9"/>
      <x:c r="E9" s="64" t="n">
        <x:f>R9</x:f>
        <x:v>73975</x:v>
      </x:c>
      <x:c r="F9" s="64" t="n">
        <x:f>'Расчетные показатели'!E359</x:f>
        <x:v>7000</x:v>
      </x:c>
      <x:c r="G9" s="64"/>
      <x:c r="H9" s="64" t="n">
        <x:f>'Расчетные показатели'!E360</x:f>
        <x:v>759014</x:v>
      </x:c>
      <x:c r="I9" s="64"/>
      <x:c r="J9" s="64" t="n">
        <x:f>'Расчетные показатели'!E610</x:f>
        <x:v>162206</x:v>
      </x:c>
      <x:c r="K9" s="64"/>
      <x:c r="L9" s="64" t="str">
        <x:f>AK9</x:f>
        <x:v>н.д.</x:v>
      </x:c>
      <x:c r="M9" s="64"/>
      <x:c r="N9" s="64" t="n">
        <x:f>'Расчетные показатели'!E362</x:f>
        <x:v>93401</x:v>
      </x:c>
      <x:c r="O9" s="64" t="n">
        <x:f>'Расчетные показатели'!E363</x:f>
        <x:v>406268</x:v>
      </x:c>
      <x:c r="P9" s="65"/>
      <x:c r="Q9" s="65"/>
      <x:c r="R9" s="64" t="n">
        <x:f>'Расчетные показатели'!E1012</x:f>
        <x:v>73975</x:v>
      </x:c>
      <x:c r="S9" s="66" t="n">
        <x:f>'Расчетные показатели'!E364</x:f>
        <x:v>71828</x:v>
      </x:c>
      <x:c r="T9" s="66" t="n">
        <x:f>'Расчетные показатели'!E365</x:f>
        <x:v>205474</x:v>
      </x:c>
      <x:c r="U9" s="66" t="n">
        <x:f>'Расчетные показатели'!E366</x:f>
        <x:v>296024</x:v>
      </x:c>
      <x:c r="V9" s="66"/>
      <x:c r="W9" s="64"/>
      <x:c r="X9" s="64"/>
      <x:c r="Y9" s="66" t="str">
        <x:v>н.п.</x:v>
      </x:c>
      <x:c r="Z9" s="64"/>
      <x:c r="AA9" s="64"/>
      <x:c r="AB9" s="66"/>
      <x:c r="AC9" s="66"/>
      <x:c r="AD9" s="66"/>
      <x:c r="AE9" s="66"/>
      <x:c r="AF9" s="66" t="n">
        <x:f>SUM('Расчетные показатели'!E603:E609)</x:f>
        <x:v>-20919</x:v>
      </x:c>
      <x:c r="AG9" s="64" t="n">
        <x:f>'Расчетные показатели'!E610</x:f>
        <x:v>162206</x:v>
      </x:c>
      <x:c r="AH9" s="64"/>
      <x:c r="AI9" s="64" t="str">
        <x:v>н.п.</x:v>
      </x:c>
      <x:c r="AJ9" s="64"/>
      <x:c r="AK9" s="64" t="str">
        <x:v>н.д.</x:v>
      </x:c>
      <x:c r="AL9" s="64"/>
      <x:c r="AM9" s="64"/>
      <x:c r="AN9" s="64"/>
      <x:c r="AO9" s="64"/>
      <x:c r="AP9" s="64"/>
      <x:c r="AQ9" s="64"/>
      <x:c r="AR9" s="64"/>
      <x:c r="AS9" s="65"/>
      <x:c r="AT9" s="65" t="n">
        <x:f>IF(COUNT(E9,R9)=2,E9-R9,"не сверено")</x:f>
        <x:v>0</x:v>
      </x:c>
      <x:c r="AU9" s="65" t="str">
        <x:f>IF(COUNT(F9,W9)=2,F9-W9,"не сверено")</x:f>
        <x:v>не сверено</x:v>
      </x:c>
      <x:c r="AV9" s="65" t="str">
        <x:f>IF(COUNT(G9,Y9)=2,G9-Y9,"не сверено")</x:f>
        <x:v>не сверено</x:v>
      </x:c>
      <x:c r="AW9" s="65" t="n">
        <x:f>IF(COUNT(J9,AG9)=2,J9-AG9,"не сверено")</x:f>
        <x:v>0</x:v>
      </x:c>
      <x:c r="AX9" s="65" t="str">
        <x:f>IF(COUNT(K9,AI9)=2,K9-AI9,"не сверено")</x:f>
        <x:v>не сверено</x:v>
      </x:c>
      <x:c r="AY9" s="65" t="str">
        <x:f>IF(COUNT(I9,Z9)=2,I9-Z9,"не сверено")</x:f>
        <x:v>не сверено</x:v>
      </x:c>
      <x:c r="AZ9" s="65" t="str">
        <x:f>IF(COUNT(L9,AM9)=2,L9-AM9,"не сверено")</x:f>
        <x:v>не сверено</x:v>
      </x:c>
      <x:c r="BA9" s="65" t="str">
        <x:f>IF(COUNT(M9,AP9)=2,M9-AP9,"не сверено")</x:f>
        <x:v>не сверено</x:v>
      </x:c>
      <x:c r="BB9" s="65"/>
      <x:c r="BC9" s="67" t="str">
        <x:v>YDEX_2026H1.pdf; PDF стр. 4; кредиты + аренда − деньги</x:v>
      </x:c>
      <x:c r="BD9" s="67" t="str">
        <x:v>YDEX_2026H1.pdf; страница не подтверждена</x:v>
      </x:c>
      <x:c r="BE9" s="67"/>
      <x:c r="BF9" s="67" t="str">
        <x:v>YDEX_2026H1.pdf; PDF стр. 5, 12, 18</x:v>
      </x:c>
      <x:c r="BG9" s="67" t="str">
        <x:v>YDEX_2026H1.pdf; PDF стр. 12; расчет: строки 599–610</x:v>
      </x:c>
      <x:c r="BH9" s="67"/>
      <x:c r="BI9" s="67"/>
      <x:c r="BJ9" s="67" t="str">
        <x:v>Нужны раскрытые капитализированные затраты для аналитического EBITDAC. Нули не подставлены.</x:v>
      </x:c>
      <x:c r="BK9" s="67"/>
      <x:c r="BL9" s="67" t="str">
        <x:v>YDEX_2026H1.pdf; PDF стр. 5, 6, 7, 8, 10</x:v>
      </x:c>
      <x:c r="BM9" s="67" t="str">
        <x:v>YDEX_2026H1.pdf; PDF стр. 4, 8</x:v>
      </x:c>
      <x:c r="BN9" s="65" t="n">
        <x:f>'Расчетные показатели'!E1005</x:f>
        <x:v>92697</x:v>
      </x:c>
      <x:c r="BO9" s="65" t="n">
        <x:f>'Расчетные показатели'!E368</x:f>
        <x:v>0</x:v>
      </x:c>
      <x:c r="BP9" s="65"/>
      <x:c r="BQ9" s="65"/>
      <x:c r="BR9" s="67" t="str"/>
      <x:c r="BS9" s="65" t="n">
        <x:f>'Расчетные показатели'!E603</x:f>
        <x:v>17196</x:v>
      </x:c>
      <x:c r="BT9" s="65" t="n">
        <x:f>'Расчетные показатели'!E606</x:f>
        <x:v>1347</x:v>
      </x:c>
      <x:c r="BU9" s="65" t="n">
        <x:f>'Расчетные показатели'!E607</x:f>
        <x:v>-25719</x:v>
      </x:c>
      <x:c r="BV9" s="65"/>
      <x:c r="BW9" s="65"/>
      <x:c r="BX9" s="65"/>
      <x:c r="BY9" s="65"/>
      <x:c r="BZ9" s="65"/>
      <x:c r="CA9" s="65"/>
      <x:c r="CB9" s="65"/>
      <x:c r="CC9" s="65"/>
      <x:c r="CD9" s="65"/>
      <x:c r="CE9" s="65"/>
      <x:c r="CF9" s="65"/>
      <x:c r="CG9" s="65"/>
      <x:c r="CH9" s="65" t="n">
        <x:f>'Расчетные показатели'!E1010</x:f>
        <x:v>23002</x:v>
      </x:c>
      <x:c r="CI9" s="65" t="n">
        <x:f>'Расчетные показатели'!E1011</x:f>
        <x:v>69695</x:v>
      </x:c>
      <x:c r="CJ9" s="65"/>
      <x:c r="CK9" s="65"/>
      <x:c r="CL9" s="65"/>
      <x:c r="CM9" s="65"/>
      <x:c r="CN9" s="65"/>
    </x:row>
    <x:row r="10">
      <x:c r="A10"/>
      <x:c r="B10" s="3">
        <x:v>4</x:v>
      </x:c>
      <x:c r="C10" s="3" t="s">
        <x:v>75</x:v>
      </x:c>
      <x:c r="D10"/>
      <x:c r="E10" s="66" t="str">
        <x:v>н.п.</x:v>
      </x:c>
      <x:c r="F10" s="64"/>
      <x:c r="G10" s="64"/>
      <x:c r="H10" s="64" t="n">
        <x:f>'Расчетные показатели'!E369</x:f>
        <x:v>791900</x:v>
      </x:c>
      <x:c r="I10" s="64" t="n">
        <x:f>'Расчетные показатели'!E1126</x:f>
        <x:v>138400</x:v>
      </x:c>
      <x:c r="J10" s="64" t="n">
        <x:f>'Расчетные показатели'!E1136</x:f>
        <x:v>184500</x:v>
      </x:c>
      <x:c r="K10" s="64"/>
      <x:c r="L10" s="64"/>
      <x:c r="M10" s="64"/>
      <x:c r="N10" s="64" t="n">
        <x:f>'Расчетные показатели'!E372</x:f>
        <x:v>83100</x:v>
      </x:c>
      <x:c r="O10" s="64" t="n">
        <x:f>'Расчетные показатели'!E373</x:f>
        <x:v>756800</x:v>
      </x:c>
      <x:c r="P10" s="65"/>
      <x:c r="Q10" s="65"/>
      <x:c r="R10" s="66" t="str">
        <x:v>н.п.</x:v>
      </x:c>
      <x:c r="S10" s="66"/>
      <x:c r="T10" s="66"/>
      <x:c r="U10" s="66"/>
      <x:c r="V10" s="66"/>
      <x:c r="W10" s="64"/>
      <x:c r="X10" s="64"/>
      <x:c r="Y10" s="66" t="str">
        <x:v>н.п.</x:v>
      </x:c>
      <x:c r="Z10" s="64" t="n">
        <x:f>'Расчетные показатели'!E1126</x:f>
        <x:v>138400</x:v>
      </x:c>
      <x:c r="AA10" s="64"/>
      <x:c r="AB10" s="66"/>
      <x:c r="AC10" s="66"/>
      <x:c r="AD10" s="66"/>
      <x:c r="AE10" s="66"/>
      <x:c r="AF10" s="66" t="n">
        <x:f>SUM('Расчетные показатели'!E1134:E1135)</x:f>
        <x:v>46100</x:v>
      </x:c>
      <x:c r="AG10" s="64" t="n">
        <x:f>'Расчетные показатели'!E1136</x:f>
        <x:v>184500</x:v>
      </x:c>
      <x:c r="AH10" s="64"/>
      <x:c r="AI10" s="64" t="str">
        <x:v>н.п.</x:v>
      </x:c>
      <x:c r="AJ10" s="64"/>
      <x:c r="AK10" s="64" t="str">
        <x:v>н.п.</x:v>
      </x:c>
      <x:c r="AL10" s="64"/>
      <x:c r="AM10" s="64"/>
      <x:c r="AN10" s="64"/>
      <x:c r="AO10" s="64"/>
      <x:c r="AP10" s="64"/>
      <x:c r="AQ10" s="64"/>
      <x:c r="AR10" s="64"/>
      <x:c r="AS10" s="65"/>
      <x:c r="AT10" s="65" t="str">
        <x:f>IF(COUNT(E10,R10)=2,E10-R10,"не сверено")</x:f>
        <x:v>не сверено</x:v>
      </x:c>
      <x:c r="AU10" s="65" t="str">
        <x:f>IF(COUNT(F10,W10)=2,F10-W10,"не сверено")</x:f>
        <x:v>не сверено</x:v>
      </x:c>
      <x:c r="AV10" s="65" t="str">
        <x:f>IF(COUNT(G10,Y10)=2,G10-Y10,"не сверено")</x:f>
        <x:v>не сверено</x:v>
      </x:c>
      <x:c r="AW10" s="65" t="n">
        <x:f>IF(COUNT(J10,AG10)=2,J10-AG10,"не сверено")</x:f>
        <x:v>0</x:v>
      </x:c>
      <x:c r="AX10" s="65" t="str">
        <x:f>IF(COUNT(K10,AI10)=2,K10-AI10,"не сверено")</x:f>
        <x:v>не сверено</x:v>
      </x:c>
      <x:c r="AY10" s="65" t="n">
        <x:f>IF(COUNT(I10,Z10)=2,I10-Z10,"не сверено")</x:f>
        <x:v>0</x:v>
      </x:c>
      <x:c r="AZ10" s="65" t="str">
        <x:f>IF(COUNT(L10,AM10)=2,L10-AM10,"не сверено")</x:f>
        <x:v>не сверено</x:v>
      </x:c>
      <x:c r="BA10" s="65" t="str">
        <x:f>IF(COUNT(M10,AP10)=2,M10-AP10,"не сверено")</x:f>
        <x:v>не сверено</x:v>
      </x:c>
      <x:c r="BB10" s="65"/>
      <x:c r="BC10" s="67"/>
      <x:c r="BD10" s="67"/>
      <x:c r="BE10" s="67"/>
      <x:c r="BF10" s="67" t="str">
        <x:v>T_2026H1.pdf; PDF стр. 4</x:v>
      </x:c>
      <x:c r="BG10" s="67" t="str">
        <x:v>T_2026H1.pdf; PDF стр. 28; расчет: строки 1133–1136</x:v>
      </x:c>
      <x:c r="BH10" s="67"/>
      <x:c r="BI10" s="67" t="str">
        <x:v>T_2026H1.pdf; PDF стр. 28; расчет: строки 1121–1126</x:v>
      </x:c>
      <x:c r="BJ10" s="67"/>
      <x:c r="BK10" s="67"/>
      <x:c r="BL10" s="67" t="str">
        <x:v>T_2026H1.pdf; PDF стр. 5</x:v>
      </x:c>
      <x:c r="BM10" s="67" t="str">
        <x:v>T_2026H1.pdf; PDF стр. 6</x:v>
      </x:c>
      <x:c r="BN10" s="65"/>
      <x:c r="BO10" s="65" t="n">
        <x:f>'Расчетные показатели'!E374</x:f>
        <x:v>112600</x:v>
      </x:c>
      <x:c r="BP10" s="65"/>
      <x:c r="BQ10" s="65"/>
      <x:c r="BR10" s="67" t="str"/>
      <x:c r="BS10" s="65" t="n">
        <x:f>'Расчетные показатели'!E1134</x:f>
        <x:v>10900</x:v>
      </x:c>
      <x:c r="BT10" s="65"/>
      <x:c r="BU10" s="65"/>
      <x:c r="BV10" s="65"/>
      <x:c r="BW10" s="65"/>
      <x:c r="BX10" s="65"/>
      <x:c r="BY10" s="65"/>
      <x:c r="BZ10" s="65"/>
      <x:c r="CA10" s="65"/>
      <x:c r="CB10" s="65"/>
      <x:c r="CC10" s="65"/>
      <x:c r="CD10" s="65"/>
      <x:c r="CE10" s="65"/>
      <x:c r="CF10" s="65"/>
      <x:c r="CG10" s="65"/>
      <x:c r="CH10" s="65"/>
      <x:c r="CI10" s="65"/>
      <x:c r="CJ10" s="65"/>
      <x:c r="CK10" s="65" t="n">
        <x:f>'Расчетные показатели'!E1135</x:f>
        <x:v>35200</x:v>
      </x:c>
      <x:c r="CL10" s="65"/>
      <x:c r="CM10" s="65"/>
      <x:c r="CN10" s="65"/>
    </x:row>
    <x:row r="11">
      <x:c r="A11"/>
      <x:c r="B11" s="3">
        <x:v>5</x:v>
      </x:c>
      <x:c r="C11" s="3" t="s">
        <x:v>77</x:v>
      </x:c>
      <x:c r="D11"/>
      <x:c r="E11" s="78" t="n">
        <x:f>'Расчетные показатели'!E1283</x:f>
        <x:v>-133401</x:v>
      </x:c>
      <x:c r="F11" s="64"/>
      <x:c r="G11" s="64"/>
      <x:c r="H11" s="64" t="n">
        <x:f>'Расчетные показатели'!E375</x:f>
        <x:v>881649</x:v>
      </x:c>
      <x:c r="I11" s="78" t="n">
        <x:f>'Расчетные показатели'!E1274</x:f>
        <x:v>259543</x:v>
      </x:c>
      <x:c r="J11" s="78" t="n">
        <x:f>'Расчетные показатели'!E1278</x:f>
        <x:v>271192</x:v>
      </x:c>
      <x:c r="K11" s="64"/>
      <x:c r="L11" s="64"/>
      <x:c r="M11" s="64"/>
      <x:c r="N11" s="64" t="n">
        <x:f>'Расчетные показатели'!E376</x:f>
        <x:v>165231</x:v>
      </x:c>
      <x:c r="O11" s="64" t="n">
        <x:f>'Расчетные показатели'!E377</x:f>
        <x:v>1401689</x:v>
      </x:c>
      <x:c r="P11" s="65"/>
      <x:c r="Q11" s="65"/>
      <x:c r="R11" s="78" t="n">
        <x:f>S11+T11-U11</x:f>
        <x:v>-133401</x:v>
      </x:c>
      <x:c r="S11" s="79" t="n">
        <x:f>'Расчетные показатели'!E1280</x:f>
        <x:v>10120</x:v>
      </x:c>
      <x:c r="T11" s="79" t="n">
        <x:f>'Расчетные показатели'!E1281</x:f>
        <x:v>685</x:v>
      </x:c>
      <x:c r="U11" s="79" t="n">
        <x:f>'Расчетные показатели'!E1282</x:f>
        <x:v>144206</x:v>
      </x:c>
      <x:c r="V11" s="66"/>
      <x:c r="W11" s="64"/>
      <x:c r="X11" s="64"/>
      <x:c r="Y11" s="66" t="str">
        <x:v>н.п.</x:v>
      </x:c>
      <x:c r="Z11" s="78" t="n">
        <x:f>'Расчетные показатели'!E1274</x:f>
        <x:v>259543</x:v>
      </x:c>
      <x:c r="AA11" s="64"/>
      <x:c r="AB11" s="66"/>
      <x:c r="AC11" s="66"/>
      <x:c r="AD11" s="66"/>
      <x:c r="AE11" s="66"/>
      <x:c r="AF11" s="79" t="n">
        <x:f>SUM('Расчетные показатели'!E1276:E1277)</x:f>
        <x:v>11649</x:v>
      </x:c>
      <x:c r="AG11" s="78" t="n">
        <x:f>'Расчетные показатели'!E1278</x:f>
        <x:v>271192</x:v>
      </x:c>
      <x:c r="AH11" s="64"/>
      <x:c r="AI11" s="64" t="str">
        <x:v>н.п.</x:v>
      </x:c>
      <x:c r="AJ11" s="64"/>
      <x:c r="AK11" s="64" t="str">
        <x:v>н.п.</x:v>
      </x:c>
      <x:c r="AL11" s="64"/>
      <x:c r="AM11" s="64"/>
      <x:c r="AN11" s="64"/>
      <x:c r="AO11" s="64"/>
      <x:c r="AP11" s="64"/>
      <x:c r="AQ11" s="64"/>
      <x:c r="AR11" s="64"/>
      <x:c r="AS11" s="65"/>
      <x:c r="AT11" s="65" t="n">
        <x:f>IF(COUNT(E11,R11)=2,E11-R11,"не сверено")</x:f>
        <x:v>0</x:v>
      </x:c>
      <x:c r="AU11" s="65" t="str">
        <x:f>IF(COUNT(F11,W11)=2,F11-W11,"не сверено")</x:f>
        <x:v>не сверено</x:v>
      </x:c>
      <x:c r="AV11" s="65" t="str">
        <x:f>IF(COUNT(G11,Y11)=2,G11-Y11,"не сверено")</x:f>
        <x:v>не сверено</x:v>
      </x:c>
      <x:c r="AW11" s="65" t="n">
        <x:f>IF(COUNT(J11,AG11)=2,J11-AG11,"не сверено")</x:f>
        <x:v>0</x:v>
      </x:c>
      <x:c r="AX11" s="65" t="str">
        <x:f>IF(COUNT(K11,AI11)=2,K11-AI11,"не сверено")</x:f>
        <x:v>не сверено</x:v>
      </x:c>
      <x:c r="AY11" s="65" t="n">
        <x:f>IF(COUNT(I11,Z11)=2,I11-Z11,"не сверено")</x:f>
        <x:v>0</x:v>
      </x:c>
      <x:c r="AZ11" s="65" t="str">
        <x:f>IF(COUNT(L11,AM11)=2,L11-AM11,"не сверено")</x:f>
        <x:v>не сверено</x:v>
      </x:c>
      <x:c r="BA11" s="65" t="str">
        <x:f>IF(COUNT(M11,AP11)=2,M11-AP11,"не сверено")</x:f>
        <x:v>не сверено</x:v>
      </x:c>
      <x:c r="BB11" s="65"/>
      <x:c r="BC11" s="67"/>
      <x:c r="BD11" s="67"/>
      <x:c r="BE11" s="67"/>
      <x:c r="BF11" s="67" t="str">
        <x:v>TATN_2026H1.pdf, PDF стр. 4-5</x:v>
      </x:c>
      <x:c r="BG11" s="67" t="str">
        <x:v>Аналитически по ранее раскрытой методике: EBITDA 259 543; скорр. EBITDA 271 192; ЧД -133 401 млн руб.; опубликованные итоги за 1П2026 не подтверждены</x:v>
      </x:c>
      <x:c r="BH11" s="67"/>
      <x:c r="BI11" s="67"/>
      <x:c r="BJ11" s="67"/>
      <x:c r="BK11" s="67"/>
      <x:c r="BL11" s="67" t="str">
        <x:v>TATN_2026H1.pdf; PDF стр. 6, 7</x:v>
      </x:c>
      <x:c r="BM11" s="67" t="str">
        <x:v>TATN_2026H1.pdf; PDF стр. 7</x:v>
      </x:c>
      <x:c r="BN11" s="65"/>
      <x:c r="BO11" s="65" t="n">
        <x:f>'Расчетные показатели'!E378</x:f>
        <x:v>8924</x:v>
      </x:c>
      <x:c r="BP11" s="65"/>
      <x:c r="BQ11" s="65"/>
      <x:c r="BR11" s="67" t="str">
        <x:v>Выручка TTM в историческом периметре: год 2025 + 1П2026 − 1П2025 до пересмотра (878148). В TTM остается выручка выбывших обществ за 2П2025. Не является pro forma продолжающегося бизнеса.</x:v>
      </x:c>
      <x:c r="BS11" s="65"/>
      <x:c r="BT11" s="65"/>
      <x:c r="BU11" s="65"/>
      <x:c r="BV11" s="65"/>
      <x:c r="BW11" s="65"/>
      <x:c r="BX11" s="65"/>
      <x:c r="BY11" s="65"/>
      <x:c r="BZ11" s="65"/>
      <x:c r="CA11" s="65"/>
      <x:c r="CB11" s="65"/>
      <x:c r="CC11" s="65"/>
      <x:c r="CD11" s="65"/>
      <x:c r="CE11" s="65"/>
      <x:c r="CF11" s="65"/>
      <x:c r="CG11" s="65"/>
      <x:c r="CH11" s="65"/>
      <x:c r="CI11" s="65"/>
      <x:c r="CJ11" s="65"/>
      <x:c r="CK11" s="65"/>
      <x:c r="CL11" s="65"/>
      <x:c r="CM11" s="65"/>
      <x:c r="CN11" s="65"/>
    </x:row>
    <x:row r="12">
      <x:c r="A12"/>
      <x:c r="B12" s="3">
        <x:v>6</x:v>
      </x:c>
      <x:c r="C12" s="3" t="s">
        <x:v>78</x:v>
      </x:c>
      <x:c r="D12"/>
      <x:c r="E12" s="80" t="n">
        <x:f>'Расчетные показатели'!E379</x:f>
        <x:v>-43511</x:v>
      </x:c>
      <x:c r="F12" s="64"/>
      <x:c r="G12" s="64"/>
      <x:c r="H12" s="64" t="n">
        <x:f>'Расчетные показатели'!E380</x:f>
        <x:v>836336</x:v>
      </x:c>
      <x:c r="I12" s="82" t="str">
        <x:v>н.д.</x:v>
      </x:c>
      <x:c r="J12" s="80" t="n">
        <x:f>'Расчетные показатели'!E381</x:f>
        <x:v>430402</x:v>
      </x:c>
      <x:c r="K12" s="64"/>
      <x:c r="L12" s="64"/>
      <x:c r="M12" s="64"/>
      <x:c r="N12" s="64" t="n">
        <x:f>'Расчетные показатели'!E382</x:f>
        <x:v>218664</x:v>
      </x:c>
      <x:c r="O12" s="64" t="n">
        <x:f>'Расчетные показатели'!E383</x:f>
        <x:v>2907269</x:v>
      </x:c>
      <x:c r="P12" s="65"/>
      <x:c r="Q12" s="65"/>
      <x:c r="R12" s="78" t="n">
        <x:f>S12+T12-U12</x:f>
        <x:v>-43511</x:v>
      </x:c>
      <x:c r="S12" s="81" t="n">
        <x:f>'Расчетные показатели'!E1291</x:f>
        <x:v>53145</x:v>
      </x:c>
      <x:c r="T12" s="81" t="n">
        <x:f>'Расчетные показатели'!E1292</x:f>
        <x:v>215009</x:v>
      </x:c>
      <x:c r="U12" s="81" t="n">
        <x:f>'Расчетные показатели'!E1293</x:f>
        <x:v>311665</x:v>
      </x:c>
      <x:c r="V12" s="66"/>
      <x:c r="W12" s="64"/>
      <x:c r="X12" s="64"/>
      <x:c r="Y12" s="66" t="str">
        <x:v>н.п.</x:v>
      </x:c>
      <x:c r="Z12" s="82" t="str">
        <x:v>н.д.</x:v>
      </x:c>
      <x:c r="AA12" s="64"/>
      <x:c r="AB12" s="66"/>
      <x:c r="AC12" s="66"/>
      <x:c r="AD12" s="66"/>
      <x:c r="AE12" s="66"/>
      <x:c r="AF12" s="66"/>
      <x:c r="AG12" s="80" t="n">
        <x:f>'Расчетные показатели'!E381</x:f>
        <x:v>430402</x:v>
      </x:c>
      <x:c r="AH12" s="64"/>
      <x:c r="AI12" s="64" t="str">
        <x:v>н.п.</x:v>
      </x:c>
      <x:c r="AJ12" s="64"/>
      <x:c r="AK12" s="64" t="str">
        <x:v>н.п.</x:v>
      </x:c>
      <x:c r="AL12" s="64"/>
      <x:c r="AM12" s="64"/>
      <x:c r="AN12" s="64"/>
      <x:c r="AO12" s="64"/>
      <x:c r="AP12" s="64"/>
      <x:c r="AQ12" s="64"/>
      <x:c r="AR12" s="64"/>
      <x:c r="AS12" s="65"/>
      <x:c r="AT12" s="65" t="n">
        <x:f>IF(COUNT(E12,R12)=2,E12-R12,"не сверено")</x:f>
        <x:v>0</x:v>
      </x:c>
      <x:c r="AU12" s="65" t="str">
        <x:f>IF(COUNT(F12,W12)=2,F12-W12,"не сверено")</x:f>
        <x:v>не сверено</x:v>
      </x:c>
      <x:c r="AV12" s="65" t="str">
        <x:f>IF(COUNT(G12,Y12)=2,G12-Y12,"не сверено")</x:f>
        <x:v>не сверено</x:v>
      </x:c>
      <x:c r="AW12" s="65" t="n">
        <x:f>IF(COUNT(J12,AG12)=2,J12-AG12,"не сверено")</x:f>
        <x:v>0</x:v>
      </x:c>
      <x:c r="AX12" s="65" t="str">
        <x:f>IF(COUNT(K12,AI12)=2,K12-AI12,"не сверено")</x:f>
        <x:v>не сверено</x:v>
      </x:c>
      <x:c r="AY12" s="65" t="str">
        <x:f>IF(COUNT(I12,Z12)=2,I12-Z12,"не сверено")</x:f>
        <x:v>не сверено</x:v>
      </x:c>
      <x:c r="AZ12" s="65" t="str">
        <x:f>IF(COUNT(L12,AM12)=2,L12-AM12,"не сверено")</x:f>
        <x:v>не сверено</x:v>
      </x:c>
      <x:c r="BA12" s="65" t="str">
        <x:f>IF(COUNT(M12,AP12)=2,M12-AP12,"не сверено")</x:f>
        <x:v>не сверено</x:v>
      </x:c>
      <x:c r="BB12" s="65"/>
      <x:c r="BC12" s="67" t="str">
        <x:v>NVTK_2026H1.pdf; страница не подтверждена</x:v>
      </x:c>
      <x:c r="BD12" s="67"/>
      <x:c r="BE12" s="67"/>
      <x:c r="BF12" s="67" t="str">
        <x:v>NVTK_2026H1.pdf, PDF стр. 5-6 и 9; NVTK_IR.html, официальный IR-релиз от 24.07.2026</x:v>
      </x:c>
      <x:c r="BG12" s="67" t="str">
        <x:v>ЧД -43 511 подтвержден мостом 53 145 + 215 009 − 311 665; нормализованная EBITDA 430 402 классифицирована как скорректированная; обычная EBITDA отдельно не раскрыта</x:v>
      </x:c>
      <x:c r="BH12" s="67"/>
      <x:c r="BI12" s="67"/>
      <x:c r="BJ12" s="67"/>
      <x:c r="BK12" s="67"/>
      <x:c r="BL12" s="67" t="str">
        <x:v>NVTK_2026H1.pdf; PDF стр. 6, 9</x:v>
      </x:c>
      <x:c r="BM12" s="67" t="str">
        <x:v>NVTK_2026H1.pdf; PDF стр. 9</x:v>
      </x:c>
      <x:c r="BN12" s="65"/>
      <x:c r="BO12" s="65" t="n">
        <x:f>'Расчетные показатели'!E384</x:f>
        <x:v>14807</x:v>
      </x:c>
      <x:c r="BP12" s="65"/>
      <x:c r="BQ12" s="65"/>
      <x:c r="BR12" s="67" t="str"/>
      <x:c r="BS12" s="65"/>
      <x:c r="BT12" s="65"/>
      <x:c r="BU12" s="65"/>
      <x:c r="BV12" s="65"/>
      <x:c r="BW12" s="65"/>
      <x:c r="BX12" s="65"/>
      <x:c r="BY12" s="65"/>
      <x:c r="BZ12" s="65"/>
      <x:c r="CA12" s="65"/>
      <x:c r="CB12" s="65"/>
      <x:c r="CC12" s="65"/>
      <x:c r="CD12" s="65"/>
      <x:c r="CE12" s="65"/>
      <x:c r="CF12" s="65"/>
      <x:c r="CG12" s="65"/>
      <x:c r="CH12" s="65"/>
      <x:c r="CI12" s="65"/>
      <x:c r="CJ12" s="65"/>
      <x:c r="CK12" s="65"/>
      <x:c r="CL12" s="65"/>
      <x:c r="CM12" s="65"/>
      <x:c r="CN12" s="65"/>
    </x:row>
    <x:row r="13">
      <x:c r="A13"/>
      <x:c r="B13" s="3">
        <x:v>7</x:v>
      </x:c>
      <x:c r="C13" s="3" t="s">
        <x:v>79</x:v>
      </x:c>
      <x:c r="D13"/>
      <x:c r="E13" s="80" t="n">
        <x:f>'Расчетные показатели'!E1314</x:f>
        <x:v>704134</x:v>
      </x:c>
      <x:c r="F13" s="64"/>
      <x:c r="G13" s="64"/>
      <x:c r="H13" s="64" t="n">
        <x:f>'Расчетные показатели'!E385</x:f>
        <x:v>632669</x:v>
      </x:c>
      <x:c r="I13" s="82" t="str">
        <x:v>н.д.</x:v>
      </x:c>
      <x:c r="J13" s="64" t="n">
        <x:f>'Расчетные показатели'!E859</x:f>
        <x:v>301110</x:v>
      </x:c>
      <x:c r="K13" s="64"/>
      <x:c r="L13" s="64"/>
      <x:c r="M13" s="64"/>
      <x:c r="N13" s="64" t="n">
        <x:f>'Расчетные показатели'!E387</x:f>
        <x:v>121619</x:v>
      </x:c>
      <x:c r="O13" s="64" t="n">
        <x:f>'Расчетные показатели'!E388</x:f>
        <x:v>1006531</x:v>
      </x:c>
      <x:c r="P13" s="65"/>
      <x:c r="Q13" s="65"/>
      <x:c r="R13" s="78" t="n">
        <x:f>S13+T13-U13</x:f>
        <x:v>704134</x:v>
      </x:c>
      <x:c r="S13" s="81" t="n">
        <x:f>SUM('Расчетные показатели'!E1309:E1310)</x:f>
        <x:v>358965</x:v>
      </x:c>
      <x:c r="T13" s="81" t="n">
        <x:f>SUM('Расчетные показатели'!E1311:E1312)</x:f>
        <x:v>494200</x:v>
      </x:c>
      <x:c r="U13" s="81" t="n">
        <x:f>'Расчетные показатели'!E1313</x:f>
        <x:v>149031</x:v>
      </x:c>
      <x:c r="V13" s="66"/>
      <x:c r="W13" s="64"/>
      <x:c r="X13" s="64"/>
      <x:c r="Y13" s="66" t="str">
        <x:v>н.п.</x:v>
      </x:c>
      <x:c r="Z13" s="82" t="str">
        <x:v>н.д.</x:v>
      </x:c>
      <x:c r="AA13" s="64"/>
      <x:c r="AB13" s="66"/>
      <x:c r="AC13" s="66"/>
      <x:c r="AD13" s="66"/>
      <x:c r="AE13" s="66"/>
      <x:c r="AF13" s="66" t="n">
        <x:f>SUM('Расчетные показатели'!E855:E858)</x:f>
        <x:v>9899</x:v>
      </x:c>
      <x:c r="AG13" s="64" t="n">
        <x:f>'Расчетные показатели'!E859</x:f>
        <x:v>301110</x:v>
      </x:c>
      <x:c r="AH13" s="64"/>
      <x:c r="AI13" s="64" t="str">
        <x:v>н.п.</x:v>
      </x:c>
      <x:c r="AJ13" s="64"/>
      <x:c r="AK13" s="64" t="str">
        <x:v>н.п.</x:v>
      </x:c>
      <x:c r="AL13" s="64"/>
      <x:c r="AM13" s="64"/>
      <x:c r="AN13" s="64"/>
      <x:c r="AO13" s="64"/>
      <x:c r="AP13" s="64"/>
      <x:c r="AQ13" s="64"/>
      <x:c r="AR13" s="64"/>
      <x:c r="AS13" s="65"/>
      <x:c r="AT13" s="65" t="n">
        <x:f>IF(COUNT(E13,R13)=2,E13-R13,"не сверено")</x:f>
        <x:v>0</x:v>
      </x:c>
      <x:c r="AU13" s="65" t="str">
        <x:f>IF(COUNT(F13,W13)=2,F13-W13,"не сверено")</x:f>
        <x:v>не сверено</x:v>
      </x:c>
      <x:c r="AV13" s="65" t="str">
        <x:f>IF(COUNT(G13,Y13)=2,G13-Y13,"не сверено")</x:f>
        <x:v>не сверено</x:v>
      </x:c>
      <x:c r="AW13" s="65" t="n">
        <x:f>IF(COUNT(J13,AG13)=2,J13-AG13,"не сверено")</x:f>
        <x:v>0</x:v>
      </x:c>
      <x:c r="AX13" s="65" t="str">
        <x:f>IF(COUNT(K13,AI13)=2,K13-AI13,"не сверено")</x:f>
        <x:v>не сверено</x:v>
      </x:c>
      <x:c r="AY13" s="65" t="str">
        <x:f>IF(COUNT(I13,Z13)=2,I13-Z13,"не сверено")</x:f>
        <x:v>не сверено</x:v>
      </x:c>
      <x:c r="AZ13" s="65" t="str">
        <x:f>IF(COUNT(L13,AM13)=2,L13-AM13,"не сверено")</x:f>
        <x:v>не сверено</x:v>
      </x:c>
      <x:c r="BA13" s="65" t="str">
        <x:f>IF(COUNT(M13,AP13)=2,M13-AP13,"не сверено")</x:f>
        <x:v>не сверено</x:v>
      </x:c>
      <x:c r="BB13" s="65"/>
      <x:c r="BC13" s="67"/>
      <x:c r="BD13" s="67"/>
      <x:c r="BE13" s="67"/>
      <x:c r="BF13" s="67" t="str">
        <x:v>GMKN_2026H1.pdf, PDF стр. 5-6, 16, 20, 22, 24; официальный IR-релиз Норникеля от 31.07.2026</x:v>
      </x:c>
      <x:c r="BG13" s="67" t="str">
        <x:v>ЧД 704 134 подтвержден мостом 350 100 + 8 865 + 462 295 + 31 905 − 149 031; аренда включена по методологии компании. Обычная EBITDA отдельно не раскрыта.</x:v>
      </x:c>
      <x:c r="BH13" s="67"/>
      <x:c r="BI13" s="67"/>
      <x:c r="BJ13" s="67"/>
      <x:c r="BK13" s="67"/>
      <x:c r="BL13" s="67" t="str">
        <x:v>GMKN_2026H1.pdf; PDF стр. 6, 11</x:v>
      </x:c>
      <x:c r="BM13" s="67" t="str">
        <x:v>GMKN_2026H1.pdf; PDF стр. 8, 11</x:v>
      </x:c>
      <x:c r="BN13" s="65"/>
      <x:c r="BO13" s="65" t="n">
        <x:f>'Расчетные показатели'!E389</x:f>
        <x:v>169493</x:v>
      </x:c>
      <x:c r="BP13" s="65"/>
      <x:c r="BQ13" s="65"/>
      <x:c r="BR13" s="67" t="str">
        <x:v>Компания называет EBITDA; содержит дополнительные корректировки, в базе — скорр. EBITDA.</x:v>
      </x:c>
      <x:c r="BS13" s="65"/>
      <x:c r="BT13" s="65"/>
      <x:c r="BU13" s="65"/>
      <x:c r="BV13" s="65"/>
      <x:c r="BW13" s="65"/>
      <x:c r="BX13" s="65"/>
      <x:c r="BY13" s="65"/>
      <x:c r="BZ13" s="65"/>
      <x:c r="CA13" s="65"/>
      <x:c r="CB13" s="65"/>
      <x:c r="CC13" s="65" t="n">
        <x:f>'Расчетные показатели'!E855</x:f>
        <x:v>7557</x:v>
      </x:c>
      <x:c r="CD13" s="65"/>
      <x:c r="CE13" s="65"/>
      <x:c r="CF13" s="65"/>
      <x:c r="CG13" s="65"/>
      <x:c r="CH13" s="65"/>
      <x:c r="CI13" s="65"/>
      <x:c r="CJ13" s="65"/>
      <x:c r="CK13" s="65"/>
      <x:c r="CL13" s="65"/>
      <x:c r="CM13" s="65"/>
      <x:c r="CN13" s="65"/>
    </x:row>
    <x:row r="14">
      <x:c r="A14"/>
      <x:c r="B14" s="3">
        <x:v>8</x:v>
      </x:c>
      <x:c r="C14" s="3" t="s">
        <x:v>81</x:v>
      </x:c>
      <x:c r="D14"/>
      <x:c r="E14" s="64" t="n">
        <x:f>R14</x:f>
        <x:v>-260732</x:v>
      </x:c>
      <x:c r="F14" s="64"/>
      <x:c r="G14" s="64" t="n">
        <x:f>Y14</x:f>
        <x:v>-632765</x:v>
      </x:c>
      <x:c r="H14" s="64" t="n">
        <x:f>'Расчетные показатели'!E390</x:f>
        <x:v>635112</x:v>
      </x:c>
      <x:c r="I14" s="64" t="str">
        <x:v>н.д.</x:v>
      </x:c>
      <x:c r="J14" s="64" t="n">
        <x:f>'Расчетные показатели'!E703</x:f>
        <x:v>106723</x:v>
      </x:c>
      <x:c r="K14" s="64" t="str">
        <x:f>AI14</x:f>
        <x:v>н.д.</x:v>
      </x:c>
      <x:c r="L14" s="64" t="str">
        <x:f>AK14</x:f>
        <x:v>н.д.</x:v>
      </x:c>
      <x:c r="M14" s="64"/>
      <x:c r="N14" s="64" t="n">
        <x:f>'Расчетные показатели'!E392</x:f>
        <x:v>14628</x:v>
      </x:c>
      <x:c r="O14" s="64" t="n">
        <x:f>'Расчетные показатели'!E393</x:f>
        <x:v>-153968</x:v>
      </x:c>
      <x:c r="P14" s="65"/>
      <x:c r="Q14" s="65"/>
      <x:c r="R14" s="64" t="n">
        <x:f>S14+T14-U14+BN14</x:f>
        <x:v>-260732</x:v>
      </x:c>
      <x:c r="S14" s="66" t="n">
        <x:f>'Расчетные показатели'!E394</x:f>
        <x:v>71090</x:v>
      </x:c>
      <x:c r="T14" s="66" t="n">
        <x:f>'Расчетные показатели'!E395</x:f>
        <x:v>14845</x:v>
      </x:c>
      <x:c r="U14" s="66" t="n">
        <x:f>'Расчетные показатели'!E396</x:f>
        <x:v>718700</x:v>
      </x:c>
      <x:c r="V14" s="66"/>
      <x:c r="W14" s="64"/>
      <x:c r="X14" s="64" t="n">
        <x:f>-BN14</x:f>
        <x:v>-372033</x:v>
      </x:c>
      <x:c r="Y14" s="66" t="n">
        <x:f>R14+X14</x:f>
        <x:v>-632765</x:v>
      </x:c>
      <x:c r="Z14" s="64" t="str">
        <x:v>н.д.</x:v>
      </x:c>
      <x:c r="AA14" s="64" t="n">
        <x:f>'Расчетные показатели'!E397</x:f>
        <x:v>14628</x:v>
      </x:c>
      <x:c r="AB14" s="66" t="n">
        <x:f>'Расчетные показатели'!E398</x:f>
        <x:v>11617</x:v>
      </x:c>
      <x:c r="AC14" s="66"/>
      <x:c r="AD14" s="66"/>
      <x:c r="AE14" s="66" t="n">
        <x:f>'Расчетные показатели'!E399</x:f>
        <x:v>43484</x:v>
      </x:c>
      <x:c r="AF14" s="66" t="n">
        <x:f>SUM('Расчетные показатели'!E701:E702)</x:f>
        <x:v>5890</x:v>
      </x:c>
      <x:c r="AG14" s="64" t="n">
        <x:f>'Расчетные показатели'!E703</x:f>
        <x:v>106723</x:v>
      </x:c>
      <x:c r="AH14" s="64"/>
      <x:c r="AI14" s="64" t="str">
        <x:v>н.д.</x:v>
      </x:c>
      <x:c r="AJ14" s="64"/>
      <x:c r="AK14" s="64" t="str">
        <x:v>н.д.</x:v>
      </x:c>
      <x:c r="AL14" s="64"/>
      <x:c r="AM14" s="64"/>
      <x:c r="AN14" s="64" t="n">
        <x:f>'Расчетные показатели'!E400</x:f>
        <x:v>57349</x:v>
      </x:c>
      <x:c r="AO14" s="64" t="n">
        <x:f>'Расчетные показатели'!E401</x:f>
        <x:v>43484</x:v>
      </x:c>
      <x:c r="AP14" s="64"/>
      <x:c r="AQ14" s="64"/>
      <x:c r="AR14" s="64"/>
      <x:c r="AS14" s="65"/>
      <x:c r="AT14" s="65" t="n">
        <x:f>IF(COUNT(E14,R14)=2,E14-R14,"не сверено")</x:f>
        <x:v>0</x:v>
      </x:c>
      <x:c r="AU14" s="65" t="str">
        <x:f>IF(COUNT(F14,W14)=2,F14-W14,"не сверено")</x:f>
        <x:v>не сверено</x:v>
      </x:c>
      <x:c r="AV14" s="65" t="n">
        <x:f>IF(COUNT(G14,Y14)=2,G14-Y14,"не сверено")</x:f>
        <x:v>0</x:v>
      </x:c>
      <x:c r="AW14" s="65" t="n">
        <x:f>IF(COUNT(J14,AG14)=2,J14-AG14,"не сверено")</x:f>
        <x:v>0</x:v>
      </x:c>
      <x:c r="AX14" s="65" t="str">
        <x:f>IF(COUNT(K14,AI14)=2,K14-AI14,"не сверено")</x:f>
        <x:v>не сверено</x:v>
      </x:c>
      <x:c r="AY14" s="65" t="str">
        <x:f>IF(COUNT(I14,Z14)=2,I14-Z14,"не сверено")</x:f>
        <x:v>не сверено</x:v>
      </x:c>
      <x:c r="AZ14" s="65" t="str">
        <x:f>IF(COUNT(L14,AM14)=2,L14-AM14,"не сверено")</x:f>
        <x:v>не сверено</x:v>
      </x:c>
      <x:c r="BA14" s="65" t="str">
        <x:f>IF(COUNT(M14,AP14)=2,M14-AP14,"не сверено")</x:f>
        <x:v>не сверено</x:v>
      </x:c>
      <x:c r="BB14" s="65"/>
      <x:c r="BC14" s="67" t="str">
        <x:v>OZON_2026H1.pdf; PDF стр. 6, 22; кредиты + аренда − деньги</x:v>
      </x:c>
      <x:c r="BD14" s="67"/>
      <x:c r="BE14" s="67" t="str">
        <x:v>OZON_2026H1.pdf; PDF стр. 28; ЧД IFRS16 − аренда</x:v>
      </x:c>
      <x:c r="BF14" s="67" t="str">
        <x:v>OZON_2026H1.pdf; PDF стр. 6-7, 11, 13-15, 22-23, 28</x:v>
      </x:c>
      <x:c r="BG14" s="67" t="str">
        <x:v>Компания раскрывает только скорректированную EBITDA 106 723 млн руб.; обычная EBITDA отдельно не раскрыта и отмечена н.д.</x:v>
      </x:c>
      <x:c r="BH14" s="67" t="str">
        <x:v>EBITDA IAS17: не раскрыта фиксированная аренда; проценты по аренде ее не заменяют. EBITDAC: капитализированные затраты на разработку отдельно не раскрыты; приобретение НМА не использовано как замена.</x:v>
      </x:c>
      <x:c r="BI14" s="67"/>
      <x:c r="BJ14" s="67" t="str">
        <x:v>Нужны раскрытые капитализированные затраты для аналитического EBITDAC. Нули не подставлены.</x:v>
      </x:c>
      <x:c r="BK14" s="67"/>
      <x:c r="BL14" s="67" t="str">
        <x:v>OZON_2026H1.pdf; PDF стр. 7, 11</x:v>
      </x:c>
      <x:c r="BM14" s="67" t="str">
        <x:v>OZON_2026H1.pdf; PDF стр. 6, 7</x:v>
      </x:c>
      <x:c r="BN14" s="65" t="n">
        <x:f>'Расчетные показатели'!E402</x:f>
        <x:v>372033</x:v>
      </x:c>
      <x:c r="BO14" s="65" t="n">
        <x:f>'Расчетные показатели'!E403</x:f>
        <x:v>0</x:v>
      </x:c>
      <x:c r="BP14" s="65"/>
      <x:c r="BQ14" s="65"/>
      <x:c r="BR14" s="67" t="str">
        <x:v>МСФО: выручка включает Финтех; капитал отрицательный. Скорр. EBITDA: операционная прибыль + амортизация + вознаграждение акциями + пожар. Не смешивать с обычной EBITDA.</x:v>
      </x:c>
      <x:c r="BS14" s="65" t="n">
        <x:f>'Расчетные показатели'!E701</x:f>
        <x:v>5890</x:v>
      </x:c>
      <x:c r="BT14" s="65"/>
      <x:c r="BU14" s="65"/>
      <x:c r="BV14" s="65"/>
      <x:c r="BW14" s="65"/>
      <x:c r="BX14" s="65"/>
      <x:c r="BY14" s="65"/>
      <x:c r="BZ14" s="65"/>
      <x:c r="CA14" s="65"/>
      <x:c r="CB14" s="65"/>
      <x:c r="CC14" s="65"/>
      <x:c r="CD14" s="65"/>
      <x:c r="CE14" s="65"/>
      <x:c r="CF14" s="65"/>
      <x:c r="CG14" s="65"/>
      <x:c r="CH14" s="65"/>
      <x:c r="CI14" s="65"/>
      <x:c r="CJ14" s="65"/>
      <x:c r="CK14" s="65"/>
      <x:c r="CL14" s="65"/>
      <x:c r="CM14" s="65"/>
      <x:c r="CN14" s="65"/>
    </x:row>
    <x:row r="15">
      <x:c r="A15"/>
      <x:c r="B15" s="3">
        <x:v>9</x:v>
      </x:c>
      <x:c r="C15" s="3" t="s">
        <x:v>83</x:v>
      </x:c>
      <x:c r="D15"/>
      <x:c r="E15" s="64" t="n">
        <x:f>R15</x:f>
        <x:v>1053638</x:v>
      </x:c>
      <x:c r="F15" s="64" t="n">
        <x:f>W15</x:f>
        <x:v>1053638</x:v>
      </x:c>
      <x:c r="G15" s="64" t="n">
        <x:f>Y15</x:f>
        <x:v>310647</x:v>
      </x:c>
      <x:c r="H15" s="64" t="n">
        <x:f>'Расчетные показатели'!E405</x:f>
        <x:v>2480513</x:v>
      </x:c>
      <x:c r="I15" s="64" t="n">
        <x:f>'Расчетные показатели'!E922</x:f>
        <x:v>227964</x:v>
      </x:c>
      <x:c r="J15" s="64" t="n">
        <x:f>'Расчетные показатели'!E937</x:f>
        <x:v>232639</x:v>
      </x:c>
      <x:c r="K15" s="64" t="n">
        <x:f>'Расчетные показатели'!E952</x:f>
        <x:v>136666</x:v>
      </x:c>
      <x:c r="L15" s="64"/>
      <x:c r="M15" s="64"/>
      <x:c r="N15" s="64" t="n">
        <x:f>'Расчетные показатели'!E409</x:f>
        <x:v>25754</x:v>
      </x:c>
      <x:c r="O15" s="64" t="n">
        <x:f>'Расчетные показатели'!E410</x:f>
        <x:v>64268</x:v>
      </x:c>
      <x:c r="P15" s="65"/>
      <x:c r="Q15" s="65"/>
      <x:c r="R15" s="64" t="n">
        <x:f>S15+T15-U15+BN15</x:f>
        <x:v>1053638</x:v>
      </x:c>
      <x:c r="S15" s="66" t="n">
        <x:f>'Расчетные показатели'!E411</x:f>
        <x:v>127305</x:v>
      </x:c>
      <x:c r="T15" s="66" t="n">
        <x:f>'Расчетные показатели'!E412</x:f>
        <x:v>308552</x:v>
      </x:c>
      <x:c r="U15" s="66" t="n">
        <x:f>'Расчетные показатели'!E413</x:f>
        <x:v>125210</x:v>
      </x:c>
      <x:c r="V15" s="66" t="n">
        <x:f>BN15</x:f>
        <x:v>742991</x:v>
      </x:c>
      <x:c r="W15" s="64" t="n">
        <x:f>S15+T15-U15+V15</x:f>
        <x:v>1053638</x:v>
      </x:c>
      <x:c r="X15" s="64" t="n">
        <x:f>-BN15</x:f>
        <x:v>-742991</x:v>
      </x:c>
      <x:c r="Y15" s="66" t="n">
        <x:f>R15+X15</x:f>
        <x:v>310647</x:v>
      </x:c>
      <x:c r="Z15" s="64" t="n">
        <x:f>'Расчетные показатели'!E922</x:f>
        <x:v>227964</x:v>
      </x:c>
      <x:c r="AA15" s="64"/>
      <x:c r="AB15" s="66"/>
      <x:c r="AC15" s="66"/>
      <x:c r="AD15" s="66"/>
      <x:c r="AE15" s="66"/>
      <x:c r="AF15" s="66" t="n">
        <x:f>SUM('Расчетные показатели'!E935:E936)</x:f>
        <x:v>4675</x:v>
      </x:c>
      <x:c r="AG15" s="64" t="n">
        <x:f>'Расчетные показатели'!E937</x:f>
        <x:v>232639</x:v>
      </x:c>
      <x:c r="AH15" s="64"/>
      <x:c r="AI15" s="64" t="n">
        <x:f>'Расчетные показатели'!E952</x:f>
        <x:v>136666</x:v>
      </x:c>
      <x:c r="AJ15" s="64"/>
      <x:c r="AK15" s="64" t="str">
        <x:v>н.п.</x:v>
      </x:c>
      <x:c r="AL15" s="64"/>
      <x:c r="AM15" s="64"/>
      <x:c r="AN15" s="64"/>
      <x:c r="AO15" s="64"/>
      <x:c r="AP15" s="64"/>
      <x:c r="AQ15" s="64"/>
      <x:c r="AR15" s="64"/>
      <x:c r="AS15" s="65"/>
      <x:c r="AT15" s="65" t="n">
        <x:f>IF(COUNT(E15,R15)=2,E15-R15,"не сверено")</x:f>
        <x:v>0</x:v>
      </x:c>
      <x:c r="AU15" s="65" t="n">
        <x:f>IF(COUNT(F15,W15)=2,F15-W15,"не сверено")</x:f>
        <x:v>0</x:v>
      </x:c>
      <x:c r="AV15" s="65" t="n">
        <x:f>IF(COUNT(G15,Y15)=2,G15-Y15,"не сверено")</x:f>
        <x:v>0</x:v>
      </x:c>
      <x:c r="AW15" s="65" t="n">
        <x:f>IF(COUNT(J15,AG15)=2,J15-AG15,"не сверено")</x:f>
        <x:v>0</x:v>
      </x:c>
      <x:c r="AX15" s="65" t="n">
        <x:f>IF(COUNT(K15,AI15)=2,K15-AI15,"не сверено")</x:f>
        <x:v>0</x:v>
      </x:c>
      <x:c r="AY15" s="65" t="n">
        <x:f>IF(COUNT(I15,Z15)=2,I15-Z15,"не сверено")</x:f>
        <x:v>0</x:v>
      </x:c>
      <x:c r="AZ15" s="65" t="str">
        <x:f>IF(COUNT(L15,AM15)=2,L15-AM15,"не сверено")</x:f>
        <x:v>не сверено</x:v>
      </x:c>
      <x:c r="BA15" s="65" t="str">
        <x:f>IF(COUNT(M15,AP15)=2,M15-AP15,"не сверено")</x:f>
        <x:v>не сверено</x:v>
      </x:c>
      <x:c r="BB15" s="65"/>
      <x:c r="BC15" s="67" t="str">
        <x:v>X5_IR_2026H1.pdf; PDF стр. 12; 127 305 + 308 552 + 742 991 − 125 210 = 1 053 638</x:v>
      </x:c>
      <x:c r="BD15" s="67" t="str">
        <x:v>ЧД IFRS 16 1 053 638 млн руб.; аренда 742 991 млн руб. включена и отдельно показана в V15</x:v>
      </x:c>
      <x:c r="BE15" s="67" t="str">
        <x:v>X5_IR_2026H1.pdf; PDF стр. 12; раскрытый ЧД до IFRS 16 — 310 647 млн руб.</x:v>
      </x:c>
      <x:c r="BF15" s="67" t="str">
        <x:v>X5_2026H1.pdf; PDF стр. 5–6; выручка, прибыль акционеров и капитал</x:v>
      </x:c>
      <x:c r="BG15" s="67" t="str">
        <x:v>X5_IR_2026H1.pdf; PDF стр. 15, 17; скорр. EBITDA IFRS 16 — 232 639; дополнительно скорр. EBITDA до IFRS 16 — 141 341 (стр. 3; расчетные строки 964–967)</x:v>
      </x:c>
      <x:c r="BH15" s="67" t="str">
        <x:v>X5_IR_2026H1.pdf; PDF стр. 3, 18; EBITDA до IFRS 16 — 136 666</x:v>
      </x:c>
      <x:c r="BI15" s="67" t="str">
        <x:v>X5_IR_2026H1.pdf; PDF стр. 15, 17; EBITDA IFRS 16 — 227 964</x:v>
      </x:c>
      <x:c r="BJ15" s="67"/>
      <x:c r="BK15" s="67"/>
      <x:c r="BL15" s="67" t="str">
        <x:v>X5_2026H1.pdf; PDF стр. 22</x:v>
      </x:c>
      <x:c r="BM15" s="67" t="str">
        <x:v>X5_2026H1.pdf; страница не подтверждена</x:v>
      </x:c>
      <x:c r="BN15" s="65" t="n">
        <x:f>'Расчетные показатели'!E414</x:f>
        <x:v>742991</x:v>
      </x:c>
      <x:c r="BO15" s="65" t="n">
        <x:f>'Расчетные показатели'!E415</x:f>
        <x:v>0</x:v>
      </x:c>
      <x:c r="BP15" s="65" t="n">
        <x:f>'Расчетные показатели'!E967</x:f>
        <x:v>141341</x:v>
      </x:c>
      <x:c r="BQ15" s="65"/>
      <x:c r="BR15" s="67" t="str"/>
      <x:c r="BS15" s="65"/>
      <x:c r="BT15" s="65"/>
      <x:c r="BU15" s="65"/>
      <x:c r="BV15" s="65"/>
      <x:c r="BW15" s="65"/>
      <x:c r="BX15" s="65"/>
      <x:c r="BY15" s="65"/>
      <x:c r="BZ15" s="65"/>
      <x:c r="CA15" s="65"/>
      <x:c r="CB15" s="65"/>
      <x:c r="CC15" s="65"/>
      <x:c r="CD15" s="65"/>
      <x:c r="CE15" s="65" t="n">
        <x:f>'Расчетные показатели'!E950</x:f>
        <x:v>-90233</x:v>
      </x:c>
      <x:c r="CF15" s="65"/>
      <x:c r="CG15" s="65"/>
      <x:c r="CH15" s="65"/>
      <x:c r="CI15" s="65"/>
      <x:c r="CJ15" s="65"/>
      <x:c r="CK15" s="65"/>
      <x:c r="CL15" s="65"/>
      <x:c r="CM15" s="65"/>
      <x:c r="CN15" s="65"/>
    </x:row>
    <x:row r="16">
      <x:c r="A16"/>
      <x:c r="B16" s="3">
        <x:v>10</x:v>
      </x:c>
      <x:c r="C16" s="3" t="s">
        <x:v>85</x:v>
      </x:c>
      <x:c r="D16"/>
      <x:c r="E16" s="64" t="str">
        <x:v>н.д.</x:v>
      </x:c>
      <x:c r="F16" s="64"/>
      <x:c r="G16" s="64"/>
      <x:c r="H16" s="64" t="n">
        <x:f>'Расчетные показатели'!E417</x:f>
        <x:v>4289000</x:v>
      </x:c>
      <x:c r="I16" s="64" t="n">
        <x:f>'Расчетные показатели'!E418</x:f>
        <x:v>1296000</x:v>
      </x:c>
      <x:c r="J16" s="64"/>
      <x:c r="K16" s="64"/>
      <x:c r="L16" s="64"/>
      <x:c r="M16" s="64"/>
      <x:c r="N16" s="64" t="n">
        <x:f>'Расчетные показатели'!E419</x:f>
        <x:v>200000</x:v>
      </x:c>
      <x:c r="O16" s="64" t="str">
        <x:v>н.д.</x:v>
      </x:c>
      <x:c r="P16" s="65"/>
      <x:c r="Q16" s="65"/>
      <x:c r="R16" s="64" t="str">
        <x:v>н.д.</x:v>
      </x:c>
      <x:c r="S16" s="66"/>
      <x:c r="T16" s="66"/>
      <x:c r="U16" s="66"/>
      <x:c r="V16" s="66"/>
      <x:c r="W16" s="64"/>
      <x:c r="X16" s="64"/>
      <x:c r="Y16" s="66" t="str">
        <x:v>н.п.</x:v>
      </x:c>
      <x:c r="Z16" s="64" t="n">
        <x:f>'Расчетные показатели'!E418</x:f>
        <x:v>1296000</x:v>
      </x:c>
      <x:c r="AA16" s="64"/>
      <x:c r="AB16" s="66"/>
      <x:c r="AC16" s="66"/>
      <x:c r="AD16" s="66"/>
      <x:c r="AE16" s="66"/>
      <x:c r="AF16" s="66"/>
      <x:c r="AG16" s="64"/>
      <x:c r="AH16" s="64"/>
      <x:c r="AI16" s="64" t="str">
        <x:v>н.п.</x:v>
      </x:c>
      <x:c r="AJ16" s="64"/>
      <x:c r="AK16" s="64" t="str">
        <x:v>н.п.</x:v>
      </x:c>
      <x:c r="AL16" s="64"/>
      <x:c r="AM16" s="64"/>
      <x:c r="AN16" s="64"/>
      <x:c r="AO16" s="64"/>
      <x:c r="AP16" s="64"/>
      <x:c r="AQ16" s="64"/>
      <x:c r="AR16" s="64"/>
      <x:c r="AS16" s="65"/>
      <x:c r="AT16" s="65" t="str">
        <x:f>IF(COUNT(E16,R16)=2,E16-R16,"не сверено")</x:f>
        <x:v>не сверено</x:v>
      </x:c>
      <x:c r="AU16" s="65" t="str">
        <x:f>IF(COUNT(F16,W16)=2,F16-W16,"не сверено")</x:f>
        <x:v>не сверено</x:v>
      </x:c>
      <x:c r="AV16" s="65" t="str">
        <x:f>IF(COUNT(G16,Y16)=2,G16-Y16,"не сверено")</x:f>
        <x:v>не сверено</x:v>
      </x:c>
      <x:c r="AW16" s="65" t="str">
        <x:f>IF(COUNT(J16,AG16)=2,J16-AG16,"не сверено")</x:f>
        <x:v>не сверено</x:v>
      </x:c>
      <x:c r="AX16" s="65" t="str">
        <x:f>IF(COUNT(K16,AI16)=2,K16-AI16,"не сверено")</x:f>
        <x:v>не сверено</x:v>
      </x:c>
      <x:c r="AY16" s="65" t="n">
        <x:f>IF(COUNT(I16,Z16)=2,I16-Z16,"не сверено")</x:f>
        <x:v>0</x:v>
      </x:c>
      <x:c r="AZ16" s="65" t="str">
        <x:f>IF(COUNT(L16,AM16)=2,L16-AM16,"не сверено")</x:f>
        <x:v>не сверено</x:v>
      </x:c>
      <x:c r="BA16" s="65" t="str">
        <x:f>IF(COUNT(M16,AP16)=2,M16-AP16,"не сверено")</x:f>
        <x:v>не сверено</x:v>
      </x:c>
      <x:c r="BB16" s="65"/>
      <x:c r="BC16" s="67" t="str">
        <x:v>Официальный IR-релиз Роснефти от 28.08.2026: раскрыт только ЧД/EBITDA 1,8x; точная сумма и компоненты ЧД не раскрыты — н.д.</x:v>
      </x:c>
      <x:c r="BD16" s="67"/>
      <x:c r="BE16" s="67"/>
      <x:c r="BF16" s="67" t="str">
        <x:v>ROSN_2026H1.pdf; PDF стр. 6; выручка и прибыль акционеров</x:v>
      </x:c>
      <x:c r="BG16" s="67"/>
      <x:c r="BH16" s="67"/>
      <x:c r="BI16" s="67" t="str">
        <x:v>Официальный IR-релиз Роснефти от 28.08.2026; EBITDA — 1 296 000 млн руб.; https://www.rosneft.ru/press/releases/item/224606/</x:v>
      </x:c>
      <x:c r="BJ16" s="67"/>
      <x:c r="BK16" s="67"/>
      <x:c r="BL16" s="67" t="str">
        <x:v>ROSN_2026H1.pdf; PDF стр. 6; прибыль акционеров — 200 000 млн руб.</x:v>
      </x:c>
      <x:c r="BM16" s="67" t="str">
        <x:v>ROSN_2026H1.pdf; PDF стр. 5; раскрыт только общий капитал 9 285 000 млн руб.; капитал акционеров — н.д.</x:v>
      </x:c>
      <x:c r="BN16" s="65"/>
      <x:c r="BO16" s="65"/>
      <x:c r="BP16" s="65"/>
      <x:c r="BQ16" s="65" t="n">
        <x:f>'Расчетные показатели'!E420</x:f>
        <x:v>9285000</x:v>
      </x:c>
      <x:c r="BR16" s="67" t="str">
        <x:v>ЧД не рассчитан из округлённого ЧД/EBITDA 1,8x. Точный ЧД и его компоненты не раскрыты. Общий капитал 9 285 000 млн руб. показан отдельно в BQ; доля акционеров и НКД не выделены.</x:v>
      </x:c>
      <x:c r="BS16" s="65"/>
      <x:c r="BT16" s="65"/>
      <x:c r="BU16" s="65"/>
      <x:c r="BV16" s="65"/>
      <x:c r="BW16" s="65"/>
      <x:c r="BX16" s="65"/>
      <x:c r="BY16" s="65"/>
      <x:c r="BZ16" s="65"/>
      <x:c r="CA16" s="65"/>
      <x:c r="CB16" s="65"/>
      <x:c r="CC16" s="65"/>
      <x:c r="CD16" s="65"/>
      <x:c r="CE16" s="65"/>
      <x:c r="CF16" s="65"/>
      <x:c r="CG16" s="65"/>
      <x:c r="CH16" s="65"/>
      <x:c r="CI16" s="65"/>
      <x:c r="CJ16" s="65"/>
      <x:c r="CK16" s="65"/>
      <x:c r="CL16" s="65"/>
      <x:c r="CM16" s="65"/>
      <x:c r="CN16" s="65"/>
    </x:row>
    <x:row r="17">
      <x:c r="A17"/>
      <x:c r="B17" s="3">
        <x:v>11</x:v>
      </x:c>
      <x:c r="C17" s="3" t="s">
        <x:v>86</x:v>
      </x:c>
      <x:c r="D17"/>
      <x:c r="E17" s="64" t="str">
        <x:v>н.д.</x:v>
      </x:c>
      <x:c r="F17" s="64"/>
      <x:c r="G17" s="64"/>
      <x:c r="H17" s="64" t="n">
        <x:f>'Расчетные показатели'!E421</x:f>
        <x:v>352667</x:v>
      </x:c>
      <x:c r="I17" s="64" t="str">
        <x:v>н.д.</x:v>
      </x:c>
      <x:c r="J17" s="64" t="str">
        <x:v>н.д.</x:v>
      </x:c>
      <x:c r="K17" s="64"/>
      <x:c r="L17" s="64"/>
      <x:c r="M17" s="64"/>
      <x:c r="N17" s="64" t="n">
        <x:f>'Расчетные показатели'!E422</x:f>
        <x:v>61236</x:v>
      </x:c>
      <x:c r="O17" s="64" t="n">
        <x:f>'Расчетные показатели'!E423</x:f>
        <x:v>252831</x:v>
      </x:c>
      <x:c r="P17" s="65"/>
      <x:c r="Q17" s="65"/>
      <x:c r="R17" s="64" t="str">
        <x:v>н.д.</x:v>
      </x:c>
      <x:c r="S17" s="66"/>
      <x:c r="T17" s="66"/>
      <x:c r="U17" s="66"/>
      <x:c r="V17" s="66"/>
      <x:c r="W17" s="64"/>
      <x:c r="X17" s="64"/>
      <x:c r="Y17" s="66" t="str">
        <x:v>н.п.</x:v>
      </x:c>
      <x:c r="Z17" s="64" t="str">
        <x:v>н.д.</x:v>
      </x:c>
      <x:c r="AA17" s="64"/>
      <x:c r="AB17" s="66"/>
      <x:c r="AC17" s="66"/>
      <x:c r="AD17" s="66"/>
      <x:c r="AE17" s="66"/>
      <x:c r="AF17" s="66"/>
      <x:c r="AG17" s="64" t="str">
        <x:v>н.д.</x:v>
      </x:c>
      <x:c r="AH17" s="64"/>
      <x:c r="AI17" s="64" t="str">
        <x:v>н.п.</x:v>
      </x:c>
      <x:c r="AJ17" s="64"/>
      <x:c r="AK17" s="64" t="str">
        <x:v>н.п.</x:v>
      </x:c>
      <x:c r="AL17" s="64"/>
      <x:c r="AM17" s="64"/>
      <x:c r="AN17" s="64"/>
      <x:c r="AO17" s="64"/>
      <x:c r="AP17" s="64"/>
      <x:c r="AQ17" s="64"/>
      <x:c r="AR17" s="64"/>
      <x:c r="AS17" s="65"/>
      <x:c r="AT17" s="65" t="str">
        <x:f>IF(COUNT(E17,R17)=2,E17-R17,"не сверено")</x:f>
        <x:v>не сверено</x:v>
      </x:c>
      <x:c r="AU17" s="65" t="str">
        <x:f>IF(COUNT(F17,W17)=2,F17-W17,"не сверено")</x:f>
        <x:v>не сверено</x:v>
      </x:c>
      <x:c r="AV17" s="65" t="str">
        <x:f>IF(COUNT(G17,Y17)=2,G17-Y17,"не сверено")</x:f>
        <x:v>не сверено</x:v>
      </x:c>
      <x:c r="AW17" s="65" t="str">
        <x:f>IF(COUNT(J17,AG17)=2,J17-AG17,"не сверено")</x:f>
        <x:v>не сверено</x:v>
      </x:c>
      <x:c r="AX17" s="65" t="str">
        <x:f>IF(COUNT(K17,AI17)=2,K17-AI17,"не сверено")</x:f>
        <x:v>не сверено</x:v>
      </x:c>
      <x:c r="AY17" s="65" t="str">
        <x:f>IF(COUNT(I17,Z17)=2,I17-Z17,"не сверено")</x:f>
        <x:v>не сверено</x:v>
      </x:c>
      <x:c r="AZ17" s="65" t="str">
        <x:f>IF(COUNT(L17,AM17)=2,L17-AM17,"не сверено")</x:f>
        <x:v>не сверено</x:v>
      </x:c>
      <x:c r="BA17" s="65" t="str">
        <x:f>IF(COUNT(M17,AP17)=2,M17-AP17,"не сверено")</x:f>
        <x:v>не сверено</x:v>
      </x:c>
      <x:c r="BB17" s="65"/>
      <x:c r="BC17" s="67" t="str">
        <x:v>PLZL_IR_2026H1.pdf; PDF стр. 1, 3; раскрыт только округлённый ЧД/скорр. EBITDA 1,1x; точный ЧД не раскрыт — н.д.</x:v>
      </x:c>
      <x:c r="BD17" s="67"/>
      <x:c r="BE17" s="67"/>
      <x:c r="BF17" s="67" t="str">
        <x:v>PLZL_2026H1.pdf; PDF стр. 6</x:v>
      </x:c>
      <x:c r="BG17" s="67" t="str">
        <x:v>PLZL_IR_2026H1.pdf; точная обычная EBITDA не раскрыта — н.д.</x:v>
      </x:c>
      <x:c r="BH17" s="67" t="str">
        <x:v>PLZL_IR_2026H1.pdf; точная скорректированная EBITDA не раскрыта — н.д.; обратный расчёт из 1,1x не выполнялся.</x:v>
      </x:c>
      <x:c r="BI17" s="67"/>
      <x:c r="BJ17" s="67"/>
      <x:c r="BK17" s="67"/>
      <x:c r="BL17" s="67" t="str">
        <x:v>PLZL_2026H1.pdf; PDF стр. 6, 8</x:v>
      </x:c>
      <x:c r="BM17" s="67" t="str">
        <x:v>PLZL_2026H1.pdf; PDF стр. 7, 8</x:v>
      </x:c>
      <x:c r="BN17" s="65"/>
      <x:c r="BO17" s="65" t="n">
        <x:f>'Расчетные показатели'!E424</x:f>
        <x:v>0</x:v>
      </x:c>
      <x:c r="BP17" s="65"/>
      <x:c r="BQ17" s="65"/>
      <x:c r="BR17" s="67" t="str">
        <x:v>Сверено по доступному комплекту. Выручка, прибыль акционеров и капитал подтверждены. Точные ЧД и EBITDA отсутствуют; округлённый коэффициент 1,1x не использован для обратного расчёта.</x:v>
      </x:c>
      <x:c r="BS17" s="65"/>
      <x:c r="BT17" s="65"/>
      <x:c r="BU17" s="65"/>
      <x:c r="BV17" s="65"/>
      <x:c r="BW17" s="65"/>
      <x:c r="BX17" s="65"/>
      <x:c r="BY17" s="65"/>
      <x:c r="BZ17" s="65"/>
      <x:c r="CA17" s="65"/>
      <x:c r="CB17" s="65"/>
      <x:c r="CC17" s="65"/>
      <x:c r="CD17" s="65"/>
      <x:c r="CE17" s="65"/>
      <x:c r="CF17" s="65"/>
      <x:c r="CG17" s="65"/>
      <x:c r="CH17" s="65"/>
      <x:c r="CI17" s="65"/>
      <x:c r="CJ17" s="65"/>
      <x:c r="CK17" s="65"/>
      <x:c r="CL17" s="65"/>
      <x:c r="CM17" s="65"/>
      <x:c r="CN17" s="65"/>
    </x:row>
    <x:row r="18">
      <x:c r="A18"/>
      <x:c r="B18" s="3">
        <x:v>12</x:v>
      </x:c>
      <x:c r="C18" s="3" t="s">
        <x:v>87</x:v>
      </x:c>
      <x:c r="D18"/>
      <x:c r="E18" s="64"/>
      <x:c r="F18" s="64"/>
      <x:c r="G18" s="64"/>
      <x:c r="H18" s="64"/>
      <x:c r="I18" s="64"/>
      <x:c r="J18" s="64"/>
      <x:c r="K18" s="64"/>
      <x:c r="L18" s="64"/>
      <x:c r="M18" s="64"/>
      <x:c r="N18" s="64"/>
      <x:c r="O18" s="64"/>
      <x:c r="P18" s="65"/>
      <x:c r="Q18" s="65"/>
      <x:c r="R18" s="64"/>
      <x:c r="S18" s="66"/>
      <x:c r="T18" s="66"/>
      <x:c r="U18" s="66"/>
      <x:c r="V18" s="66"/>
      <x:c r="W18" s="64"/>
      <x:c r="X18" s="64"/>
      <x:c r="Y18" s="66" t="str">
        <x:v>н.п.</x:v>
      </x:c>
      <x:c r="Z18" s="64"/>
      <x:c r="AA18" s="64"/>
      <x:c r="AB18" s="66"/>
      <x:c r="AC18" s="66"/>
      <x:c r="AD18" s="66"/>
      <x:c r="AE18" s="66"/>
      <x:c r="AF18" s="66"/>
      <x:c r="AG18" s="64"/>
      <x:c r="AH18" s="64"/>
      <x:c r="AI18" s="64" t="str">
        <x:v>н.п.</x:v>
      </x:c>
      <x:c r="AJ18" s="64"/>
      <x:c r="AK18" s="64" t="str">
        <x:v>н.п.</x:v>
      </x:c>
      <x:c r="AL18" s="64"/>
      <x:c r="AM18" s="64"/>
      <x:c r="AN18" s="64"/>
      <x:c r="AO18" s="64"/>
      <x:c r="AP18" s="64"/>
      <x:c r="AQ18" s="64"/>
      <x:c r="AR18" s="64"/>
      <x:c r="AS18" s="65"/>
      <x:c r="AT18" s="65" t="str">
        <x:f>IF(COUNT(E18,R18)=2,E18-R18,"не сверено")</x:f>
        <x:v>не сверено</x:v>
      </x:c>
      <x:c r="AU18" s="65" t="str">
        <x:f>IF(COUNT(F18,W18)=2,F18-W18,"не сверено")</x:f>
        <x:v>не сверено</x:v>
      </x:c>
      <x:c r="AV18" s="65" t="str">
        <x:f>IF(COUNT(G18,Y18)=2,G18-Y18,"не сверено")</x:f>
        <x:v>не сверено</x:v>
      </x:c>
      <x:c r="AW18" s="65" t="str">
        <x:f>IF(COUNT(J18,AG18)=2,J18-AG18,"не сверено")</x:f>
        <x:v>не сверено</x:v>
      </x:c>
      <x:c r="AX18" s="65" t="str">
        <x:f>IF(COUNT(K18,AI18)=2,K18-AI18,"не сверено")</x:f>
        <x:v>не сверено</x:v>
      </x:c>
      <x:c r="AY18" s="65" t="str">
        <x:f>IF(COUNT(I18,Z18)=2,I18-Z18,"не сверено")</x:f>
        <x:v>не сверено</x:v>
      </x:c>
      <x:c r="AZ18" s="65" t="str">
        <x:f>IF(COUNT(L18,AM18)=2,L18-AM18,"не сверено")</x:f>
        <x:v>не сверено</x:v>
      </x:c>
      <x:c r="BA18" s="65" t="str">
        <x:f>IF(COUNT(M18,AP18)=2,M18-AP18,"не сверено")</x:f>
        <x:v>не сверено</x:v>
      </x:c>
      <x:c r="BB18" s="65"/>
      <x:c r="BC18" s="67"/>
      <x:c r="BD18" s="67"/>
      <x:c r="BE18" s="67"/>
      <x:c r="BF18" s="67"/>
      <x:c r="BG18" s="67"/>
      <x:c r="BH18" s="67"/>
      <x:c r="BI18" s="67"/>
      <x:c r="BJ18" s="67"/>
      <x:c r="BK18" s="67"/>
      <x:c r="BL18" s="67"/>
      <x:c r="BM18" s="67"/>
      <x:c r="BN18" s="65"/>
      <x:c r="BO18" s="65"/>
      <x:c r="BP18" s="65"/>
      <x:c r="BQ18" s="65"/>
      <x:c r="BR18" s="67" t="str">
        <x:v>Отчет не получен; данные не заменены нулями.</x:v>
      </x:c>
      <x:c r="BS18" s="65"/>
      <x:c r="BT18" s="65"/>
      <x:c r="BU18" s="65"/>
      <x:c r="BV18" s="65"/>
      <x:c r="BW18" s="65"/>
      <x:c r="BX18" s="65"/>
      <x:c r="BY18" s="65"/>
      <x:c r="BZ18" s="65"/>
      <x:c r="CA18" s="65"/>
      <x:c r="CB18" s="65"/>
      <x:c r="CC18" s="65"/>
      <x:c r="CD18" s="65"/>
      <x:c r="CE18" s="65"/>
      <x:c r="CF18" s="65"/>
      <x:c r="CG18" s="65"/>
      <x:c r="CH18" s="65"/>
      <x:c r="CI18" s="65"/>
      <x:c r="CJ18" s="65"/>
      <x:c r="CK18" s="65"/>
      <x:c r="CL18" s="65"/>
      <x:c r="CM18" s="65"/>
      <x:c r="CN18" s="65"/>
    </x:row>
    <x:row r="19">
      <x:c r="A19"/>
      <x:c r="B19" s="3">
        <x:v>13</x:v>
      </x:c>
      <x:c r="C19" s="3" t="s">
        <x:v>88</x:v>
      </x:c>
      <x:c r="D19"/>
      <x:c r="E19" s="64" t="n">
        <x:f>'Расчетные показатели'!E1347</x:f>
        <x:v>-7988.118</x:v>
      </x:c>
      <x:c r="F19" s="64" t="n">
        <x:f>'Расчетные показатели'!E1349</x:f>
        <x:v>-4755.443</x:v>
      </x:c>
      <x:c r="G19" s="64"/>
      <x:c r="H19" s="64" t="n">
        <x:f>'Расчетные показатели'!E425</x:f>
        <x:v>19641.466</x:v>
      </x:c>
      <x:c r="I19" s="64" t="n">
        <x:f>'Расчетные показатели'!E1366</x:f>
        <x:v>8971.554</x:v>
      </x:c>
      <x:c r="J19" s="64" t="n">
        <x:f>'Расчетные показатели'!E889</x:f>
        <x:v>9812.685</x:v>
      </x:c>
      <x:c r="K19" s="64"/>
      <x:c r="L19" s="64" t="str">
        <x:f>AK19</x:f>
        <x:v>н.д.</x:v>
      </x:c>
      <x:c r="M19" s="64"/>
      <x:c r="N19" s="64" t="n">
        <x:f>'Расчетные показатели'!E427</x:f>
        <x:v>6900.047</x:v>
      </x:c>
      <x:c r="O19" s="64" t="n">
        <x:f>'Расчетные показатели'!E428</x:f>
        <x:v>-633.455</x:v>
      </x:c>
      <x:c r="P19" s="65"/>
      <x:c r="Q19" s="65"/>
      <x:c r="R19" s="64" t="n">
        <x:f>'Расчетные показатели'!E1347</x:f>
        <x:v>-7988.118</x:v>
      </x:c>
      <x:c r="S19" s="66" t="n">
        <x:f>'Расчетные показатели'!E429</x:f>
        <x:v>0</x:v>
      </x:c>
      <x:c r="T19" s="66" t="n">
        <x:f>'Расчетные показатели'!E430</x:f>
        <x:v>0</x:v>
      </x:c>
      <x:c r="U19" s="66" t="n">
        <x:f>'Расчетные показатели'!E431</x:f>
        <x:v>7788.118</x:v>
      </x:c>
      <x:c r="V19" s="66" t="n">
        <x:f>'Расчетные показатели'!E1348</x:f>
        <x:v>3232.675</x:v>
      </x:c>
      <x:c r="W19" s="64" t="n">
        <x:f>R19+V19</x:f>
        <x:v>-4755.443</x:v>
      </x:c>
      <x:c r="X19" s="64"/>
      <x:c r="Y19" s="66" t="str">
        <x:v>н.п.</x:v>
      </x:c>
      <x:c r="Z19" s="64" t="n">
        <x:f>'Расчетные показатели'!E1366</x:f>
        <x:v>8971.554</x:v>
      </x:c>
      <x:c r="AA19" s="64"/>
      <x:c r="AB19" s="66"/>
      <x:c r="AC19" s="66"/>
      <x:c r="AD19" s="66" t="n">
        <x:f>'Расчетные показатели'!E432</x:f>
        <x:v>609.923</x:v>
      </x:c>
      <x:c r="AE19" s="66" t="n">
        <x:f>'Расчетные показатели'!E433</x:f>
        <x:v>895.111</x:v>
      </x:c>
      <x:c r="AF19" s="66" t="n">
        <x:f>SUM('Расчетные показатели'!E884:E888)</x:f>
        <x:v>841.131</x:v>
      </x:c>
      <x:c r="AG19" s="64" t="n">
        <x:f>'Расчетные показатели'!E889</x:f>
        <x:v>9812.685</x:v>
      </x:c>
      <x:c r="AH19" s="64"/>
      <x:c r="AI19" s="64" t="str">
        <x:v>н.п.</x:v>
      </x:c>
      <x:c r="AJ19" s="64"/>
      <x:c r="AK19" s="64" t="str">
        <x:v>н.д.</x:v>
      </x:c>
      <x:c r="AL19" s="64"/>
      <x:c r="AM19" s="64"/>
      <x:c r="AN19" s="64"/>
      <x:c r="AO19" s="64"/>
      <x:c r="AP19" s="64"/>
      <x:c r="AQ19" s="64"/>
      <x:c r="AR19" s="64"/>
      <x:c r="AS19" s="65"/>
      <x:c r="AT19" s="65" t="n">
        <x:f>IF(COUNT(E19,R19)=2,E19-R19,"не сверено")</x:f>
        <x:v>0</x:v>
      </x:c>
      <x:c r="AU19" s="65" t="n">
        <x:f>IF(COUNT(F19,W19)=2,F19-W19,"не сверено")</x:f>
        <x:v>0</x:v>
      </x:c>
      <x:c r="AV19" s="65" t="str">
        <x:f>IF(COUNT(G19,Y19)=2,G19-Y19,"не сверено")</x:f>
        <x:v>не сверено</x:v>
      </x:c>
      <x:c r="AW19" s="65" t="n">
        <x:f>IF(COUNT(J19,AG19)=2,J19-AG19,"не сверено")</x:f>
        <x:v>0</x:v>
      </x:c>
      <x:c r="AX19" s="65" t="str">
        <x:f>IF(COUNT(K19,AI19)=2,K19-AI19,"не сверено")</x:f>
        <x:v>не сверено</x:v>
      </x:c>
      <x:c r="AY19" s="65" t="n">
        <x:f>IF(COUNT(I19,Z19)=2,I19-Z19,"не сверено")</x:f>
        <x:v>0</x:v>
      </x:c>
      <x:c r="AZ19" s="65" t="str">
        <x:f>IF(COUNT(L19,AM19)=2,L19-AM19,"не сверено")</x:f>
        <x:v>не сверено</x:v>
      </x:c>
      <x:c r="BA19" s="65" t="str">
        <x:f>IF(COUNT(M19,AP19)=2,M19-AP19,"не сверено")</x:f>
        <x:v>не сверено</x:v>
      </x:c>
      <x:c r="BB19" s="65"/>
      <x:c r="BC19" s="67" t="str">
        <x:v>HEAD_2026H1.pdf; PDF стр. 5; ЧД по раскрытой годовой методике −7 988,118 млн руб.</x:v>
      </x:c>
      <x:c r="BD19" s="67" t="str">
        <x:v>HEAD_2026H1.pdf; PDF стр. 5; аналитический ЧД с арендой −4 755,443 млн руб.</x:v>
      </x:c>
      <x:c r="BE19" s="67"/>
      <x:c r="BF19" s="67" t="str">
        <x:v>HEAD_2026H1.pdf; PDF стр. 6, 15, 17; выручка 19 641,466 млн руб.</x:v>
      </x:c>
      <x:c r="BG19" s="67" t="str">
        <x:v>HEAD_2026H1.pdf; PDF стр. 15; EBITDA по сегменту 9 812,685 млн руб.</x:v>
      </x:c>
      <x:c r="BH19" s="67"/>
      <x:c r="BI19" s="67" t="str">
        <x:v>HEAD_2026H1.pdf; PDF стр. 15; аналитическая EBITDA 8 971,554 млн руб. по годовой методике эмитента</x:v>
      </x:c>
      <x:c r="BJ19" s="67" t="str">
        <x:v>Точная сумма капитализированных затрат на разработку не раскрыта; EBITDAC — н.д., ноль не подставлен.</x:v>
      </x:c>
      <x:c r="BK19" s="67"/>
      <x:c r="BL19" s="67" t="str">
        <x:v>HEAD_2026H1.pdf; PDF стр. 6, 7; прибыль собственников 6 900,047 млн руб.</x:v>
      </x:c>
      <x:c r="BM19" s="67" t="str">
        <x:v>HEAD_2026H1.pdf; PDF стр. 5, 7; капитал собственников −633,455 млн руб.</x:v>
      </x:c>
      <x:c r="BN19" s="65" t="n">
        <x:f>'Расчетные показатели'!E1105</x:f>
        <x:v>3232.6749999999997</x:v>
      </x:c>
      <x:c r="BO19" s="65" t="n">
        <x:f>'Расчетные показатели'!E435</x:f>
        <x:v>10501.42</x:v>
      </x:c>
      <x:c r="BP19" s="65"/>
      <x:c r="BQ19" s="65"/>
      <x:c r="BR19" s="67" t="str">
        <x:v>ЧД рассчитан строго по раскрытой годовой методике с вычетом краткосрочных инвестиций. Аренда 3 232,675 млн руб. показана отдельной корректировкой. Обычная EBITDA аналитическая; скорректированная — раскрытая EBITDA по сегменту.</x:v>
      </x:c>
      <x:c r="BS19" s="65" t="n">
        <x:f>'Расчетные показатели'!E885</x:f>
        <x:v>693.149</x:v>
      </x:c>
      <x:c r="BT19" s="65"/>
      <x:c r="BU19" s="65"/>
      <x:c r="BV19" s="65"/>
      <x:c r="BW19" s="65"/>
      <x:c r="BX19" s="65"/>
      <x:c r="BY19" s="65"/>
      <x:c r="BZ19" s="65"/>
      <x:c r="CA19" s="65"/>
      <x:c r="CB19" s="65"/>
      <x:c r="CC19" s="65"/>
      <x:c r="CD19" s="65" t="n">
        <x:f>'Расчетные показатели'!E884</x:f>
        <x:v>71.577</x:v>
      </x:c>
      <x:c r="CE19" s="65"/>
      <x:c r="CF19" s="65"/>
      <x:c r="CG19" s="65"/>
      <x:c r="CH19" s="65" t="n">
        <x:f>'Расчетные показатели'!E1110</x:f>
        <x:v>655.805</x:v>
      </x:c>
      <x:c r="CI19" s="65" t="n">
        <x:f>'Расчетные показатели'!E1111</x:f>
        <x:v>2576.87</x:v>
      </x:c>
      <x:c r="CJ19" s="65"/>
      <x:c r="CK19" s="65"/>
      <x:c r="CL19" s="65"/>
      <x:c r="CM19" s="65"/>
      <x:c r="CN19" s="65"/>
    </x:row>
    <x:row r="20">
      <x:c r="A20"/>
      <x:c r="B20" s="3">
        <x:v>14</x:v>
      </x:c>
      <x:c r="C20" s="3" t="s">
        <x:v>89</x:v>
      </x:c>
      <x:c r="D20"/>
      <x:c r="E20" s="64" t="n">
        <x:f>'Расчетные показатели'!E1385</x:f>
        <x:v>474100</x:v>
      </x:c>
      <x:c r="F20" s="64" t="n">
        <x:f>'Расчетные показатели'!E1389</x:f>
        <x:v>646335</x:v>
      </x:c>
      <x:c r="G20" s="64"/>
      <x:c r="H20" s="64" t="n">
        <x:f>'Расчетные показатели'!E436</x:f>
        <x:v>414729</x:v>
      </x:c>
      <x:c r="I20" s="64"/>
      <x:c r="J20" s="64"/>
      <x:c r="K20" s="64"/>
      <x:c r="L20" s="64"/>
      <x:c r="M20" s="64" t="n">
        <x:f>'Расчетные показатели'!E990</x:f>
        <x:v>159346</x:v>
      </x:c>
      <x:c r="N20" s="64" t="n">
        <x:f>'Расчетные показатели'!E438</x:f>
        <x:v>74030</x:v>
      </x:c>
      <x:c r="O20" s="64" t="n">
        <x:f>'Расчетные показатели'!E439</x:f>
        <x:v>4142</x:v>
      </x:c>
      <x:c r="P20" s="65"/>
      <x:c r="Q20" s="65"/>
      <x:c r="R20" s="64" t="n">
        <x:f>'Расчетные показатели'!E1385</x:f>
        <x:v>474100</x:v>
      </x:c>
      <x:c r="S20" s="66"/>
      <x:c r="T20" s="66"/>
      <x:c r="U20" s="66"/>
      <x:c r="V20" s="66" t="n">
        <x:f>'Расчетные показатели'!E1388</x:f>
        <x:v>172235</x:v>
      </x:c>
      <x:c r="W20" s="64" t="n">
        <x:f>R20+V20</x:f>
        <x:v>646335</x:v>
      </x:c>
      <x:c r="X20" s="64"/>
      <x:c r="Y20" s="66" t="str">
        <x:v>н.п.</x:v>
      </x:c>
      <x:c r="Z20" s="64"/>
      <x:c r="AA20" s="64"/>
      <x:c r="AB20" s="66"/>
      <x:c r="AC20" s="66"/>
      <x:c r="AD20" s="66"/>
      <x:c r="AE20" s="66"/>
      <x:c r="AF20" s="66"/>
      <x:c r="AG20" s="64"/>
      <x:c r="AH20" s="64"/>
      <x:c r="AI20" s="64" t="str">
        <x:v>н.п.</x:v>
      </x:c>
      <x:c r="AJ20" s="64"/>
      <x:c r="AK20" s="64" t="str">
        <x:v>н.п.</x:v>
      </x:c>
      <x:c r="AL20" s="64"/>
      <x:c r="AM20" s="64"/>
      <x:c r="AN20" s="64"/>
      <x:c r="AO20" s="64"/>
      <x:c r="AP20" s="64" t="n">
        <x:f>'Расчетные показатели'!E990</x:f>
        <x:v>159346</x:v>
      </x:c>
      <x:c r="AQ20" s="64"/>
      <x:c r="AR20" s="64"/>
      <x:c r="AS20" s="65"/>
      <x:c r="AT20" s="65" t="n">
        <x:f>IF(COUNT(E20,R20)=2,E20-R20,"не сверено")</x:f>
        <x:v>0</x:v>
      </x:c>
      <x:c r="AU20" s="65" t="n">
        <x:f>IF(COUNT(F20,W20)=2,F20-W20,"не сверено")</x:f>
        <x:v>0</x:v>
      </x:c>
      <x:c r="AV20" s="65" t="str">
        <x:f>IF(COUNT(G20,Y20)=2,G20-Y20,"не сверено")</x:f>
        <x:v>не сверено</x:v>
      </x:c>
      <x:c r="AW20" s="65" t="str">
        <x:f>IF(COUNT(J20,AG20)=2,J20-AG20,"не сверено")</x:f>
        <x:v>не сверено</x:v>
      </x:c>
      <x:c r="AX20" s="65" t="str">
        <x:f>IF(COUNT(K20,AI20)=2,K20-AI20,"не сверено")</x:f>
        <x:v>не сверено</x:v>
      </x:c>
      <x:c r="AY20" s="65" t="str">
        <x:f>IF(COUNT(I20,Z20)=2,I20-Z20,"не сверено")</x:f>
        <x:v>не сверено</x:v>
      </x:c>
      <x:c r="AZ20" s="65" t="str">
        <x:f>IF(COUNT(L20,AM20)=2,L20-AM20,"не сверено")</x:f>
        <x:v>не сверено</x:v>
      </x:c>
      <x:c r="BA20" s="65" t="n">
        <x:f>IF(COUNT(M20,AP20)=2,M20-AP20,"не сверено")</x:f>
        <x:v>0</x:v>
      </x:c>
      <x:c r="BB20" s="65"/>
      <x:c r="BC20" s="67" t="str">
        <x:v>474 100 млн руб.; официальный IR-релиз МТС от 25.08.2026: https://ir.mts.ru/news_and_events/corporate_releases/details/742437</x:v>
      </x:c>
      <x:c r="BD20" s="67" t="str">
        <x:v>646 335 млн руб. = 474 100 + аренда 172 235; MTSS_2026H1.pdf, стр. 6</x:v>
      </x:c>
      <x:c r="BE20" s="67"/>
      <x:c r="BF20" s="67" t="str">
        <x:v>MTSS_2026H1.pdf; стр. 9, 15</x:v>
      </x:c>
      <x:c r="BG20" s="67"/>
      <x:c r="BH20" s="67"/>
      <x:c r="BI20" s="67"/>
      <x:c r="BJ20" s="67"/>
      <x:c r="BK20" s="67" t="str">
        <x:v>MTSS_2026H1.pdf; стр. 15</x:v>
      </x:c>
      <x:c r="BL20" s="67" t="str">
        <x:v>MTSS_2026H1.pdf; стр. 9</x:v>
      </x:c>
      <x:c r="BM20" s="67" t="str">
        <x:v>MTSS_2026H1.pdf; стр. 6</x:v>
      </x:c>
      <x:c r="BN20" s="65" t="n">
        <x:v>172235</x:v>
      </x:c>
      <x:c r="BO20" s="65" t="n">
        <x:f>'Расчетные показатели'!E440</x:f>
        <x:v>30520</x:v>
      </x:c>
      <x:c r="BP20" s="65"/>
      <x:c r="BQ20" s="65" t="n">
        <x:f>O20+BO20</x:f>
        <x:v>34662</x:v>
      </x:c>
      <x:c r="BR20" s="67" t="str">
        <x:v>OIBDA по методологии МТС. Чистый долг компании исключает обязательства по аренде; скорректированный ЧД показан отдельно с включением аренды.</x:v>
      </x:c>
      <x:c r="BS20" s="65"/>
      <x:c r="BT20" s="65"/>
      <x:c r="BU20" s="65"/>
      <x:c r="BV20" s="65"/>
      <x:c r="BW20" s="65"/>
      <x:c r="BX20" s="65"/>
      <x:c r="BY20" s="65"/>
      <x:c r="BZ20" s="65"/>
      <x:c r="CA20" s="65"/>
      <x:c r="CB20" s="65"/>
      <x:c r="CC20" s="65"/>
      <x:c r="CD20" s="65"/>
      <x:c r="CE20" s="65"/>
      <x:c r="CF20" s="65"/>
      <x:c r="CG20" s="65"/>
      <x:c r="CH20" s="65"/>
      <x:c r="CI20" s="65"/>
      <x:c r="CJ20" s="65"/>
      <x:c r="CK20" s="65"/>
      <x:c r="CL20" s="65"/>
      <x:c r="CM20" s="65"/>
      <x:c r="CN20" s="65"/>
    </x:row>
    <x:row r="21">
      <x:c r="A21"/>
      <x:c r="B21" s="3">
        <x:v>15</x:v>
      </x:c>
      <x:c r="C21" s="3" t="s">
        <x:v>91</x:v>
      </x:c>
      <x:c r="D21"/>
      <x:c r="E21" s="80" t="n">
        <x:f>'Расчетные показатели'!E1408</x:f>
        <x:v>-250290</x:v>
      </x:c>
      <x:c r="F21" s="64"/>
      <x:c r="G21" s="64"/>
      <x:c r="H21" s="64" t="n">
        <x:f>'Расчетные показатели'!E441</x:f>
        <x:v>953384</x:v>
      </x:c>
      <x:c r="I21" s="64"/>
      <x:c r="J21" s="64" t="n">
        <x:f>'Расчетные показатели'!E814</x:f>
        <x:v>89260</x:v>
      </x:c>
      <x:c r="K21" s="64"/>
      <x:c r="L21" s="64"/>
      <x:c r="M21" s="64"/>
      <x:c r="N21" s="64" t="n">
        <x:f>'Расчетные показатели'!E443</x:f>
        <x:v>66562</x:v>
      </x:c>
      <x:c r="O21" s="64" t="n">
        <x:f>'Расчетные показатели'!E444</x:f>
        <x:v>1166537</x:v>
      </x:c>
      <x:c r="P21" s="65"/>
      <x:c r="Q21" s="65"/>
      <x:c r="R21" s="80" t="n">
        <x:f>'Расчетные показатели'!E1408</x:f>
        <x:v>-250290</x:v>
      </x:c>
      <x:c r="S21" s="66"/>
      <x:c r="T21" s="66"/>
      <x:c r="U21" s="66"/>
      <x:c r="V21" s="66"/>
      <x:c r="W21" s="64"/>
      <x:c r="X21" s="64"/>
      <x:c r="Y21" s="66" t="str">
        <x:v>н.п.</x:v>
      </x:c>
      <x:c r="Z21" s="64"/>
      <x:c r="AA21" s="64"/>
      <x:c r="AB21" s="66"/>
      <x:c r="AC21" s="66"/>
      <x:c r="AD21" s="66"/>
      <x:c r="AE21" s="66"/>
      <x:c r="AF21" s="66" t="n">
        <x:f>SUM('Расчетные показатели'!E807:E813)</x:f>
        <x:v>3591</x:v>
      </x:c>
      <x:c r="AG21" s="64" t="n">
        <x:f>'Расчетные показатели'!E814</x:f>
        <x:v>89260</x:v>
      </x:c>
      <x:c r="AH21" s="64"/>
      <x:c r="AI21" s="64" t="str">
        <x:v>н.п.</x:v>
      </x:c>
      <x:c r="AJ21" s="64"/>
      <x:c r="AK21" s="64" t="str">
        <x:v>н.п.</x:v>
      </x:c>
      <x:c r="AL21" s="64"/>
      <x:c r="AM21" s="64"/>
      <x:c r="AN21" s="64"/>
      <x:c r="AO21" s="64"/>
      <x:c r="AP21" s="64"/>
      <x:c r="AQ21" s="64"/>
      <x:c r="AR21" s="64"/>
      <x:c r="AS21" s="65"/>
      <x:c r="AT21" s="65" t="n">
        <x:f>IF(COUNT(E21,R21)=2,E21-R21,"не сверено")</x:f>
        <x:v>0</x:v>
      </x:c>
      <x:c r="AU21" s="65" t="str">
        <x:f>IF(COUNT(F21,W21)=2,F21-W21,"не сверено")</x:f>
        <x:v>не сверено</x:v>
      </x:c>
      <x:c r="AV21" s="65" t="str">
        <x:f>IF(COUNT(G21,Y21)=2,G21-Y21,"не сверено")</x:f>
        <x:v>не сверено</x:v>
      </x:c>
      <x:c r="AW21" s="65" t="n">
        <x:f>IF(COUNT(J21,AG21)=2,J21-AG21,"не сверено")</x:f>
        <x:v>0</x:v>
      </x:c>
      <x:c r="AX21" s="65" t="str">
        <x:f>IF(COUNT(K21,AI21)=2,K21-AI21,"не сверено")</x:f>
        <x:v>не сверено</x:v>
      </x:c>
      <x:c r="AY21" s="65" t="str">
        <x:f>IF(COUNT(I21,Z21)=2,I21-Z21,"не сверено")</x:f>
        <x:v>не сверено</x:v>
      </x:c>
      <x:c r="AZ21" s="65" t="str">
        <x:f>IF(COUNT(L21,AM21)=2,L21-AM21,"не сверено")</x:f>
        <x:v>не сверено</x:v>
      </x:c>
      <x:c r="BA21" s="65" t="str">
        <x:f>IF(COUNT(M21,AP21)=2,M21-AP21,"не сверено")</x:f>
        <x:v>не сверено</x:v>
      </x:c>
      <x:c r="BB21" s="65"/>
      <x:c r="BC21" s="67" t="str">
        <x:v>IRAO_2026H1.pdf; PDF стр. 20, 27–28; аналитический ЧД −250 290 по раскрытой методике</x:v>
      </x:c>
      <x:c r="BD21" s="67"/>
      <x:c r="BE21" s="67"/>
      <x:c r="BF21" s="67" t="str">
        <x:v>IRAO_2026H1.pdf; PDF стр. 5–7; выручка, прибыль акционеров, капитал акционеров и НКД подтверждены</x:v>
      </x:c>
      <x:c r="BG21" s="67" t="str">
        <x:v>IRAO_2026H1.pdf; PDF стр. 20; EBITDA 89 260, классифицирована как скорректированная по составу</x:v>
      </x:c>
      <x:c r="BH21" s="67"/>
      <x:c r="BI21" s="67"/>
      <x:c r="BJ21" s="67"/>
      <x:c r="BK21" s="67"/>
      <x:c r="BL21" s="67" t="str">
        <x:v>Прибыль акционеров 66 562; прибыль группы 68 685 не подменяет показатель акционеров</x:v>
      </x:c>
      <x:c r="BM21" s="67" t="str">
        <x:v>Капитал акционеров 1 166 537; НКД 17 485; общий капитал 1 184 022</x:v>
      </x:c>
      <x:c r="BN21" s="65"/>
      <x:c r="BO21" s="65" t="n">
        <x:f>'Расчетные показатели'!E445</x:f>
        <x:v>17485</x:v>
      </x:c>
      <x:c r="BP21" s="65"/>
      <x:c r="BQ21" s="83" t="n">
        <x:f>O21+BO21</x:f>
        <x:v>1184022</x:v>
      </x:c>
      <x:c r="BR21" s="67" t="str">
        <x:v>ЧД включает обязательства по аренде сегментов; денежные активы, депозиты и векселя вычтены</x:v>
      </x:c>
      <x:c r="BS21" s="65"/>
      <x:c r="BT21" s="65"/>
      <x:c r="BU21" s="65"/>
      <x:c r="BV21" s="65"/>
      <x:c r="BW21" s="65"/>
      <x:c r="BX21" s="65"/>
      <x:c r="BY21" s="65"/>
      <x:c r="BZ21" s="65"/>
      <x:c r="CA21" s="65"/>
      <x:c r="CB21" s="65" t="n">
        <x:f>'Расчетные показатели'!E809</x:f>
        <x:v>2240</x:v>
      </x:c>
      <x:c r="CC21" s="65"/>
      <x:c r="CD21" s="65" t="n">
        <x:f>'Расчетные показатели'!E807</x:f>
        <x:v>144</x:v>
      </x:c>
      <x:c r="CE21" s="65"/>
      <x:c r="CF21" s="65"/>
      <x:c r="CG21" s="65"/>
      <x:c r="CH21" s="65"/>
      <x:c r="CI21" s="65"/>
      <x:c r="CJ21" s="65"/>
      <x:c r="CK21" s="65"/>
      <x:c r="CL21" s="65"/>
      <x:c r="CM21" s="65"/>
      <x:c r="CN21" s="65"/>
    </x:row>
    <x:row r="22">
      <x:c r="A22"/>
      <x:c r="B22" s="3">
        <x:v>16</x:v>
      </x:c>
      <x:c r="C22" s="3" t="s">
        <x:v>93</x:v>
      </x:c>
      <x:c r="D22"/>
      <x:c r="E22" s="80" t="n">
        <x:f>'Расчетные показатели'!E1429</x:f>
        <x:v>88442</x:v>
      </x:c>
      <x:c r="F22" s="64"/>
      <x:c r="G22" s="64"/>
      <x:c r="H22" s="64" t="n">
        <x:f>'Расчетные показатели'!E447</x:f>
        <x:v>314875</x:v>
      </x:c>
      <x:c r="I22" s="82" t="str">
        <x:v>н.д.</x:v>
      </x:c>
      <x:c r="J22" s="64" t="n">
        <x:f>'Расчетные показатели'!E715</x:f>
        <x:v>42340</x:v>
      </x:c>
      <x:c r="K22" s="64"/>
      <x:c r="L22" s="64"/>
      <x:c r="M22" s="64"/>
      <x:c r="N22" s="64" t="n">
        <x:f>'Расчетные показатели'!E449</x:f>
        <x:v>4123</x:v>
      </x:c>
      <x:c r="O22" s="64" t="n">
        <x:f>'Расчетные показатели'!E450</x:f>
        <x:v>531436</x:v>
      </x:c>
      <x:c r="P22" s="65"/>
      <x:c r="Q22" s="65"/>
      <x:c r="R22" s="80" t="n">
        <x:f>'Расчетные показатели'!E1429</x:f>
        <x:v>88442</x:v>
      </x:c>
      <x:c r="S22" s="66"/>
      <x:c r="T22" s="66"/>
      <x:c r="U22" s="66"/>
      <x:c r="V22" s="66"/>
      <x:c r="W22" s="64"/>
      <x:c r="X22" s="64"/>
      <x:c r="Y22" s="66" t="str">
        <x:v>н.п.</x:v>
      </x:c>
      <x:c r="Z22" s="82" t="str">
        <x:v>н.д.</x:v>
      </x:c>
      <x:c r="AA22" s="64"/>
      <x:c r="AB22" s="66"/>
      <x:c r="AC22" s="66"/>
      <x:c r="AD22" s="66"/>
      <x:c r="AE22" s="66"/>
      <x:c r="AF22" s="66" t="n">
        <x:f>SUM('Расчетные показатели'!E713:E714)</x:f>
        <x:v>2022</x:v>
      </x:c>
      <x:c r="AG22" s="64" t="n">
        <x:f>'Расчетные показатели'!E715</x:f>
        <x:v>42340</x:v>
      </x:c>
      <x:c r="AH22" s="64"/>
      <x:c r="AI22" s="64" t="str">
        <x:v>н.п.</x:v>
      </x:c>
      <x:c r="AJ22" s="64"/>
      <x:c r="AK22" s="64" t="str">
        <x:v>н.п.</x:v>
      </x:c>
      <x:c r="AL22" s="64"/>
      <x:c r="AM22" s="64"/>
      <x:c r="AN22" s="64"/>
      <x:c r="AO22" s="64"/>
      <x:c r="AP22" s="64"/>
      <x:c r="AQ22" s="64"/>
      <x:c r="AR22" s="64"/>
      <x:c r="AS22" s="65"/>
      <x:c r="AT22" s="65" t="n">
        <x:f>IF(COUNT(E22,R22)=2,E22-R22,"не сверено")</x:f>
        <x:v>0</x:v>
      </x:c>
      <x:c r="AU22" s="65" t="str">
        <x:f>IF(COUNT(F22,W22)=2,F22-W22,"не сверено")</x:f>
        <x:v>не сверено</x:v>
      </x:c>
      <x:c r="AV22" s="65" t="str">
        <x:f>IF(COUNT(G22,Y22)=2,G22-Y22,"не сверено")</x:f>
        <x:v>не сверено</x:v>
      </x:c>
      <x:c r="AW22" s="65" t="n">
        <x:f>IF(COUNT(J22,AG22)=2,J22-AG22,"не сверено")</x:f>
        <x:v>0</x:v>
      </x:c>
      <x:c r="AX22" s="65" t="str">
        <x:f>IF(COUNT(K22,AI22)=2,K22-AI22,"не сверено")</x:f>
        <x:v>не сверено</x:v>
      </x:c>
      <x:c r="AY22" s="65" t="str">
        <x:f>IF(COUNT(I22,Z22)=2,I22-Z22,"не сверено")</x:f>
        <x:v>не сверено</x:v>
      </x:c>
      <x:c r="AZ22" s="65" t="str">
        <x:f>IF(COUNT(L22,AM22)=2,L22-AM22,"не сверено")</x:f>
        <x:v>не сверено</x:v>
      </x:c>
      <x:c r="BA22" s="65" t="str">
        <x:f>IF(COUNT(M22,AP22)=2,M22-AP22,"не сверено")</x:f>
        <x:v>не сверено</x:v>
      </x:c>
      <x:c r="BB22" s="65"/>
      <x:c r="BC22" s="67" t="str">
        <x:v>CHMF_2026H1.pdf; PDF стр. 7, 14; ЧД 88 442 = 90 621 + 5 076 − 7 255</x:v>
      </x:c>
      <x:c r="BD22" s="67"/>
      <x:c r="BE22" s="67"/>
      <x:c r="BF22" s="67" t="str">
        <x:v>CHMF_2026H1.pdf; PDF стр. 7, 9, 14; выручка, прибыль и капитал акционеров, НКД подтверждены</x:v>
      </x:c>
      <x:c r="BG22" s="67" t="str">
        <x:v>CHMF_2026H1.pdf; PDF стр. 14; EBITDA 42 340, скорректированная по составу</x:v>
      </x:c>
      <x:c r="BH22" s="67"/>
      <x:c r="BI22" s="67"/>
      <x:c r="BJ22" s="67"/>
      <x:c r="BK22" s="67"/>
      <x:c r="BL22" s="67" t="str">
        <x:v>Прибыль акционеров 4 123; общий совокупный доход акционеров 4 321 не использован как чистая прибыль</x:v>
      </x:c>
      <x:c r="BM22" s="67" t="str">
        <x:v>Капитал акционеров 531 436; НКД 1 163; общий капитал 532 599</x:v>
      </x:c>
      <x:c r="BN22" s="65"/>
      <x:c r="BO22" s="65" t="n">
        <x:f>'Расчетные показатели'!E451</x:f>
        <x:v>1163</x:v>
      </x:c>
      <x:c r="BP22" s="65"/>
      <x:c r="BQ22" s="83" t="n">
        <x:f>O22+BO22</x:f>
        <x:v>532599</x:v>
      </x:c>
      <x:c r="BR22" s="67" t="str">
        <x:v>ЧД по определению компании: долговое финансирование минус деньги. Аренда отдельно в определение не включена.</x:v>
      </x:c>
      <x:c r="BS22" s="65"/>
      <x:c r="BT22" s="65"/>
      <x:c r="BU22" s="65"/>
      <x:c r="BV22" s="65"/>
      <x:c r="BW22" s="65"/>
      <x:c r="BX22" s="65"/>
      <x:c r="BY22" s="65"/>
      <x:c r="BZ22" s="65"/>
      <x:c r="CA22" s="65"/>
      <x:c r="CB22" s="65"/>
      <x:c r="CC22" s="65"/>
      <x:c r="CD22" s="65"/>
      <x:c r="CE22" s="65"/>
      <x:c r="CF22" s="65"/>
      <x:c r="CG22" s="65"/>
      <x:c r="CH22" s="65"/>
      <x:c r="CI22" s="65"/>
      <x:c r="CJ22" s="65"/>
      <x:c r="CK22" s="65"/>
      <x:c r="CL22" s="65"/>
      <x:c r="CM22" s="65"/>
      <x:c r="CN22" s="65"/>
    </x:row>
    <x:row r="23">
      <x:c r="A23"/>
      <x:c r="B23" s="3">
        <x:v>17</x:v>
      </x:c>
      <x:c r="C23" s="3" t="s">
        <x:v>94</x:v>
      </x:c>
      <x:c r="D23"/>
      <x:c r="E23" s="80" t="n">
        <x:f>'Расчетные показатели'!E1447</x:f>
        <x:v>692087.4639000001</x:v>
      </x:c>
      <x:c r="F23" s="64"/>
      <x:c r="G23" s="64"/>
      <x:c r="H23" s="64" t="n">
        <x:f>'Расчетные показатели'!E452</x:f>
        <x:v>636949.9085193371</x:v>
      </x:c>
      <x:c r="I23" s="82" t="str">
        <x:v>н.д.</x:v>
      </x:c>
      <x:c r="J23" s="64" t="n">
        <x:f>'Расчетные показатели'!E453</x:f>
        <x:v>93961.1882320442</x:v>
      </x:c>
      <x:c r="K23" s="64"/>
      <x:c r="L23" s="64"/>
      <x:c r="M23" s="64"/>
      <x:c r="N23" s="64" t="n">
        <x:f>'Расчетные показатели'!E454</x:f>
        <x:v>32007.91696685083</x:v>
      </x:c>
      <x:c r="O23" s="64" t="n">
        <x:f>'Расчетные показатели'!E455</x:f>
        <x:v>945020.9006</x:v>
      </x:c>
      <x:c r="P23" s="65"/>
      <x:c r="Q23" s="65"/>
      <x:c r="R23" s="80" t="n">
        <x:f>'Расчетные показатели'!E1447</x:f>
        <x:v>692087.4639000001</x:v>
      </x:c>
      <x:c r="S23" s="66"/>
      <x:c r="T23" s="66"/>
      <x:c r="U23" s="66"/>
      <x:c r="V23" s="66"/>
      <x:c r="W23" s="64"/>
      <x:c r="X23" s="64"/>
      <x:c r="Y23" s="66" t="str">
        <x:v>н.п.</x:v>
      </x:c>
      <x:c r="Z23" s="82" t="str">
        <x:v>н.д.</x:v>
      </x:c>
      <x:c r="AA23" s="64"/>
      <x:c r="AB23" s="66"/>
      <x:c r="AC23" s="66"/>
      <x:c r="AD23" s="66"/>
      <x:c r="AE23" s="66"/>
      <x:c r="AF23" s="66"/>
      <x:c r="AG23" s="80" t="n">
        <x:f>'Расчетные показатели'!E1465</x:f>
        <x:v>93961.18823204421</x:v>
      </x:c>
      <x:c r="AH23" s="64"/>
      <x:c r="AI23" s="64" t="str">
        <x:v>н.п.</x:v>
      </x:c>
      <x:c r="AJ23" s="64"/>
      <x:c r="AK23" s="64" t="str">
        <x:v>н.п.</x:v>
      </x:c>
      <x:c r="AL23" s="64"/>
      <x:c r="AM23" s="64"/>
      <x:c r="AN23" s="64"/>
      <x:c r="AO23" s="64"/>
      <x:c r="AP23" s="64"/>
      <x:c r="AQ23" s="64"/>
      <x:c r="AR23" s="64"/>
      <x:c r="AS23" s="65"/>
      <x:c r="AT23" s="65" t="n">
        <x:f>IF(COUNT(E23,R23)=2,E23-R23,"не сверено")</x:f>
        <x:v>0</x:v>
      </x:c>
      <x:c r="AU23" s="65" t="str">
        <x:f>IF(COUNT(F23,W23)=2,F23-W23,"не сверено")</x:f>
        <x:v>не сверено</x:v>
      </x:c>
      <x:c r="AV23" s="65" t="str">
        <x:f>IF(COUNT(G23,Y23)=2,G23-Y23,"не сверено")</x:f>
        <x:v>не сверено</x:v>
      </x:c>
      <x:c r="AW23" s="65" t="n">
        <x:f>IF(COUNT(J23,AG23)=2,J23-AG23,"не сверено")</x:f>
        <x:v>-1.4551915228366852e-11</x:v>
      </x:c>
      <x:c r="AX23" s="65" t="str">
        <x:f>IF(COUNT(K23,AI23)=2,K23-AI23,"не сверено")</x:f>
        <x:v>не сверено</x:v>
      </x:c>
      <x:c r="AY23" s="65" t="str">
        <x:f>IF(COUNT(I23,Z23)=2,I23-Z23,"не сверено")</x:f>
        <x:v>не сверено</x:v>
      </x:c>
      <x:c r="AZ23" s="65" t="str">
        <x:f>IF(COUNT(L23,AM23)=2,L23-AM23,"не сверено")</x:f>
        <x:v>не сверено</x:v>
      </x:c>
      <x:c r="BA23" s="65" t="str">
        <x:f>IF(COUNT(M23,AP23)=2,M23-AP23,"не сверено")</x:f>
        <x:v>не сверено</x:v>
      </x:c>
      <x:c r="BB23" s="65"/>
      <x:c r="BC23" s="67" t="str">
        <x:v>RUAL_2026H1.pdf, PDF стр. 8–9; аналитический ЧД 8 901 млн долл. по раскрытой методике</x:v>
      </x:c>
      <x:c r="BD23" s="67"/>
      <x:c r="BE23" s="67"/>
      <x:c r="BF23" s="67" t="str">
        <x:v>RUAL_2026H1.pdf, PDF стр. 6, 9; выручка, прибыль и капитал акционеров подтверждены</x:v>
      </x:c>
      <x:c r="BG23" s="67" t="str">
        <x:v>RUAL_2026H1.pdf, PDF стр. 6, 24; скорректированная EBITDA 1 230 млн долл.</x:v>
      </x:c>
      <x:c r="BH23" s="67"/>
      <x:c r="BI23" s="67"/>
      <x:c r="BJ23" s="67"/>
      <x:c r="BK23" s="67"/>
      <x:c r="BL23" s="67" t="str">
        <x:v>Прибыль акционеров 419 млн долл.; совпадает с прибылью группы</x:v>
      </x:c>
      <x:c r="BM23" s="67" t="str">
        <x:v>Капитал акционеров 12 154 млн долл.; НКД 0; общий капитал тот же</x:v>
      </x:c>
      <x:c r="BN23" s="65"/>
      <x:c r="BO23" s="65" t="n">
        <x:f>'Расчетные показатели'!E456</x:f>
        <x:v>0</x:v>
      </x:c>
      <x:c r="BP23" s="65"/>
      <x:c r="BQ23" s="83" t="n">
        <x:f>O23+BO23</x:f>
        <x:v>945020.9006</x:v>
      </x:c>
      <x:c r="BR23" s="67" t="str">
        <x:v>USD: потоки по среднему курсу ЦБ РФ 76,39120994475138; остатки на 30.06.2026 по курсу 77,7539.</x:v>
      </x:c>
      <x:c r="BS23" s="65"/>
      <x:c r="BT23" s="65"/>
      <x:c r="BU23" s="65"/>
      <x:c r="BV23" s="65"/>
      <x:c r="BW23" s="65"/>
      <x:c r="BX23" s="65"/>
      <x:c r="BY23" s="65"/>
      <x:c r="BZ23" s="65"/>
      <x:c r="CA23" s="65"/>
      <x:c r="CB23" s="65"/>
      <x:c r="CC23" s="65"/>
      <x:c r="CD23" s="65"/>
      <x:c r="CE23" s="65"/>
      <x:c r="CF23" s="65"/>
      <x:c r="CG23" s="65"/>
      <x:c r="CH23" s="65"/>
      <x:c r="CI23" s="65"/>
      <x:c r="CJ23" s="65"/>
      <x:c r="CK23" s="65"/>
      <x:c r="CL23" s="65"/>
      <x:c r="CM23" s="65"/>
      <x:c r="CN23" s="65"/>
    </x:row>
    <x:row r="24">
      <x:c r="A24"/>
      <x:c r="B24" s="3">
        <x:v>18</x:v>
      </x:c>
      <x:c r="C24" s="3" t="s">
        <x:v>95</x:v>
      </x:c>
      <x:c r="D24"/>
      <x:c r="E24" s="80" t="n">
        <x:f>'Расчетные показатели'!E1497</x:f>
        <x:v>-40665</x:v>
      </x:c>
      <x:c r="F24" s="64"/>
      <x:c r="G24" s="64"/>
      <x:c r="H24" s="64" t="n">
        <x:f>'Расчетные показатели'!E457</x:f>
        <x:v>387745</x:v>
      </x:c>
      <x:c r="I24" s="82" t="str">
        <x:v>н.д.</x:v>
      </x:c>
      <x:c r="J24" s="80" t="n">
        <x:f>'Расчетные показатели'!E1491</x:f>
        <x:v>57249</x:v>
      </x:c>
      <x:c r="K24" s="64"/>
      <x:c r="L24" s="64"/>
      <x:c r="M24" s="64"/>
      <x:c r="N24" s="64" t="n">
        <x:f>'Расчетные показатели'!E458</x:f>
        <x:v>20488</x:v>
      </x:c>
      <x:c r="O24" s="64" t="n">
        <x:f>'Расчетные показатели'!E459</x:f>
        <x:v>905650</x:v>
      </x:c>
      <x:c r="P24" s="65"/>
      <x:c r="Q24" s="65"/>
      <x:c r="R24" s="80" t="n">
        <x:f>'Расчетные показатели'!E1497</x:f>
        <x:v>-40665</x:v>
      </x:c>
      <x:c r="S24" s="66"/>
      <x:c r="T24" s="66"/>
      <x:c r="U24" s="66"/>
      <x:c r="V24" s="66"/>
      <x:c r="W24" s="64"/>
      <x:c r="X24" s="64"/>
      <x:c r="Y24" s="66" t="str">
        <x:v>н.п.</x:v>
      </x:c>
      <x:c r="Z24" s="82" t="str">
        <x:v>н.д.</x:v>
      </x:c>
      <x:c r="AA24" s="64"/>
      <x:c r="AB24" s="66"/>
      <x:c r="AC24" s="66"/>
      <x:c r="AD24" s="66"/>
      <x:c r="AE24" s="66"/>
      <x:c r="AF24" s="66"/>
      <x:c r="AG24" s="80" t="n">
        <x:f>'Расчетные показатели'!E1491</x:f>
        <x:v>57249</x:v>
      </x:c>
      <x:c r="AH24" s="64"/>
      <x:c r="AI24" s="64" t="str">
        <x:v>н.п.</x:v>
      </x:c>
      <x:c r="AJ24" s="64"/>
      <x:c r="AK24" s="64" t="str">
        <x:v>н.п.</x:v>
      </x:c>
      <x:c r="AL24" s="64"/>
      <x:c r="AM24" s="64"/>
      <x:c r="AN24" s="64"/>
      <x:c r="AO24" s="64"/>
      <x:c r="AP24" s="64"/>
      <x:c r="AQ24" s="64"/>
      <x:c r="AR24" s="64"/>
      <x:c r="AS24" s="65"/>
      <x:c r="AT24" s="65" t="n">
        <x:f>IF(COUNT(E24,R24)=2,E24-R24,"не сверено")</x:f>
        <x:v>0</x:v>
      </x:c>
      <x:c r="AU24" s="65" t="str">
        <x:f>IF(COUNT(F24,W24)=2,F24-W24,"не сверено")</x:f>
        <x:v>не сверено</x:v>
      </x:c>
      <x:c r="AV24" s="65" t="str">
        <x:f>IF(COUNT(G24,Y24)=2,G24-Y24,"не сверено")</x:f>
        <x:v>не сверено</x:v>
      </x:c>
      <x:c r="AW24" s="65" t="n">
        <x:f>IF(COUNT(J24,AG24)=2,J24-AG24,"не сверено")</x:f>
        <x:v>0</x:v>
      </x:c>
      <x:c r="AX24" s="65" t="str">
        <x:f>IF(COUNT(K24,AI24)=2,K24-AI24,"не сверено")</x:f>
        <x:v>не сверено</x:v>
      </x:c>
      <x:c r="AY24" s="65" t="str">
        <x:f>IF(COUNT(I24,Z24)=2,I24-Z24,"не сверено")</x:f>
        <x:v>не сверено</x:v>
      </x:c>
      <x:c r="AZ24" s="65" t="str">
        <x:f>IF(COUNT(L24,AM24)=2,L24-AM24,"не сверено")</x:f>
        <x:v>не сверено</x:v>
      </x:c>
      <x:c r="BA24" s="65" t="str">
        <x:f>IF(COUNT(M24,AP24)=2,M24-AP24,"не сверено")</x:f>
        <x:v>не сверено</x:v>
      </x:c>
      <x:c r="BB24" s="65"/>
      <x:c r="BC24" s="67" t="str">
        <x:v>NLMK_2026H1.pdf, PDF стр. 5, 11, 13; аналитический ЧД −40 665 млн руб. по раскрытой методике</x:v>
      </x:c>
      <x:c r="BD24" s="67"/>
      <x:c r="BE24" s="67"/>
      <x:c r="BF24" s="67" t="str">
        <x:v>NLMK_2026H1.pdf, PDF стр. 5–6; выручка, прибыль и капитал акционеров подтверждены</x:v>
      </x:c>
      <x:c r="BG24" s="67" t="str">
        <x:v>NLMK_2026H1.pdf, PDF стр. 6, 9; аналитическая скорректированная EBITDA 57 249 млн руб.; опубликованный итог не найден</x:v>
      </x:c>
      <x:c r="BH24" s="67"/>
      <x:c r="BI24" s="67"/>
      <x:c r="BJ24" s="67"/>
      <x:c r="BK24" s="67"/>
      <x:c r="BL24" s="67" t="str">
        <x:v>Прибыль акционеров 20 488 млн руб.; прибыль группы 20 504 млн руб. не подменяет показатель акционеров</x:v>
      </x:c>
      <x:c r="BM24" s="67" t="str">
        <x:v>Капитал акционеров 905 650; НКД 111; общий капитал 905 761 млн руб.</x:v>
      </x:c>
      <x:c r="BN24" s="65"/>
      <x:c r="BO24" s="83" t="n">
        <x:f>'Расчетные показатели'!E1498</x:f>
        <x:v>111</x:v>
      </x:c>
      <x:c r="BP24" s="65"/>
      <x:c r="BQ24" s="83" t="n">
        <x:f>O24+BO24</x:f>
        <x:v>905761</x:v>
      </x:c>
      <x:c r="BR24" s="67" t="str">
        <x:v>ЧД и EBITDA воспроизведены по раскрытым компанией определениям; источник опубликован 30.07.2026.</x:v>
      </x:c>
      <x:c r="BS24" s="65"/>
      <x:c r="BT24" s="65"/>
      <x:c r="BU24" s="65"/>
      <x:c r="BV24" s="65"/>
      <x:c r="BW24" s="65"/>
      <x:c r="BX24" s="65"/>
      <x:c r="BY24" s="65"/>
      <x:c r="BZ24" s="65"/>
      <x:c r="CA24" s="65"/>
      <x:c r="CB24" s="65"/>
      <x:c r="CC24" s="65"/>
      <x:c r="CD24" s="65"/>
      <x:c r="CE24" s="65"/>
      <x:c r="CF24" s="65"/>
      <x:c r="CG24" s="65"/>
      <x:c r="CH24" s="65"/>
      <x:c r="CI24" s="65"/>
      <x:c r="CJ24" s="65"/>
      <x:c r="CK24" s="65"/>
      <x:c r="CL24" s="65"/>
      <x:c r="CM24" s="65"/>
      <x:c r="CN24" s="65"/>
    </x:row>
    <x:row r="25">
      <x:c r="A25"/>
      <x:c r="B25" s="3">
        <x:v>19</x:v>
      </x:c>
      <x:c r="C25" s="3" t="s">
        <x:v>96</x:v>
      </x:c>
      <x:c r="D25"/>
      <x:c r="E25" s="64" t="n">
        <x:f>R25</x:f>
        <x:v>309172</x:v>
      </x:c>
      <x:c r="F25" s="64"/>
      <x:c r="G25" s="64"/>
      <x:c r="H25" s="64" t="n">
        <x:f>'Расчетные показатели'!E461</x:f>
        <x:v>281388</x:v>
      </x:c>
      <x:c r="I25" s="64" t="n">
        <x:f>'Расчетные показатели'!E1206</x:f>
        <x:v>60875</x:v>
      </x:c>
      <x:c r="J25" s="64" t="n">
        <x:f>'Расчетные показатели'!E1211</x:f>
        <x:v>62399</x:v>
      </x:c>
      <x:c r="K25" s="64"/>
      <x:c r="L25" s="64"/>
      <x:c r="M25" s="64"/>
      <x:c r="N25" s="64" t="n">
        <x:f>'Расчетные показатели'!E464</x:f>
        <x:v>18650</x:v>
      </x:c>
      <x:c r="O25" s="64" t="n">
        <x:f>'Расчетные показатели'!E465</x:f>
        <x:v>263869</x:v>
      </x:c>
      <x:c r="P25" s="65"/>
      <x:c r="Q25" s="65"/>
      <x:c r="R25" s="64" t="n">
        <x:f>S25+T25-U25+BN25</x:f>
        <x:v>309172</x:v>
      </x:c>
      <x:c r="S25" s="66" t="n">
        <x:f>'Расчетные показатели'!E466</x:f>
        <x:v>123094</x:v>
      </x:c>
      <x:c r="T25" s="66" t="n">
        <x:f>'Расчетные показатели'!E467</x:f>
        <x:v>203026</x:v>
      </x:c>
      <x:c r="U25" s="66" t="n">
        <x:f>'Расчетные показатели'!E468</x:f>
        <x:v>23067</x:v>
      </x:c>
      <x:c r="V25" s="66"/>
      <x:c r="W25" s="64"/>
      <x:c r="X25" s="64"/>
      <x:c r="Y25" s="66" t="str">
        <x:v>н.п.</x:v>
      </x:c>
      <x:c r="Z25" s="64" t="n">
        <x:f>'Расчетные показатели'!E1206</x:f>
        <x:v>60875</x:v>
      </x:c>
      <x:c r="AA25" s="64" t="n">
        <x:f>'Расчетные показатели'!E469</x:f>
        <x:v>18653</x:v>
      </x:c>
      <x:c r="AB25" s="66" t="n">
        <x:f>'Расчетные показатели'!E470</x:f>
        <x:v>6766</x:v>
      </x:c>
      <x:c r="AC25" s="66" t="n">
        <x:f>'Расчетные показатели'!E471</x:f>
        <x:v>11864</x:v>
      </x:c>
      <x:c r="AD25" s="66" t="n">
        <x:f>'Расчетные показатели'!E472</x:f>
        <x:v>1518</x:v>
      </x:c>
      <x:c r="AE25" s="66" t="n">
        <x:f>'Расчетные показатели'!E473</x:f>
        <x:v>22994</x:v>
      </x:c>
      <x:c r="AF25" s="66" t="n">
        <x:f>SUM('Расчетные показатели'!E1210:E1210)</x:f>
        <x:v>1524</x:v>
      </x:c>
      <x:c r="AG25" s="64" t="n">
        <x:f>'Расчетные показатели'!E1211</x:f>
        <x:v>62399</x:v>
      </x:c>
      <x:c r="AH25" s="64"/>
      <x:c r="AI25" s="64" t="str">
        <x:v>н.п.</x:v>
      </x:c>
      <x:c r="AJ25" s="64"/>
      <x:c r="AK25" s="64" t="str">
        <x:v>н.п.</x:v>
      </x:c>
      <x:c r="AL25" s="64"/>
      <x:c r="AM25" s="64"/>
      <x:c r="AN25" s="64"/>
      <x:c r="AO25" s="64"/>
      <x:c r="AP25" s="64"/>
      <x:c r="AQ25" s="64"/>
      <x:c r="AR25" s="64"/>
      <x:c r="AS25" s="65"/>
      <x:c r="AT25" s="65" t="n">
        <x:f>IF(COUNT(E25,R25)=2,E25-R25,"не сверено")</x:f>
        <x:v>0</x:v>
      </x:c>
      <x:c r="AU25" s="65" t="str">
        <x:f>IF(COUNT(F25,W25)=2,F25-W25,"не сверено")</x:f>
        <x:v>не сверено</x:v>
      </x:c>
      <x:c r="AV25" s="65" t="str">
        <x:f>IF(COUNT(G25,Y25)=2,G25-Y25,"не сверено")</x:f>
        <x:v>не сверено</x:v>
      </x:c>
      <x:c r="AW25" s="65" t="n">
        <x:f>IF(COUNT(J25,AG25)=2,J25-AG25,"не сверено")</x:f>
        <x:v>0</x:v>
      </x:c>
      <x:c r="AX25" s="65" t="str">
        <x:f>IF(COUNT(K25,AI25)=2,K25-AI25,"не сверено")</x:f>
        <x:v>не сверено</x:v>
      </x:c>
      <x:c r="AY25" s="65" t="n">
        <x:f>IF(COUNT(I25,Z25)=2,I25-Z25,"не сверено")</x:f>
        <x:v>0</x:v>
      </x:c>
      <x:c r="AZ25" s="65" t="str">
        <x:f>IF(COUNT(L25,AM25)=2,L25-AM25,"не сверено")</x:f>
        <x:v>не сверено</x:v>
      </x:c>
      <x:c r="BA25" s="65" t="str">
        <x:f>IF(COUNT(M25,AP25)=2,M25-AP25,"не сверено")</x:f>
        <x:v>не сверено</x:v>
      </x:c>
      <x:c r="BB25" s="65"/>
      <x:c r="BC25" s="67" t="str">
        <x:v>PHOR_2026H1.pdf; PDF стр. 6, 19, 20; кредиты + аренда − деньги</x:v>
      </x:c>
      <x:c r="BD25" s="67"/>
      <x:c r="BE25" s="67"/>
      <x:c r="BF25" s="67" t="str">
        <x:v>PHOR_2026H1.pdf; PDF стр. 5, 12</x:v>
      </x:c>
      <x:c r="BG25" s="67" t="str">
        <x:v>PHOR_2026H1.pdf; PDF стр. 7; расчет: строки 1208–1211</x:v>
      </x:c>
      <x:c r="BH25" s="67"/>
      <x:c r="BI25" s="67" t="str">
        <x:v>PHOR_2026H1.pdf; PDF стр. 7; расчет: строки 1204–1206</x:v>
      </x:c>
      <x:c r="BJ25" s="67"/>
      <x:c r="BK25" s="67"/>
      <x:c r="BL25" s="67" t="str">
        <x:v>PHOR_2026H1.pdf; PDF стр. 5, 8, 18</x:v>
      </x:c>
      <x:c r="BM25" s="67" t="str">
        <x:v>PHOR_2026H1.pdf; PDF стр. 6, 8</x:v>
      </x:c>
      <x:c r="BN25" s="65" t="n">
        <x:f>'Расчетные показатели'!E474</x:f>
        <x:v>6119</x:v>
      </x:c>
      <x:c r="BO25" s="65" t="n">
        <x:f>'Расчетные показатели'!E475</x:f>
        <x:v>255</x:v>
      </x:c>
      <x:c r="BP25" s="65"/>
      <x:c r="BQ25" s="65"/>
      <x:c r="BR25" s="67" t="str">
        <x:v> EBITDA = операционная прибыль + амортизация. Скорр. EBITDA исключает операционные курсовые разницы. Методология: https://ar2025.phosagro.ru/perfomance-review/financial-performance/ ; 1П2025: https://www.phosagro.ru/press/company/fosagro-publikuet-operatsionnye-i-finansovye-rezultaty-za-1-polugodie-2025-g/ . Итоги EBITDA 1П2026 рассчитаны аналитически по этой методологии, не сверены с опубликованным итогом компании.</x:v>
      </x:c>
      <x:c r="BS25" s="65"/>
      <x:c r="BT25" s="65"/>
      <x:c r="BU25" s="65"/>
      <x:c r="BV25" s="65"/>
      <x:c r="BW25" s="65"/>
      <x:c r="BX25" s="65"/>
      <x:c r="BY25" s="65"/>
      <x:c r="BZ25" s="65"/>
      <x:c r="CA25" s="65"/>
      <x:c r="CB25" s="65"/>
      <x:c r="CC25" s="65"/>
      <x:c r="CD25" s="65"/>
      <x:c r="CE25" s="65"/>
      <x:c r="CF25" s="65"/>
      <x:c r="CG25" s="65"/>
      <x:c r="CH25" s="65"/>
      <x:c r="CI25" s="65"/>
      <x:c r="CJ25" s="65"/>
      <x:c r="CK25" s="65"/>
      <x:c r="CL25" s="65"/>
      <x:c r="CM25" s="65"/>
      <x:c r="CN25" s="65" t="n">
        <x:f>'Расчетные показатели'!E1210</x:f>
        <x:v>1524</x:v>
      </x:c>
    </x:row>
    <x:row r="26">
      <x:c r="A26"/>
      <x:c r="B26" s="3">
        <x:v>20</x:v>
      </x:c>
      <x:c r="C26" s="3" t="s">
        <x:v>98</x:v>
      </x:c>
      <x:c r="D26"/>
      <x:c r="E26" s="80" t="n">
        <x:f>'Расчетные показатели'!E1521</x:f>
        <x:v>731559</x:v>
      </x:c>
      <x:c r="F26" s="80" t="n">
        <x:f>'Расчетные показатели'!E1523</x:f>
        <x:v>558517</x:v>
      </x:c>
      <x:c r="G26" s="64"/>
      <x:c r="H26" s="64" t="n">
        <x:f>'Расчетные показатели'!E477</x:f>
        <x:v>435672</x:v>
      </x:c>
      <x:c r="I26" s="82" t="str">
        <x:v>н.д.</x:v>
      </x:c>
      <x:c r="J26" s="64"/>
      <x:c r="K26" s="64"/>
      <x:c r="L26" s="64"/>
      <x:c r="M26" s="80" t="n">
        <x:f>'Расчетные показатели'!E1542</x:f>
        <x:v>171353</x:v>
      </x:c>
      <x:c r="N26" s="64" t="n">
        <x:f>'Расчетные показатели'!E479</x:f>
        <x:v>9713</x:v>
      </x:c>
      <x:c r="O26" s="64" t="n">
        <x:f>'Расчетные показатели'!E480</x:f>
        <x:v>223392</x:v>
      </x:c>
      <x:c r="P26" s="65"/>
      <x:c r="Q26" s="65"/>
      <x:c r="R26" s="80" t="n">
        <x:f>'Расчетные показатели'!E1521</x:f>
        <x:v>731559</x:v>
      </x:c>
      <x:c r="S26" s="81" t="n">
        <x:f>'Расчетные показатели'!E1515</x:f>
        <x:v>298634</x:v>
      </x:c>
      <x:c r="T26" s="81" t="n">
        <x:f>'Расчетные показатели'!E1516</x:f>
        <x:v>304886</x:v>
      </x:c>
      <x:c r="U26" s="81" t="n">
        <x:f>-'Расчетные показатели'!E1519</x:f>
        <x:v>18844</x:v>
      </x:c>
      <x:c r="V26" s="81" t="n">
        <x:f>-'Расчетные показатели'!E1522</x:f>
        <x:v>-173042</x:v>
      </x:c>
      <x:c r="W26" s="82" t="n">
        <x:f>R26+V26</x:f>
        <x:v>558517</x:v>
      </x:c>
      <x:c r="X26" s="64"/>
      <x:c r="Y26" s="66" t="str">
        <x:v>н.п.</x:v>
      </x:c>
      <x:c r="Z26" s="82" t="str">
        <x:v>н.д.</x:v>
      </x:c>
      <x:c r="AA26" s="64"/>
      <x:c r="AB26" s="66"/>
      <x:c r="AC26" s="66"/>
      <x:c r="AD26" s="66"/>
      <x:c r="AE26" s="66"/>
      <x:c r="AF26" s="66"/>
      <x:c r="AG26" s="64"/>
      <x:c r="AH26" s="64"/>
      <x:c r="AI26" s="64" t="str">
        <x:v>н.п.</x:v>
      </x:c>
      <x:c r="AJ26" s="64"/>
      <x:c r="AK26" s="64" t="str">
        <x:v>н.п.</x:v>
      </x:c>
      <x:c r="AL26" s="64"/>
      <x:c r="AM26" s="64"/>
      <x:c r="AN26" s="64"/>
      <x:c r="AO26" s="64"/>
      <x:c r="AP26" s="80" t="n">
        <x:f>'Расчетные показатели'!E1542</x:f>
        <x:v>171353</x:v>
      </x:c>
      <x:c r="AQ26" s="64"/>
      <x:c r="AR26" s="64"/>
      <x:c r="AS26" s="65"/>
      <x:c r="AT26" s="65" t="n">
        <x:f>IF(COUNT(E26,R26)=2,E26-R26,"не сверено")</x:f>
        <x:v>0</x:v>
      </x:c>
      <x:c r="AU26" s="65" t="n">
        <x:f>IF(COUNT(F26,W26)=2,F26-W26,"не сверено")</x:f>
        <x:v>0</x:v>
      </x:c>
      <x:c r="AV26" s="65" t="str">
        <x:f>IF(COUNT(G26,Y26)=2,G26-Y26,"не сверено")</x:f>
        <x:v>не сверено</x:v>
      </x:c>
      <x:c r="AW26" s="65" t="str">
        <x:f>IF(COUNT(J26,AG26)=2,J26-AG26,"не сверено")</x:f>
        <x:v>не сверено</x:v>
      </x:c>
      <x:c r="AX26" s="65" t="str">
        <x:f>IF(COUNT(K26,AI26)=2,K26-AI26,"не сверено")</x:f>
        <x:v>не сверено</x:v>
      </x:c>
      <x:c r="AY26" s="65" t="str">
        <x:f>IF(COUNT(I26,Z26)=2,I26-Z26,"не сверено")</x:f>
        <x:v>не сверено</x:v>
      </x:c>
      <x:c r="AZ26" s="65" t="str">
        <x:f>IF(COUNT(L26,AM26)=2,L26-AM26,"не сверено")</x:f>
        <x:v>не сверено</x:v>
      </x:c>
      <x:c r="BA26" s="65" t="n">
        <x:f>IF(COUNT(M26,AP26)=2,M26-AP26,"не сверено")</x:f>
        <x:v>0</x:v>
      </x:c>
      <x:c r="BB26" s="65"/>
      <x:c r="BC26" s="93" t="str">
        <x:v>RTKM_IR_2026H1.pdf; PDF стр. 3; опубликованный ЧД 731 559; мост по RTKM_2026H1.pdf, PDF стр. 2, строки 1515–1521</x:v>
      </x:c>
      <x:c r="BD26" s="93" t="str">
        <x:v>Аналитический ЧД без аренды 558 517 = 731 559 − 173 042; раскрытый коэффициент ЧД без аренды / OIBDA 1,6x подтвержден округлением.</x:v>
      </x:c>
      <x:c r="BE26" s="67"/>
      <x:c r="BF26" s="67" t="str">
        <x:v>RTKM_2026H1.pdf; PDF стр. 3, 23, 26</x:v>
      </x:c>
      <x:c r="BG26" s="67"/>
      <x:c r="BH26" s="67"/>
      <x:c r="BI26" s="93" t="str">
        <x:v>Обычная EBITDA не раскрыта; недостаточно точных компонентов для расчета по заданной формуле.</x:v>
      </x:c>
      <x:c r="BJ26" s="67"/>
      <x:c r="BK26" s="93" t="str">
        <x:v>RTKM_IR_2026H1.pdf; PDF стр. 3, 17; OIBDA 171 353, мост строки 1538–1542</x:v>
      </x:c>
      <x:c r="BL26" s="93" t="str">
        <x:v>RTKM_2026H1.pdf; PDF стр. 3; прибыль акционеров 9 713</x:v>
      </x:c>
      <x:c r="BM26" s="93" t="str">
        <x:v>RTKM_2026H1.pdf; PDF стр. 2; капитал акционеров 223 392</x:v>
      </x:c>
      <x:c r="BN26" s="91" t="n">
        <x:v>173042</x:v>
      </x:c>
      <x:c r="BO26" s="83" t="n">
        <x:f>'Расчетные показатели'!E1524</x:f>
        <x:v>59406</x:v>
      </x:c>
      <x:c r="BP26" s="65"/>
      <x:c r="BQ26" s="90" t="n">
        <x:f>O26+BO26</x:f>
        <x:v>282798</x:v>
      </x:c>
      <x:c r="BR26" s="67" t="str"/>
      <x:c r="BS26" s="65"/>
      <x:c r="BT26" s="65"/>
      <x:c r="BU26" s="65"/>
      <x:c r="BV26" s="65"/>
      <x:c r="BW26" s="65"/>
      <x:c r="BX26" s="65"/>
      <x:c r="BY26" s="65"/>
      <x:c r="BZ26" s="65"/>
      <x:c r="CA26" s="65"/>
      <x:c r="CB26" s="65"/>
      <x:c r="CC26" s="65"/>
      <x:c r="CD26" s="65"/>
      <x:c r="CE26" s="65"/>
      <x:c r="CF26" s="65"/>
      <x:c r="CG26" s="65"/>
      <x:c r="CH26" s="65"/>
      <x:c r="CI26" s="65"/>
      <x:c r="CJ26" s="65"/>
      <x:c r="CK26" s="65"/>
      <x:c r="CL26" s="65"/>
      <x:c r="CM26" s="65"/>
      <x:c r="CN26" s="65"/>
    </x:row>
    <x:row r="27">
      <x:c r="A27"/>
      <x:c r="B27" s="3">
        <x:v>21</x:v>
      </x:c>
      <x:c r="C27" s="3" t="s">
        <x:v>99</x:v>
      </x:c>
      <x:c r="D27"/>
      <x:c r="E27" s="80" t="n">
        <x:f>'Расчетные показатели'!E1575</x:f>
        <x:v>511500</x:v>
      </x:c>
      <x:c r="F27" s="64"/>
      <x:c r="G27" s="64"/>
      <x:c r="H27" s="80" t="n">
        <x:f>'Расчетные показатели'!E1567</x:f>
        <x:v>429753</x:v>
      </x:c>
      <x:c r="I27" s="80" t="n">
        <x:f>'Расчетные показатели'!E1570</x:f>
        <x:v>82197</x:v>
      </x:c>
      <x:c r="J27" s="80" t="n">
        <x:f>'Расчетные показатели'!E1572</x:f>
        <x:v>83082</x:v>
      </x:c>
      <x:c r="K27" s="64"/>
      <x:c r="L27" s="64"/>
      <x:c r="M27" s="64"/>
      <x:c r="N27" s="80" t="n">
        <x:f>'Расчетные показатели'!E1568</x:f>
        <x:v>-367</x:v>
      </x:c>
      <x:c r="O27" s="80" t="n">
        <x:f>'Расчетные показатели'!E1569</x:f>
        <x:v>44933</x:v>
      </x:c>
      <x:c r="P27" s="65"/>
      <x:c r="Q27" s="65"/>
      <x:c r="R27" s="80" t="n">
        <x:f>'Расчетные показатели'!E1575</x:f>
        <x:v>511500</x:v>
      </x:c>
      <x:c r="S27" s="66"/>
      <x:c r="T27" s="66"/>
      <x:c r="U27" s="66"/>
      <x:c r="V27" s="66"/>
      <x:c r="W27" s="64"/>
      <x:c r="X27" s="64"/>
      <x:c r="Y27" s="66" t="str">
        <x:v>н.п.</x:v>
      </x:c>
      <x:c r="Z27" s="80" t="n">
        <x:f>I27</x:f>
        <x:v>82197</x:v>
      </x:c>
      <x:c r="AA27" s="64"/>
      <x:c r="AB27" s="66"/>
      <x:c r="AC27" s="66"/>
      <x:c r="AD27" s="66"/>
      <x:c r="AE27" s="66"/>
      <x:c r="AF27" s="66" t="n">
        <x:v>885</x:v>
      </x:c>
      <x:c r="AG27" s="80" t="n">
        <x:f>Z27+AF27</x:f>
        <x:v>83082</x:v>
      </x:c>
      <x:c r="AH27" s="64"/>
      <x:c r="AI27" s="64" t="str">
        <x:v>н.п.</x:v>
      </x:c>
      <x:c r="AJ27" s="64"/>
      <x:c r="AK27" s="64" t="str">
        <x:v>н.п.</x:v>
      </x:c>
      <x:c r="AL27" s="64"/>
      <x:c r="AM27" s="64"/>
      <x:c r="AN27" s="64"/>
      <x:c r="AO27" s="64"/>
      <x:c r="AP27" s="64"/>
      <x:c r="AQ27" s="64"/>
      <x:c r="AR27" s="64"/>
      <x:c r="AS27" s="65"/>
      <x:c r="AT27" s="65" t="n">
        <x:f>IF(COUNT(E27,R27)=2,E27-R27,"не сверено")</x:f>
        <x:v>0</x:v>
      </x:c>
      <x:c r="AU27" s="65" t="str">
        <x:f>IF(COUNT(F27,W27)=2,F27-W27,"не сверено")</x:f>
        <x:v>не сверено</x:v>
      </x:c>
      <x:c r="AV27" s="65" t="str">
        <x:f>IF(COUNT(G27,Y27)=2,G27-Y27,"не сверено")</x:f>
        <x:v>не сверено</x:v>
      </x:c>
      <x:c r="AW27" s="65" t="n">
        <x:f>IF(COUNT(J27,AG27)=2,J27-AG27,"не сверено")</x:f>
        <x:v>0</x:v>
      </x:c>
      <x:c r="AX27" s="65" t="str">
        <x:f>IF(COUNT(K27,AI27)=2,K27-AI27,"не сверено")</x:f>
        <x:v>не сверено</x:v>
      </x:c>
      <x:c r="AY27" s="65" t="n">
        <x:f>IF(COUNT(I27,Z27)=2,I27-Z27,"не сверено")</x:f>
        <x:v>0</x:v>
      </x:c>
      <x:c r="AZ27" s="65" t="str">
        <x:f>IF(COUNT(L27,AM27)=2,L27-AM27,"не сверено")</x:f>
        <x:v>не сверено</x:v>
      </x:c>
      <x:c r="BA27" s="65" t="str">
        <x:f>IF(COUNT(M27,AP27)=2,M27-AP27,"не сверено")</x:f>
        <x:v>не сверено</x:v>
      </x:c>
      <x:c r="BB27" s="65"/>
      <x:c r="BC27" s="67" t="str">
        <x:v>Официальный пресс-релиз Аэрофлота за 1П2026; таблица «Долговая нагрузка»; ЧД 511 500 = 574 667 − 63 167</x:v>
      </x:c>
      <x:c r="BD27" s="67"/>
      <x:c r="BE27" s="67"/>
      <x:c r="BF27" s="67" t="str">
        <x:v>AFLT_2026H1_official.pdf, PDF стр. 3; выручка МСФО 429 753; пресс-релиз отдельно показывает 429 836</x:v>
      </x:c>
      <x:c r="BG27" s="67" t="str">
        <x:v>Официальный пресс-релиз за 1П2026; скорр. EBITDA 83 082</x:v>
      </x:c>
      <x:c r="BH27" s="67"/>
      <x:c r="BI27" s="67" t="str">
        <x:v>Официальный пресс-релиз за 1П2026; EBITDA 82 197</x:v>
      </x:c>
      <x:c r="BJ27" s="67"/>
      <x:c r="BK27" s="67"/>
      <x:c r="BL27" s="67" t="str">
        <x:v>AFLT_2026H1_official.pdf, PDF стр. 3; убыток акционеров −367; убыток группы −561</x:v>
      </x:c>
      <x:c r="BM27" s="67" t="str">
        <x:v>AFLT_2026H1_official.pdf, PDF стр. 5; капитал акционеров 44 933; НКД −15 823; общий капитал 29 110</x:v>
      </x:c>
      <x:c r="BN27" s="83" t="n">
        <x:f>'Расчетные показатели'!E1576</x:f>
        <x:v>399030</x:v>
      </x:c>
      <x:c r="BO27" s="83" t="n">
        <x:f>'Расчетные показатели'!E1577</x:f>
        <x:v>-15823</x:v>
      </x:c>
      <x:c r="BP27" s="65"/>
      <x:c r="BQ27" s="83" t="n">
        <x:f>'Расчетные показатели'!E1578</x:f>
        <x:v>29110</x:v>
      </x:c>
      <x:c r="BR27" s="67" t="str">
        <x:v>МСФО имеет приоритет для выручки, прибыли и капитала; EBITDA и ЧД — официальный IR-релиз. Аренда включена в ЧД и показана отдельно.</x:v>
      </x:c>
      <x:c r="BS27" s="65"/>
      <x:c r="BT27" s="65"/>
      <x:c r="BU27" s="65"/>
      <x:c r="BV27" s="65"/>
      <x:c r="BW27" s="65"/>
      <x:c r="BX27" s="65"/>
      <x:c r="BY27" s="65"/>
      <x:c r="BZ27" s="65"/>
      <x:c r="CA27" s="65"/>
      <x:c r="CB27" s="65"/>
      <x:c r="CC27" s="65"/>
      <x:c r="CD27" s="65"/>
      <x:c r="CE27" s="65"/>
      <x:c r="CF27" s="65"/>
      <x:c r="CG27" s="65"/>
      <x:c r="CH27" s="65"/>
      <x:c r="CI27" s="65"/>
      <x:c r="CJ27" s="65"/>
      <x:c r="CK27" s="65"/>
      <x:c r="CL27" s="65"/>
      <x:c r="CM27" s="65"/>
      <x:c r="CN27" s="65"/>
    </x:row>
    <x:row r="28">
      <x:c r="A28"/>
      <x:c r="B28" s="3">
        <x:v>22</x:v>
      </x:c>
      <x:c r="C28" s="3" t="s">
        <x:v>101</x:v>
      </x:c>
      <x:c r="D28"/>
      <x:c r="E28" s="80" t="n">
        <x:f>'Расчетные показатели'!E1597</x:f>
        <x:v>-80732</x:v>
      </x:c>
      <x:c r="F28" s="64"/>
      <x:c r="G28" s="64"/>
      <x:c r="H28" s="80" t="n">
        <x:f>'Расчетные показатели'!E1627</x:f>
        <x:v>282311</x:v>
      </x:c>
      <x:c r="I28" s="82" t="str">
        <x:v>н.д.</x:v>
      </x:c>
      <x:c r="J28" s="80" t="n">
        <x:f>'Расчетные показатели'!E1613</x:f>
        <x:v>24710</x:v>
      </x:c>
      <x:c r="K28" s="64"/>
      <x:c r="L28" s="64"/>
      <x:c r="M28" s="64"/>
      <x:c r="N28" s="80" t="n">
        <x:f>'Расчетные показатели'!E1628</x:f>
        <x:v>-19112</x:v>
      </x:c>
      <x:c r="O28" s="80" t="n">
        <x:f>'Расчетные показатели'!E1629</x:f>
        <x:v>645191</x:v>
      </x:c>
      <x:c r="P28" s="65"/>
      <x:c r="Q28" s="65"/>
      <x:c r="R28" s="80" t="n">
        <x:f>'Расчетные показатели'!E1597</x:f>
        <x:v>-80732</x:v>
      </x:c>
      <x:c r="S28" s="66" t="n">
        <x:f>'Расчетные показатели'!E487</x:f>
        <x:v>31498</x:v>
      </x:c>
      <x:c r="T28" s="66" t="n">
        <x:f>'Расчетные показатели'!E488</x:f>
        <x:v>21108</x:v>
      </x:c>
      <x:c r="U28" s="66" t="n">
        <x:f>'Расчетные показатели'!E489</x:f>
        <x:v>19821</x:v>
      </x:c>
      <x:c r="V28" s="66"/>
      <x:c r="W28" s="64"/>
      <x:c r="X28" s="64"/>
      <x:c r="Y28" s="66" t="str">
        <x:v>н.п.</x:v>
      </x:c>
      <x:c r="Z28" s="82" t="str">
        <x:v>н.д.</x:v>
      </x:c>
      <x:c r="AA28" s="64"/>
      <x:c r="AB28" s="66"/>
      <x:c r="AC28" s="66"/>
      <x:c r="AD28" s="66"/>
      <x:c r="AE28" s="66"/>
      <x:c r="AF28" s="66" t="n">
        <x:f>SUM('Расчетные показатели'!E830:E831)</x:f>
        <x:v>245</x:v>
      </x:c>
      <x:c r="AG28" s="80" t="n">
        <x:f>'Расчетные показатели'!E1613</x:f>
        <x:v>24710</x:v>
      </x:c>
      <x:c r="AH28" s="64"/>
      <x:c r="AI28" s="64" t="str">
        <x:v>н.п.</x:v>
      </x:c>
      <x:c r="AJ28" s="64"/>
      <x:c r="AK28" s="64" t="str">
        <x:v>н.п.</x:v>
      </x:c>
      <x:c r="AL28" s="64"/>
      <x:c r="AM28" s="64"/>
      <x:c r="AN28" s="64"/>
      <x:c r="AO28" s="64"/>
      <x:c r="AP28" s="64"/>
      <x:c r="AQ28" s="64"/>
      <x:c r="AR28" s="64"/>
      <x:c r="AS28" s="65"/>
      <x:c r="AT28" s="65" t="n">
        <x:f>IF(COUNT(E28,R28)=2,E28-R28,"не сверено")</x:f>
        <x:v>0</x:v>
      </x:c>
      <x:c r="AU28" s="65" t="str">
        <x:f>IF(COUNT(F28,W28)=2,F28-W28,"не сверено")</x:f>
        <x:v>не сверено</x:v>
      </x:c>
      <x:c r="AV28" s="65" t="str">
        <x:f>IF(COUNT(G28,Y28)=2,G28-Y28,"не сверено")</x:f>
        <x:v>не сверено</x:v>
      </x:c>
      <x:c r="AW28" s="65" t="n">
        <x:f>IF(COUNT(J28,AG28)=2,J28-AG28,"не сверено")</x:f>
        <x:v>0</x:v>
      </x:c>
      <x:c r="AX28" s="65" t="str">
        <x:f>IF(COUNT(K28,AI28)=2,K28-AI28,"не сверено")</x:f>
        <x:v>не сверено</x:v>
      </x:c>
      <x:c r="AY28" s="65" t="str">
        <x:f>IF(COUNT(I28,Z28)=2,I28-Z28,"не сверено")</x:f>
        <x:v>не сверено</x:v>
      </x:c>
      <x:c r="AZ28" s="65" t="str">
        <x:f>IF(COUNT(L28,AM28)=2,L28-AM28,"не сверено")</x:f>
        <x:v>не сверено</x:v>
      </x:c>
      <x:c r="BA28" s="65" t="str">
        <x:f>IF(COUNT(M28,AP28)=2,M28-AP28,"не сверено")</x:f>
        <x:v>не сверено</x:v>
      </x:c>
      <x:c r="BB28" s="65"/>
      <x:c r="BC28" s="67" t="str">
        <x:v>MAGN_2026H1.pdf; PDF стр. 19; ЧД −80 732 = 52 606 + 2 259 − 19 821 − 115 776</x:v>
      </x:c>
      <x:c r="BD28" s="67"/>
      <x:c r="BE28" s="67"/>
      <x:c r="BF28" s="67" t="str">
        <x:v>MAGN_2026H1.pdf; PDF стр. 6; выручка 282 311</x:v>
      </x:c>
      <x:c r="BG28" s="67" t="str">
        <x:v>MAGN_2026H1.pdf; PDF стр. 14; EBITDA компании 24 710 классифицирована как скорректированная</x:v>
      </x:c>
      <x:c r="BH28" s="67"/>
      <x:c r="BI28" s="67" t="str">
        <x:v>н.д.: обычный EBITDA без дополнительных корректировок компанией не раскрыт</x:v>
      </x:c>
      <x:c r="BJ28" s="67"/>
      <x:c r="BK28" s="67"/>
      <x:c r="BL28" s="67" t="str">
        <x:v>MAGN_2026H1.pdf; PDF стр. 6, 8; убыток акционеров и группы −19 112</x:v>
      </x:c>
      <x:c r="BM28" s="67" t="str">
        <x:v>MAGN_2026H1.pdf; PDF стр. 7-8; капитал акционеров 645 191; НКД 155; общий капитал 645 346</x:v>
      </x:c>
      <x:c r="BN28" s="83" t="n">
        <x:f>'Расчетные показатели'!E1594</x:f>
        <x:v>2259</x:v>
      </x:c>
      <x:c r="BO28" s="83" t="n">
        <x:f>'Расчетные показатели'!E1630</x:f>
        <x:v>155</x:v>
      </x:c>
      <x:c r="BP28" s="65"/>
      <x:c r="BQ28" s="83" t="n">
        <x:f>'Расчетные показатели'!E1631</x:f>
        <x:v>645346</x:v>
      </x:c>
      <x:c r="BR28" s="67" t="str">
        <x:v>ЧД компании включает аренду и вычитает банковские депозиты. Балансовый мост без депозитов признан неполным и заменен.</x:v>
      </x:c>
      <x:c r="BS28" s="65"/>
      <x:c r="BT28" s="65"/>
      <x:c r="BU28" s="65"/>
      <x:c r="BV28" s="65"/>
      <x:c r="BW28" s="65"/>
      <x:c r="BX28" s="65"/>
      <x:c r="BY28" s="65"/>
      <x:c r="BZ28" s="65"/>
      <x:c r="CA28" s="65"/>
      <x:c r="CB28" s="65"/>
      <x:c r="CC28" s="65"/>
      <x:c r="CD28" s="65"/>
      <x:c r="CE28" s="65"/>
      <x:c r="CF28" s="65"/>
      <x:c r="CG28" s="65"/>
      <x:c r="CH28" s="65" t="n">
        <x:f>'Расчетные показатели'!E1088</x:f>
        <x:v>421</x:v>
      </x:c>
      <x:c r="CI28" s="65" t="n">
        <x:f>'Расчетные показатели'!E1089</x:f>
        <x:v>1838</x:v>
      </x:c>
      <x:c r="CJ28" s="65"/>
      <x:c r="CK28" s="65"/>
      <x:c r="CL28" s="65" t="n">
        <x:f>'Расчетные показатели'!E1159</x:f>
        <x:v>-115776</x:v>
      </x:c>
      <x:c r="CM28" s="65"/>
      <x:c r="CN28" s="65"/>
    </x:row>
    <x:row r="29">
      <x:c r="A29"/>
      <x:c r="B29" s="3">
        <x:v>23</x:v>
      </x:c>
      <x:c r="C29" s="3" t="s">
        <x:v>102</x:v>
      </x:c>
      <x:c r="D29"/>
      <x:c r="E29" s="80" t="n">
        <x:f>'Расчетные показатели'!E1665</x:f>
        <x:v>929936.644</x:v>
      </x:c>
      <x:c r="F29" s="64"/>
      <x:c r="G29" s="64"/>
      <x:c r="H29" s="80" t="n">
        <x:f>'Расчетные показатели'!E1671</x:f>
        <x:v>772009.5677016574</x:v>
      </x:c>
      <x:c r="I29" s="82" t="str">
        <x:v>н.д.</x:v>
      </x:c>
      <x:c r="J29" s="80" t="n">
        <x:f>'Расчетные показатели'!E1670</x:f>
        <x:v>177762.34554143646</x:v>
      </x:c>
      <x:c r="K29" s="64"/>
      <x:c r="L29" s="64"/>
      <x:c r="M29" s="64"/>
      <x:c r="N29" s="80" t="n">
        <x:f>'Расчетные показатели'!E1672</x:f>
        <x:v>55383.62720994475</x:v>
      </x:c>
      <x:c r="O29" s="80" t="n">
        <x:f>'Расчетные показатели'!E1674</x:f>
        <x:v>760510.8959</x:v>
      </x:c>
      <x:c r="P29" s="65"/>
      <x:c r="Q29" s="65"/>
      <x:c r="R29" s="80" t="n">
        <x:f>'Расчетные показатели'!E1665</x:f>
        <x:v>929936.644</x:v>
      </x:c>
      <x:c r="S29" s="66"/>
      <x:c r="T29" s="66"/>
      <x:c r="U29" s="66"/>
      <x:c r="V29" s="66"/>
      <x:c r="W29" s="64"/>
      <x:c r="X29" s="64"/>
      <x:c r="Y29" s="66" t="str">
        <x:v>н.п.</x:v>
      </x:c>
      <x:c r="Z29" s="82" t="str">
        <x:v>н.д.</x:v>
      </x:c>
      <x:c r="AA29" s="64"/>
      <x:c r="AB29" s="66"/>
      <x:c r="AC29" s="66"/>
      <x:c r="AD29" s="66"/>
      <x:c r="AE29" s="66"/>
      <x:c r="AF29" s="66"/>
      <x:c r="AG29" s="80" t="n">
        <x:f>'Расчетные показатели'!E1670</x:f>
        <x:v>177762.34554143646</x:v>
      </x:c>
      <x:c r="AH29" s="64"/>
      <x:c r="AI29" s="64" t="str">
        <x:v>н.п.</x:v>
      </x:c>
      <x:c r="AJ29" s="64"/>
      <x:c r="AK29" s="64" t="str">
        <x:v>н.п.</x:v>
      </x:c>
      <x:c r="AL29" s="64"/>
      <x:c r="AM29" s="64"/>
      <x:c r="AN29" s="64"/>
      <x:c r="AO29" s="64"/>
      <x:c r="AP29" s="64"/>
      <x:c r="AQ29" s="64"/>
      <x:c r="AR29" s="64"/>
      <x:c r="AS29" s="65"/>
      <x:c r="AT29" s="65" t="n">
        <x:f>IF(COUNT(E29,R29)=2,E29-R29,"не сверено")</x:f>
        <x:v>0</x:v>
      </x:c>
      <x:c r="AU29" s="65" t="str">
        <x:f>IF(COUNT(F29,W29)=2,F29-W29,"не сверено")</x:f>
        <x:v>не сверено</x:v>
      </x:c>
      <x:c r="AV29" s="65" t="str">
        <x:f>IF(COUNT(G29,Y29)=2,G29-Y29,"не сверено")</x:f>
        <x:v>не сверено</x:v>
      </x:c>
      <x:c r="AW29" s="65" t="n">
        <x:f>IF(COUNT(J29,AG29)=2,J29-AG29,"не сверено")</x:f>
        <x:v>0</x:v>
      </x:c>
      <x:c r="AX29" s="65" t="str">
        <x:f>IF(COUNT(K29,AI29)=2,K29-AI29,"не сверено")</x:f>
        <x:v>не сверено</x:v>
      </x:c>
      <x:c r="AY29" s="65" t="str">
        <x:f>IF(COUNT(I29,Z29)=2,I29-Z29,"не сверено")</x:f>
        <x:v>не сверено</x:v>
      </x:c>
      <x:c r="AZ29" s="65" t="str">
        <x:f>IF(COUNT(L29,AM29)=2,L29-AM29,"не сверено")</x:f>
        <x:v>не сверено</x:v>
      </x:c>
      <x:c r="BA29" s="65" t="str">
        <x:f>IF(COUNT(M29,AP29)=2,M29-AP29,"не сверено")</x:f>
        <x:v>не сверено</x:v>
      </x:c>
      <x:c r="BB29" s="65"/>
      <x:c r="BC29" s="67" t="str">
        <x:v>Официальный пресс-релиз Эн+ за 1П2026; PDF стр. 1-2, 4; ЧД 11 960 млн долл. США; ENPG_2026H1.pdf стр. 8: 13 590 − 1 630</x:v>
      </x:c>
      <x:c r="BD29" s="67"/>
      <x:c r="BE29" s="67"/>
      <x:c r="BF29" s="67" t="str">
        <x:v>ENPG_2026H1.pdf; PDF стр. 6, 17; выручка 10 106 млн долл. США</x:v>
      </x:c>
      <x:c r="BG29" s="67" t="str">
        <x:v>Официальный пресс-релиз Эн+ за 1П2026; PDF стр. 2-3; скорр. EBITDA 2 327; мост ENPG_2026H1.pdf стр. 17</x:v>
      </x:c>
      <x:c r="BH29" s="67"/>
      <x:c r="BI29" s="67" t="str">
        <x:v>н.д.: обычная EBITDA без обесценения и убытка от выбытия отдельно не раскрыта</x:v>
      </x:c>
      <x:c r="BJ29" s="67"/>
      <x:c r="BK29" s="67"/>
      <x:c r="BL29" s="67" t="str">
        <x:v>ENPG_2026H1.pdf; PDF стр. 6; прибыль акционеров 725, прибыль группы 905 млн долл. США</x:v>
      </x:c>
      <x:c r="BM29" s="67" t="str">
        <x:v>ENPG_2026H1.pdf; PDF стр. 8; капитал акционеров 9 781, НКД 5 181, общий капитал 14 962 млн долл. США</x:v>
      </x:c>
      <x:c r="BN29" s="65"/>
      <x:c r="BO29" s="83" t="n">
        <x:f>'Расчетные показатели'!E1675</x:f>
        <x:v>402842.9559</x:v>
      </x:c>
      <x:c r="BP29" s="65"/>
      <x:c r="BQ29" s="83" t="n">
        <x:f>'Расчетные показатели'!E1676</x:f>
        <x:v>1163353.8518</x:v>
      </x:c>
      <x:c r="BR29" s="67" t="str">
        <x:v>USD: потоки по среднему курсу ЦБ РФ 76,39120994475138; остатки по курсу 30.06.2026 77,7539. Скорр. EBITDA воспроизведена по определению компании.</x:v>
      </x:c>
      <x:c r="BS29" s="65"/>
      <x:c r="BT29" s="65"/>
      <x:c r="BU29" s="65"/>
      <x:c r="BV29" s="65"/>
      <x:c r="BW29" s="65"/>
      <x:c r="BX29" s="65"/>
      <x:c r="BY29" s="65"/>
      <x:c r="BZ29" s="65"/>
      <x:c r="CA29" s="65"/>
      <x:c r="CB29" s="65"/>
      <x:c r="CC29" s="65"/>
      <x:c r="CD29" s="65"/>
      <x:c r="CE29" s="65"/>
      <x:c r="CF29" s="65"/>
      <x:c r="CG29" s="65"/>
      <x:c r="CH29" s="65"/>
      <x:c r="CI29" s="65"/>
      <x:c r="CJ29" s="65"/>
      <x:c r="CK29" s="65"/>
      <x:c r="CL29" s="65"/>
      <x:c r="CM29" s="65"/>
      <x:c r="CN29" s="65"/>
    </x:row>
    <x:row r="30">
      <x:c r="A30"/>
      <x:c r="B30" s="3">
        <x:v>24</x:v>
      </x:c>
      <x:c r="C30" s="3" t="s">
        <x:v>103</x:v>
      </x:c>
      <x:c r="D30"/>
      <x:c r="E30" s="64" t="n">
        <x:f>'Расчетные показатели'!E497</x:f>
        <x:v>6261</x:v>
      </x:c>
      <x:c r="F30" s="64"/>
      <x:c r="G30" s="64"/>
      <x:c r="H30" s="64" t="n">
        <x:f>'Расчетные показатели'!E498</x:f>
        <x:v>24809.227</x:v>
      </x:c>
      <x:c r="I30" s="64" t="n">
        <x:f>'Расчетные показатели'!E499</x:f>
        <x:v>6986</x:v>
      </x:c>
      <x:c r="J30" s="64"/>
      <x:c r="K30" s="64"/>
      <x:c r="L30" s="64"/>
      <x:c r="M30" s="64"/>
      <x:c r="N30" s="64" t="n">
        <x:f>'Расчетные показатели'!E500</x:f>
        <x:v>5196.444</x:v>
      </x:c>
      <x:c r="O30" s="64" t="n">
        <x:f>'Расчетные показатели'!E501</x:f>
        <x:v>38169.801</x:v>
      </x:c>
      <x:c r="P30" s="65"/>
      <x:c r="Q30" s="65"/>
      <x:c r="R30" s="80" t="n">
        <x:f>S30+T30-U30</x:f>
        <x:v>6260.771</x:v>
      </x:c>
      <x:c r="S30" s="81" t="n">
        <x:f>'Расчетные показатели'!E1687</x:f>
        <x:v>844.737</x:v>
      </x:c>
      <x:c r="T30" s="81" t="n">
        <x:f>'Расчетные показатели'!E1688</x:f>
        <x:v>10025.341</x:v>
      </x:c>
      <x:c r="U30" s="81" t="n">
        <x:f>'Расчетные показатели'!E1689</x:f>
        <x:v>4609.307</x:v>
      </x:c>
      <x:c r="V30" s="66"/>
      <x:c r="W30" s="64"/>
      <x:c r="X30" s="64"/>
      <x:c r="Y30" s="66" t="str">
        <x:v>н.п.</x:v>
      </x:c>
      <x:c r="Z30" s="64"/>
      <x:c r="AA30" s="64"/>
      <x:c r="AB30" s="66"/>
      <x:c r="AC30" s="66"/>
      <x:c r="AD30" s="66"/>
      <x:c r="AE30" s="66"/>
      <x:c r="AF30" s="66"/>
      <x:c r="AG30" s="64"/>
      <x:c r="AH30" s="64"/>
      <x:c r="AI30" s="64" t="str">
        <x:v>н.п.</x:v>
      </x:c>
      <x:c r="AJ30" s="64"/>
      <x:c r="AK30" s="64" t="str">
        <x:v>н.п.</x:v>
      </x:c>
      <x:c r="AL30" s="64"/>
      <x:c r="AM30" s="64"/>
      <x:c r="AN30" s="64"/>
      <x:c r="AO30" s="64"/>
      <x:c r="AP30" s="64"/>
      <x:c r="AQ30" s="64"/>
      <x:c r="AR30" s="64"/>
      <x:c r="AS30" s="65"/>
      <x:c r="AT30" s="65" t="n">
        <x:f>IF(COUNT(E30,R30)=2,E30-R30,"не сверено")</x:f>
        <x:v>0.2290000000002692</x:v>
      </x:c>
      <x:c r="AU30" s="65" t="str">
        <x:f>IF(COUNT(F30,W30)=2,F30-W30,"не сверено")</x:f>
        <x:v>не сверено</x:v>
      </x:c>
      <x:c r="AV30" s="65" t="str">
        <x:f>IF(COUNT(G30,Y30)=2,G30-Y30,"не сверено")</x:f>
        <x:v>не сверено</x:v>
      </x:c>
      <x:c r="AW30" s="65" t="str">
        <x:f>IF(COUNT(J30,AG30)=2,J30-AG30,"не сверено")</x:f>
        <x:v>не сверено</x:v>
      </x:c>
      <x:c r="AX30" s="65" t="str">
        <x:f>IF(COUNT(K30,AI30)=2,K30-AI30,"не сверено")</x:f>
        <x:v>не сверено</x:v>
      </x:c>
      <x:c r="AY30" s="65" t="str">
        <x:f>IF(COUNT(I30,Z30)=2,I30-Z30,"не сверено")</x:f>
        <x:v>не сверено</x:v>
      </x:c>
      <x:c r="AZ30" s="65" t="str">
        <x:f>IF(COUNT(L30,AM30)=2,L30-AM30,"не сверено")</x:f>
        <x:v>не сверено</x:v>
      </x:c>
      <x:c r="BA30" s="65" t="str">
        <x:f>IF(COUNT(M30,AP30)=2,M30-AP30,"не сверено")</x:f>
        <x:v>не сверено</x:v>
      </x:c>
      <x:c r="BB30" s="65"/>
      <x:c r="BC30" s="67" t="str">
        <x:v>Официальный пресс-релиз 6M 2026; PDF стр. 1, 6: чистый долг 6 261 млн руб. включая аренду; МСФО стр. 5: 844,737 + 10 025,341 − 4 609,307 = 6 260,771</x:v>
      </x:c>
      <x:c r="BD30" s="67"/>
      <x:c r="BE30" s="67"/>
      <x:c r="BF30" s="67" t="str">
        <x:v>Официальный пресс-релиз 6M 2026; PDF стр. 1, 3; выручка 24 809,227 млн руб.</x:v>
      </x:c>
      <x:c r="BG30" s="67"/>
      <x:c r="BH30" s="67"/>
      <x:c r="BI30" s="67" t="str">
        <x:v>Официальный пресс-релиз 6M 2026; PDF стр. 1, 3, 5; EBITDA 6 986 млн руб.</x:v>
      </x:c>
      <x:c r="BJ30" s="67"/>
      <x:c r="BK30" s="67"/>
      <x:c r="BL30" s="67" t="str">
        <x:v>MD Medical Group 6M 2026 IFRS; PDF стр. 7; прибыль акционеров 5 196,444 млн руб.</x:v>
      </x:c>
      <x:c r="BM30" s="67" t="str">
        <x:v>MD Medical Group 6M 2026 IFRS; PDF стр. 5, 7; капитал акционеров 38 169,801; НКД 272,426; всего 38 442,227 млн руб.</x:v>
      </x:c>
      <x:c r="BN30" s="65"/>
      <x:c r="BO30" s="65" t="n">
        <x:f>'Расчетные показатели'!E502</x:f>
        <x:v>272.426</x:v>
      </x:c>
      <x:c r="BP30" s="65"/>
      <x:c r="BQ30" s="83" t="n">
        <x:f>O30+BO30</x:f>
        <x:v>38442.227</x:v>
      </x:c>
      <x:c r="BR30" s="67" t="str">
        <x:v>Чистый долг 6 261 млн руб. — раскрытый округленный показатель; расчет по точным компонентам равен 6 260,771 млн руб., отклонение проверки 0,229 млн руб. объясняется округлением.</x:v>
      </x:c>
      <x:c r="BS30" s="65"/>
      <x:c r="BT30" s="65"/>
      <x:c r="BU30" s="65"/>
      <x:c r="BV30" s="65"/>
      <x:c r="BW30" s="65"/>
      <x:c r="BX30" s="65"/>
      <x:c r="BY30" s="65"/>
      <x:c r="BZ30" s="65"/>
      <x:c r="CA30" s="65"/>
      <x:c r="CB30" s="65"/>
      <x:c r="CC30" s="65"/>
      <x:c r="CD30" s="65"/>
      <x:c r="CE30" s="65"/>
      <x:c r="CF30" s="65"/>
      <x:c r="CG30" s="65"/>
      <x:c r="CH30" s="65"/>
      <x:c r="CI30" s="65"/>
      <x:c r="CJ30" s="65"/>
      <x:c r="CK30" s="65"/>
      <x:c r="CL30" s="65"/>
      <x:c r="CM30" s="65"/>
      <x:c r="CN30" s="65"/>
    </x:row>
    <x:row r="31">
      <x:c r="A31"/>
      <x:c r="B31" s="3">
        <x:v>25</x:v>
      </x:c>
      <x:c r="C31" s="3" t="s">
        <x:v>105</x:v>
      </x:c>
      <x:c r="D31"/>
      <x:c r="E31" s="64" t="n">
        <x:f>R31</x:f>
        <x:v>276677.038</x:v>
      </x:c>
      <x:c r="F31" s="64"/>
      <x:c r="G31" s="64" t="n">
        <x:f>Y31</x:f>
        <x:v>117411.168</x:v>
      </x:c>
      <x:c r="H31" s="64" t="n">
        <x:f>'Расчетные показатели'!E503</x:f>
        <x:v>648488.059</x:v>
      </x:c>
      <x:c r="I31" s="64"/>
      <x:c r="J31" s="64" t="n">
        <x:f>'Расчетные показатели'!E667</x:f>
        <x:v>58289.515</x:v>
      </x:c>
      <x:c r="K31" s="80" t="n">
        <x:f>'Расчетные показатели'!E1706</x:f>
        <x:v>39279</x:v>
      </x:c>
      <x:c r="L31" s="64"/>
      <x:c r="M31" s="64"/>
      <x:c r="N31" s="64" t="n">
        <x:f>'Расчетные показатели'!E505</x:f>
        <x:v>10612.827</x:v>
      </x:c>
      <x:c r="O31" s="64" t="n">
        <x:f>'Расчетные показатели'!E506</x:f>
        <x:v>189728.624</x:v>
      </x:c>
      <x:c r="P31" s="65"/>
      <x:c r="Q31" s="65"/>
      <x:c r="R31" s="64" t="n">
        <x:f>'Расчетные показатели'!E1039</x:f>
        <x:v>276677.038</x:v>
      </x:c>
      <x:c r="S31" s="66" t="n">
        <x:f>'Расчетные показатели'!E507</x:f>
        <x:v>42553.313</x:v>
      </x:c>
      <x:c r="T31" s="66" t="n">
        <x:f>'Расчетные показатели'!E508</x:f>
        <x:v>100030.371</x:v>
      </x:c>
      <x:c r="U31" s="66" t="n">
        <x:f>'Расчетные показатели'!E509</x:f>
        <x:v>25172.516</x:v>
      </x:c>
      <x:c r="V31" s="66"/>
      <x:c r="W31" s="64"/>
      <x:c r="X31" s="64" t="n">
        <x:f>-BN31</x:f>
        <x:v>-159265.87</x:v>
      </x:c>
      <x:c r="Y31" s="66" t="n">
        <x:f>R31+X31</x:f>
        <x:v>117411.168</x:v>
      </x:c>
      <x:c r="Z31" s="64"/>
      <x:c r="AA31" s="64"/>
      <x:c r="AB31" s="66"/>
      <x:c r="AC31" s="66"/>
      <x:c r="AD31" s="66"/>
      <x:c r="AE31" s="66"/>
      <x:c r="AF31" s="66" t="n">
        <x:f>SUM('Расчетные показатели'!E664:E666)</x:f>
        <x:v>48.818999999999996</x:v>
      </x:c>
      <x:c r="AG31" s="64" t="n">
        <x:f>'Расчетные показатели'!E667</x:f>
        <x:v>58289.515</x:v>
      </x:c>
      <x:c r="AH31" s="64"/>
      <x:c r="AI31" s="80" t="n">
        <x:f>'Расчетные показатели'!E1706</x:f>
        <x:v>39279</x:v>
      </x:c>
      <x:c r="AJ31" s="64"/>
      <x:c r="AK31" s="64" t="str">
        <x:v>н.п.</x:v>
      </x:c>
      <x:c r="AL31" s="64"/>
      <x:c r="AM31" s="64"/>
      <x:c r="AN31" s="64"/>
      <x:c r="AO31" s="64"/>
      <x:c r="AP31" s="64"/>
      <x:c r="AQ31" s="64"/>
      <x:c r="AR31" s="64"/>
      <x:c r="AS31" s="65"/>
      <x:c r="AT31" s="65" t="n">
        <x:f>IF(COUNT(E31,R31)=2,E31-R31,"не сверено")</x:f>
        <x:v>0</x:v>
      </x:c>
      <x:c r="AU31" s="65" t="str">
        <x:f>IF(COUNT(F31,W31)=2,F31-W31,"не сверено")</x:f>
        <x:v>не сверено</x:v>
      </x:c>
      <x:c r="AV31" s="65" t="n">
        <x:f>IF(COUNT(G31,Y31)=2,G31-Y31,"не сверено")</x:f>
        <x:v>0</x:v>
      </x:c>
      <x:c r="AW31" s="65" t="n">
        <x:f>IF(COUNT(J31,AG31)=2,J31-AG31,"не сверено")</x:f>
        <x:v>0</x:v>
      </x:c>
      <x:c r="AX31" s="65" t="n">
        <x:f>IF(COUNT(K31,AI31)=2,K31-AI31,"не сверено")</x:f>
        <x:v>0</x:v>
      </x:c>
      <x:c r="AY31" s="65" t="str">
        <x:f>IF(COUNT(I31,Z31)=2,I31-Z31,"не сверено")</x:f>
        <x:v>не сверено</x:v>
      </x:c>
      <x:c r="AZ31" s="65" t="str">
        <x:f>IF(COUNT(L31,AM31)=2,L31-AM31,"не сверено")</x:f>
        <x:v>не сверено</x:v>
      </x:c>
      <x:c r="BA31" s="65" t="str">
        <x:f>IF(COUNT(M31,AP31)=2,M31-AP31,"не сверено")</x:f>
        <x:v>не сверено</x:v>
      </x:c>
      <x:c r="BB31" s="65"/>
      <x:c r="BC31" s="67" t="str">
        <x:v>LENT_2026H1.pdf; PDF стр. 6; ЧД IFRS 16 276 677,038 = 142 583,684 + 159 265,870 − 25 172,516</x:v>
      </x:c>
      <x:c r="BD31" s="67"/>
      <x:c r="BE31" s="67" t="str">
        <x:v>Официальные результаты 2К и 1П2026: ЧД до IFRS 16 117 411,168 млн руб.</x:v>
      </x:c>
      <x:c r="BF31" s="67" t="str">
        <x:v>LENT_2026H1.pdf; PDF стр. 7; выручка 648 488,059</x:v>
      </x:c>
      <x:c r="BG31" s="67" t="str">
        <x:v>LENT_2026H1.pdf; PDF стр. 24; EBITDA IFRS 16 58 289,515; классифицирована как скорректированная</x:v>
      </x:c>
      <x:c r="BH31" s="67" t="str">
        <x:v>Официальные результаты 2К и 1П2026 на https://www.lentagroup.ru/ru/; EBITDA до IFRS 16 39 279</x:v>
      </x:c>
      <x:c r="BI31" s="67"/>
      <x:c r="BJ31" s="67"/>
      <x:c r="BK31" s="67"/>
      <x:c r="BL31" s="67" t="str">
        <x:v>LENT_2026H1.pdf; PDF стр. 7; прибыль акционеров 10 612,827; прибыль группы 10 668,930</x:v>
      </x:c>
      <x:c r="BM31" s="67" t="str">
        <x:v>LENT_2026H1.pdf; PDF стр. 8-9; капитал акционеров 189 728,624; НКД 991,707; общий капитал 190 720,331</x:v>
      </x:c>
      <x:c r="BN31" s="65" t="n">
        <x:f>'Расчетные показатели'!E1032</x:f>
        <x:v>159265.87</x:v>
      </x:c>
      <x:c r="BO31" s="65" t="n">
        <x:f>'Расчетные показатели'!E511</x:f>
        <x:v>991.707</x:v>
      </x:c>
      <x:c r="BP31" s="65"/>
      <x:c r="BQ31" s="83" t="n">
        <x:f>'Расчетные показатели'!E1707</x:f>
        <x:v>190720.331</x:v>
      </x:c>
      <x:c r="BR31" s="67" t="str">
        <x:v>Компания отдельно раскрывает EBITDA и ЧД до применения IFRS 16. EBITDA IFRS 16 содержит дополнительные корректировки и классифицирована как скорректированная; версия IAS 17 сохранена отдельно.</x:v>
      </x:c>
      <x:c r="BS31" s="65"/>
      <x:c r="BT31" s="65"/>
      <x:c r="BU31" s="65"/>
      <x:c r="BV31" s="65"/>
      <x:c r="BW31" s="65"/>
      <x:c r="BX31" s="65"/>
      <x:c r="BY31" s="65"/>
      <x:c r="BZ31" s="65"/>
      <x:c r="CA31" s="65"/>
      <x:c r="CB31" s="65"/>
      <x:c r="CC31" s="65"/>
      <x:c r="CD31" s="65"/>
      <x:c r="CE31" s="65"/>
      <x:c r="CF31" s="65"/>
      <x:c r="CG31" s="65"/>
      <x:c r="CH31" s="65" t="n">
        <x:f>'Расчетные показатели'!E1037</x:f>
        <x:v>18497.093</x:v>
      </x:c>
      <x:c r="CI31" s="65" t="n">
        <x:f>'Расчетные показатели'!E1038</x:f>
        <x:v>140768.777</x:v>
      </x:c>
      <x:c r="CJ31" s="65"/>
      <x:c r="CK31" s="65"/>
      <x:c r="CL31" s="65"/>
      <x:c r="CM31" s="65"/>
      <x:c r="CN31" s="65"/>
    </x:row>
    <x:row r="32">
      <x:c r="A32"/>
      <x:c r="B32" s="3">
        <x:v>26</x:v>
      </x:c>
      <x:c r="C32" s="3" t="s">
        <x:v>106</x:v>
      </x:c>
      <x:c r="D32"/>
      <x:c r="E32" s="64" t="n">
        <x:f>R32</x:f>
        <x:v>103921</x:v>
      </x:c>
      <x:c r="F32" s="64"/>
      <x:c r="G32" s="64"/>
      <x:c r="H32" s="64" t="n">
        <x:f>'Расчетные показатели'!E512</x:f>
        <x:v>78101</x:v>
      </x:c>
      <x:c r="I32" s="64"/>
      <x:c r="J32" s="64"/>
      <x:c r="K32" s="64"/>
      <x:c r="L32" s="64"/>
      <x:c r="M32" s="64"/>
      <x:c r="N32" s="64" t="n">
        <x:f>'Расчетные показатели'!E513</x:f>
        <x:v>21058</x:v>
      </x:c>
      <x:c r="O32" s="64" t="n">
        <x:f>'Расчетные показатели'!E514</x:f>
        <x:v>364723</x:v>
      </x:c>
      <x:c r="P32" s="65"/>
      <x:c r="Q32" s="65"/>
      <x:c r="R32" s="64" t="n">
        <x:f>S32+T32-U32+BN32</x:f>
        <x:v>103921</x:v>
      </x:c>
      <x:c r="S32" s="66" t="n">
        <x:f>'Расчетные показатели'!E515</x:f>
        <x:v>20992</x:v>
      </x:c>
      <x:c r="T32" s="66" t="n">
        <x:f>'Расчетные показатели'!E516</x:f>
        <x:v>132346</x:v>
      </x:c>
      <x:c r="U32" s="66" t="n">
        <x:f>'Расчетные показатели'!E517</x:f>
        <x:v>51441</x:v>
      </x:c>
      <x:c r="V32" s="66"/>
      <x:c r="W32" s="64"/>
      <x:c r="X32" s="64"/>
      <x:c r="Y32" s="66" t="str">
        <x:v>н.п.</x:v>
      </x:c>
      <x:c r="Z32" s="64"/>
      <x:c r="AA32" s="64"/>
      <x:c r="AB32" s="66"/>
      <x:c r="AC32" s="66"/>
      <x:c r="AD32" s="66"/>
      <x:c r="AE32" s="66"/>
      <x:c r="AF32" s="66"/>
      <x:c r="AG32" s="64"/>
      <x:c r="AH32" s="64"/>
      <x:c r="AI32" s="64" t="str">
        <x:v>н.п.</x:v>
      </x:c>
      <x:c r="AJ32" s="64"/>
      <x:c r="AK32" s="64" t="str">
        <x:v>н.п.</x:v>
      </x:c>
      <x:c r="AL32" s="64"/>
      <x:c r="AM32" s="64"/>
      <x:c r="AN32" s="64"/>
      <x:c r="AO32" s="64"/>
      <x:c r="AP32" s="64"/>
      <x:c r="AQ32" s="64"/>
      <x:c r="AR32" s="64"/>
      <x:c r="AS32" s="65"/>
      <x:c r="AT32" s="65" t="n">
        <x:f>IF(COUNT(E32,R32)=2,E32-R32,"не сверено")</x:f>
        <x:v>0</x:v>
      </x:c>
      <x:c r="AU32" s="65" t="str">
        <x:f>IF(COUNT(F32,W32)=2,F32-W32,"не сверено")</x:f>
        <x:v>не сверено</x:v>
      </x:c>
      <x:c r="AV32" s="65" t="str">
        <x:f>IF(COUNT(G32,Y32)=2,G32-Y32,"не сверено")</x:f>
        <x:v>не сверено</x:v>
      </x:c>
      <x:c r="AW32" s="65" t="str">
        <x:f>IF(COUNT(J32,AG32)=2,J32-AG32,"не сверено")</x:f>
        <x:v>не сверено</x:v>
      </x:c>
      <x:c r="AX32" s="65" t="str">
        <x:f>IF(COUNT(K32,AI32)=2,K32-AI32,"не сверено")</x:f>
        <x:v>не сверено</x:v>
      </x:c>
      <x:c r="AY32" s="65" t="str">
        <x:f>IF(COUNT(I32,Z32)=2,I32-Z32,"не сверено")</x:f>
        <x:v>не сверено</x:v>
      </x:c>
      <x:c r="AZ32" s="65" t="str">
        <x:f>IF(COUNT(L32,AM32)=2,L32-AM32,"не сверено")</x:f>
        <x:v>не сверено</x:v>
      </x:c>
      <x:c r="BA32" s="65" t="str">
        <x:f>IF(COUNT(M32,AP32)=2,M32-AP32,"не сверено")</x:f>
        <x:v>не сверено</x:v>
      </x:c>
      <x:c r="BB32" s="65"/>
      <x:c r="BC32" s="67" t="str">
        <x:v>FLOT_2026H1.pdf; страница не подтверждена; кредиты + аренда − деньги</x:v>
      </x:c>
      <x:c r="BD32" s="67"/>
      <x:c r="BE32" s="67"/>
      <x:c r="BF32" s="67" t="str">
        <x:v>FLOT_2026H1.pdf; PDF стр. 5</x:v>
      </x:c>
      <x:c r="BG32" s="67"/>
      <x:c r="BH32" s="67"/>
      <x:c r="BI32" s="67"/>
      <x:c r="BJ32" s="67"/>
      <x:c r="BK32" s="67"/>
      <x:c r="BL32" s="67" t="str">
        <x:v>FLOT_2026H1.pdf; PDF стр. 5, 8</x:v>
      </x:c>
      <x:c r="BM32" s="67" t="str">
        <x:v>FLOT_2026H1.pdf; PDF стр. 7, 8</x:v>
      </x:c>
      <x:c r="BN32" s="65" t="n">
        <x:f>'Расчетные показатели'!E518</x:f>
        <x:v>2024</x:v>
      </x:c>
      <x:c r="BO32" s="65" t="n">
        <x:f>'Расчетные показатели'!E519</x:f>
        <x:v>10417</x:v>
      </x:c>
      <x:c r="BP32" s="65"/>
      <x:c r="BQ32" s="65"/>
      <x:c r="BR32" s="67" t="str"/>
      <x:c r="BS32" s="65"/>
      <x:c r="BT32" s="65"/>
      <x:c r="BU32" s="65"/>
      <x:c r="BV32" s="65"/>
      <x:c r="BW32" s="65"/>
      <x:c r="BX32" s="65"/>
      <x:c r="BY32" s="65"/>
      <x:c r="BZ32" s="65"/>
      <x:c r="CA32" s="65"/>
      <x:c r="CB32" s="65"/>
      <x:c r="CC32" s="65"/>
      <x:c r="CD32" s="65"/>
      <x:c r="CE32" s="65"/>
      <x:c r="CF32" s="65"/>
      <x:c r="CG32" s="65"/>
      <x:c r="CH32" s="65"/>
      <x:c r="CI32" s="65"/>
      <x:c r="CJ32" s="65"/>
      <x:c r="CK32" s="65"/>
      <x:c r="CL32" s="65"/>
      <x:c r="CM32" s="65"/>
      <x:c r="CN32" s="65"/>
    </x:row>
    <x:row r="33">
      <x:c r="A33"/>
      <x:c r="B33" s="3">
        <x:v>27</x:v>
      </x:c>
      <x:c r="C33" s="3" t="s">
        <x:v>108</x:v>
      </x:c>
      <x:c r="D33"/>
      <x:c r="E33" s="64"/>
      <x:c r="F33" s="64"/>
      <x:c r="G33" s="64"/>
      <x:c r="H33" s="64"/>
      <x:c r="I33" s="64"/>
      <x:c r="J33" s="64"/>
      <x:c r="K33" s="64"/>
      <x:c r="L33" s="64"/>
      <x:c r="M33" s="64"/>
      <x:c r="N33" s="64" t="n">
        <x:f>'Расчетные показатели'!E520</x:f>
        <x:v>16491</x:v>
      </x:c>
      <x:c r="O33" s="64" t="n">
        <x:f>'Расчетные показатели'!E521</x:f>
        <x:v>218353</x:v>
      </x:c>
      <x:c r="P33" s="65"/>
      <x:c r="Q33" s="65"/>
      <x:c r="R33" s="64"/>
      <x:c r="S33" s="66"/>
      <x:c r="T33" s="66"/>
      <x:c r="U33" s="66"/>
      <x:c r="V33" s="66"/>
      <x:c r="W33" s="64"/>
      <x:c r="X33" s="64"/>
      <x:c r="Y33" s="66" t="str">
        <x:v>н.п.</x:v>
      </x:c>
      <x:c r="Z33" s="64"/>
      <x:c r="AA33" s="64"/>
      <x:c r="AB33" s="66"/>
      <x:c r="AC33" s="66"/>
      <x:c r="AD33" s="66"/>
      <x:c r="AE33" s="66"/>
      <x:c r="AF33" s="66"/>
      <x:c r="AG33" s="64"/>
      <x:c r="AH33" s="64"/>
      <x:c r="AI33" s="64" t="str">
        <x:v>н.п.</x:v>
      </x:c>
      <x:c r="AJ33" s="64"/>
      <x:c r="AK33" s="64" t="str">
        <x:v>н.п.</x:v>
      </x:c>
      <x:c r="AL33" s="64"/>
      <x:c r="AM33" s="64"/>
      <x:c r="AN33" s="64"/>
      <x:c r="AO33" s="64"/>
      <x:c r="AP33" s="64"/>
      <x:c r="AQ33" s="64"/>
      <x:c r="AR33" s="64"/>
      <x:c r="AS33" s="65"/>
      <x:c r="AT33" s="65" t="str">
        <x:f>IF(COUNT(E33,R33)=2,E33-R33,"не сверено")</x:f>
        <x:v>не сверено</x:v>
      </x:c>
      <x:c r="AU33" s="65" t="str">
        <x:f>IF(COUNT(F33,W33)=2,F33-W33,"не сверено")</x:f>
        <x:v>не сверено</x:v>
      </x:c>
      <x:c r="AV33" s="65" t="str">
        <x:f>IF(COUNT(G33,Y33)=2,G33-Y33,"не сверено")</x:f>
        <x:v>не сверено</x:v>
      </x:c>
      <x:c r="AW33" s="65" t="str">
        <x:f>IF(COUNT(J33,AG33)=2,J33-AG33,"не сверено")</x:f>
        <x:v>не сверено</x:v>
      </x:c>
      <x:c r="AX33" s="65" t="str">
        <x:f>IF(COUNT(K33,AI33)=2,K33-AI33,"не сверено")</x:f>
        <x:v>не сверено</x:v>
      </x:c>
      <x:c r="AY33" s="65" t="str">
        <x:f>IF(COUNT(I33,Z33)=2,I33-Z33,"не сверено")</x:f>
        <x:v>не сверено</x:v>
      </x:c>
      <x:c r="AZ33" s="65" t="str">
        <x:f>IF(COUNT(L33,AM33)=2,L33-AM33,"не сверено")</x:f>
        <x:v>не сверено</x:v>
      </x:c>
      <x:c r="BA33" s="65" t="str">
        <x:f>IF(COUNT(M33,AP33)=2,M33-AP33,"не сверено")</x:f>
        <x:v>не сверено</x:v>
      </x:c>
      <x:c r="BB33" s="65"/>
      <x:c r="BC33" s="67"/>
      <x:c r="BD33" s="67"/>
      <x:c r="BE33" s="67"/>
      <x:c r="BF33" s="67"/>
      <x:c r="BG33" s="67"/>
      <x:c r="BH33" s="67"/>
      <x:c r="BI33" s="67"/>
      <x:c r="BJ33" s="67"/>
      <x:c r="BK33" s="67"/>
      <x:c r="BL33" s="67" t="str">
        <x:v>BSPB_2026H1.pdf; PDF стр. 6, 41</x:v>
      </x:c>
      <x:c r="BM33" s="67" t="str">
        <x:v>BSPB_2026H1.pdf; страница не подтверждена</x:v>
      </x:c>
      <x:c r="BN33" s="65"/>
      <x:c r="BO33" s="65" t="n">
        <x:f>'Расчетные показатели'!E522</x:f>
        <x:v>41</x:v>
      </x:c>
      <x:c r="BP33" s="65"/>
      <x:c r="BQ33" s="65"/>
      <x:c r="BR33" s="67" t="str">
        <x:v> Банк: обычная выручка и EBITDA неприменимы; банковский аналог выручки не выбран.</x:v>
      </x:c>
      <x:c r="BS33" s="65"/>
      <x:c r="BT33" s="65"/>
      <x:c r="BU33" s="65"/>
      <x:c r="BV33" s="65"/>
      <x:c r="BW33" s="65"/>
      <x:c r="BX33" s="65"/>
      <x:c r="BY33" s="65"/>
      <x:c r="BZ33" s="65"/>
      <x:c r="CA33" s="65"/>
      <x:c r="CB33" s="65"/>
      <x:c r="CC33" s="65"/>
      <x:c r="CD33" s="65"/>
      <x:c r="CE33" s="65"/>
      <x:c r="CF33" s="65"/>
      <x:c r="CG33" s="65"/>
      <x:c r="CH33" s="65"/>
      <x:c r="CI33" s="65"/>
      <x:c r="CJ33" s="65"/>
      <x:c r="CK33" s="65"/>
      <x:c r="CL33" s="65"/>
      <x:c r="CM33" s="65"/>
      <x:c r="CN33" s="65"/>
    </x:row>
    <x:row r="34">
      <x:c r="A34"/>
      <x:c r="B34" s="3">
        <x:v>28</x:v>
      </x:c>
      <x:c r="C34" s="3" t="s">
        <x:v>109</x:v>
      </x:c>
      <x:c r="D34"/>
      <x:c r="E34" s="64" t="n">
        <x:f>'Расчетные показатели'!E523</x:f>
        <x:v>112116</x:v>
      </x:c>
      <x:c r="F34" s="64"/>
      <x:c r="G34" s="64"/>
      <x:c r="H34" s="64" t="n">
        <x:f>'Расчетные показатели'!E524</x:f>
        <x:v>90312</x:v>
      </x:c>
      <x:c r="I34" s="64"/>
      <x:c r="J34" s="64" t="n">
        <x:f>'Расчетные показатели'!E525</x:f>
        <x:v>14349</x:v>
      </x:c>
      <x:c r="K34" s="64"/>
      <x:c r="L34" s="64"/>
      <x:c r="M34" s="64"/>
      <x:c r="N34" s="64" t="n">
        <x:f>'Расчетные показатели'!E526</x:f>
        <x:v>-9527</x:v>
      </x:c>
      <x:c r="O34" s="64" t="n">
        <x:f>'Расчетные показатели'!E527</x:f>
        <x:v>396998</x:v>
      </x:c>
      <x:c r="P34" s="65"/>
      <x:c r="Q34" s="65"/>
      <x:c r="R34" s="64"/>
      <x:c r="S34" s="66"/>
      <x:c r="T34" s="66"/>
      <x:c r="U34" s="66"/>
      <x:c r="V34" s="66"/>
      <x:c r="W34" s="64"/>
      <x:c r="X34" s="64"/>
      <x:c r="Y34" s="66" t="str">
        <x:v>н.п.</x:v>
      </x:c>
      <x:c r="Z34" s="64"/>
      <x:c r="AA34" s="64"/>
      <x:c r="AB34" s="66"/>
      <x:c r="AC34" s="66"/>
      <x:c r="AD34" s="66"/>
      <x:c r="AE34" s="66"/>
      <x:c r="AF34" s="66"/>
      <x:c r="AG34" s="64"/>
      <x:c r="AH34" s="64"/>
      <x:c r="AI34" s="64" t="str">
        <x:v>н.п.</x:v>
      </x:c>
      <x:c r="AJ34" s="64"/>
      <x:c r="AK34" s="64" t="str">
        <x:v>н.п.</x:v>
      </x:c>
      <x:c r="AL34" s="64"/>
      <x:c r="AM34" s="64"/>
      <x:c r="AN34" s="64"/>
      <x:c r="AO34" s="64"/>
      <x:c r="AP34" s="64"/>
      <x:c r="AQ34" s="64"/>
      <x:c r="AR34" s="64"/>
      <x:c r="AS34" s="65"/>
      <x:c r="AT34" s="65" t="str">
        <x:f>IF(COUNT(E34,R34)=2,E34-R34,"не сверено")</x:f>
        <x:v>не сверено</x:v>
      </x:c>
      <x:c r="AU34" s="65" t="str">
        <x:f>IF(COUNT(F34,W34)=2,F34-W34,"не сверено")</x:f>
        <x:v>не сверено</x:v>
      </x:c>
      <x:c r="AV34" s="65" t="str">
        <x:f>IF(COUNT(G34,Y34)=2,G34-Y34,"не сверено")</x:f>
        <x:v>не сверено</x:v>
      </x:c>
      <x:c r="AW34" s="65" t="str">
        <x:f>IF(COUNT(J34,AG34)=2,J34-AG34,"не сверено")</x:f>
        <x:v>не сверено</x:v>
      </x:c>
      <x:c r="AX34" s="65" t="str">
        <x:f>IF(COUNT(K34,AI34)=2,K34-AI34,"не сверено")</x:f>
        <x:v>не сверено</x:v>
      </x:c>
      <x:c r="AY34" s="65" t="str">
        <x:f>IF(COUNT(I34,Z34)=2,I34-Z34,"не сверено")</x:f>
        <x:v>не сверено</x:v>
      </x:c>
      <x:c r="AZ34" s="65" t="str">
        <x:f>IF(COUNT(L34,AM34)=2,L34-AM34,"не сверено")</x:f>
        <x:v>не сверено</x:v>
      </x:c>
      <x:c r="BA34" s="65" t="str">
        <x:f>IF(COUNT(M34,AP34)=2,M34-AP34,"не сверено")</x:f>
        <x:v>не сверено</x:v>
      </x:c>
      <x:c r="BB34" s="65"/>
      <x:c r="BC34" s="67" t="str">
        <x:v>ALRS_2026H1.pdf; PDF стр. 14</x:v>
      </x:c>
      <x:c r="BD34" s="67"/>
      <x:c r="BE34" s="67"/>
      <x:c r="BF34" s="67" t="str">
        <x:v>ALRS_2026H1.pdf; PDF стр. 7, 27, 39</x:v>
      </x:c>
      <x:c r="BG34" s="67" t="str">
        <x:v>ALRS_2026H1.pdf; PDF стр. 14</x:v>
      </x:c>
      <x:c r="BH34" s="67"/>
      <x:c r="BI34" s="67"/>
      <x:c r="BJ34" s="67"/>
      <x:c r="BK34" s="67"/>
      <x:c r="BL34" s="67" t="str">
        <x:v>ALRS_2026H1.pdf; PDF стр. 7, 9</x:v>
      </x:c>
      <x:c r="BM34" s="67" t="str">
        <x:v>ALRS_2026H1.pdf; PDF стр. 9, 14</x:v>
      </x:c>
      <x:c r="BN34" s="65"/>
      <x:c r="BO34" s="65" t="n">
        <x:f>'Расчетные показатели'!E528</x:f>
        <x:v>259</x:v>
      </x:c>
      <x:c r="BP34" s="65"/>
      <x:c r="BQ34" s="65"/>
      <x:c r="BR34" s="67" t="str">
        <x:v>Компания называет EBITDA; содержит дополнительные корректировки, в базе — скорр. EBITDA.</x:v>
      </x:c>
      <x:c r="BS34" s="65"/>
      <x:c r="BT34" s="65"/>
      <x:c r="BU34" s="65"/>
      <x:c r="BV34" s="65"/>
      <x:c r="BW34" s="65"/>
      <x:c r="BX34" s="65"/>
      <x:c r="BY34" s="65"/>
      <x:c r="BZ34" s="65"/>
      <x:c r="CA34" s="65"/>
      <x:c r="CB34" s="65"/>
      <x:c r="CC34" s="65"/>
      <x:c r="CD34" s="65"/>
      <x:c r="CE34" s="65"/>
      <x:c r="CF34" s="65"/>
      <x:c r="CG34" s="65"/>
      <x:c r="CH34" s="65"/>
      <x:c r="CI34" s="65"/>
      <x:c r="CJ34" s="65"/>
      <x:c r="CK34" s="65"/>
      <x:c r="CL34" s="65"/>
      <x:c r="CM34" s="65"/>
      <x:c r="CN34" s="65"/>
    </x:row>
    <x:row r="35">
      <x:c r="A35"/>
      <x:c r="B35" s="3">
        <x:v>29</x:v>
      </x:c>
      <x:c r="C35" s="3" t="s">
        <x:v>110</x:v>
      </x:c>
      <x:c r="D35"/>
      <x:c r="E35" s="64"/>
      <x:c r="F35" s="64"/>
      <x:c r="G35" s="64"/>
      <x:c r="H35" s="64" t="n">
        <x:f>'Расчетные показатели'!E529</x:f>
        <x:v>8320</x:v>
      </x:c>
      <x:c r="I35" s="64"/>
      <x:c r="J35" s="64" t="n">
        <x:f>'Расчетные показатели'!E1184</x:f>
        <x:v>2721</x:v>
      </x:c>
      <x:c r="K35" s="64"/>
      <x:c r="L35" s="64" t="str">
        <x:f>AK35</x:f>
        <x:v>н.д.</x:v>
      </x:c>
      <x:c r="M35" s="64"/>
      <x:c r="N35" s="64" t="n">
        <x:f>'Расчетные показатели'!E531</x:f>
        <x:v>1927</x:v>
      </x:c>
      <x:c r="O35" s="64" t="n">
        <x:f>'Расчетные показатели'!E532</x:f>
        <x:v>3671</x:v>
      </x:c>
      <x:c r="P35" s="65"/>
      <x:c r="Q35" s="65"/>
      <x:c r="R35" s="64"/>
      <x:c r="S35" s="66"/>
      <x:c r="T35" s="66"/>
      <x:c r="U35" s="66"/>
      <x:c r="V35" s="66"/>
      <x:c r="W35" s="64"/>
      <x:c r="X35" s="64"/>
      <x:c r="Y35" s="66" t="str">
        <x:v>н.п.</x:v>
      </x:c>
      <x:c r="Z35" s="64"/>
      <x:c r="AA35" s="64"/>
      <x:c r="AB35" s="66"/>
      <x:c r="AC35" s="66"/>
      <x:c r="AD35" s="66"/>
      <x:c r="AE35" s="66"/>
      <x:c r="AF35" s="66" t="n">
        <x:f>SUM('Расчетные показатели'!E1181:E1183)</x:f>
        <x:v>147</x:v>
      </x:c>
      <x:c r="AG35" s="64" t="n">
        <x:f>'Расчетные показатели'!E1184</x:f>
        <x:v>2721</x:v>
      </x:c>
      <x:c r="AH35" s="64"/>
      <x:c r="AI35" s="64" t="str">
        <x:v>н.п.</x:v>
      </x:c>
      <x:c r="AJ35" s="64"/>
      <x:c r="AK35" s="64" t="str">
        <x:v>н.д.</x:v>
      </x:c>
      <x:c r="AL35" s="64"/>
      <x:c r="AM35" s="64"/>
      <x:c r="AN35" s="64"/>
      <x:c r="AO35" s="64"/>
      <x:c r="AP35" s="64"/>
      <x:c r="AQ35" s="64"/>
      <x:c r="AR35" s="64"/>
      <x:c r="AS35" s="65"/>
      <x:c r="AT35" s="65" t="str">
        <x:f>IF(COUNT(E35,R35)=2,E35-R35,"не сверено")</x:f>
        <x:v>не сверено</x:v>
      </x:c>
      <x:c r="AU35" s="65" t="str">
        <x:f>IF(COUNT(F35,W35)=2,F35-W35,"не сверено")</x:f>
        <x:v>не сверено</x:v>
      </x:c>
      <x:c r="AV35" s="65" t="str">
        <x:f>IF(COUNT(G35,Y35)=2,G35-Y35,"не сверено")</x:f>
        <x:v>не сверено</x:v>
      </x:c>
      <x:c r="AW35" s="65" t="n">
        <x:f>IF(COUNT(J35,AG35)=2,J35-AG35,"не сверено")</x:f>
        <x:v>0</x:v>
      </x:c>
      <x:c r="AX35" s="65" t="str">
        <x:f>IF(COUNT(K35,AI35)=2,K35-AI35,"не сверено")</x:f>
        <x:v>не сверено</x:v>
      </x:c>
      <x:c r="AY35" s="65" t="str">
        <x:f>IF(COUNT(I35,Z35)=2,I35-Z35,"не сверено")</x:f>
        <x:v>не сверено</x:v>
      </x:c>
      <x:c r="AZ35" s="65" t="str">
        <x:f>IF(COUNT(L35,AM35)=2,L35-AM35,"не сверено")</x:f>
        <x:v>не сверено</x:v>
      </x:c>
      <x:c r="BA35" s="65" t="str">
        <x:f>IF(COUNT(M35,AP35)=2,M35-AP35,"не сверено")</x:f>
        <x:v>не сверено</x:v>
      </x:c>
      <x:c r="BB35" s="65"/>
      <x:c r="BC35" s="67"/>
      <x:c r="BD35" s="67"/>
      <x:c r="BE35" s="67"/>
      <x:c r="BF35" s="67" t="str">
        <x:v>CNRU_2026H1.pdf; PDF стр. 11</x:v>
      </x:c>
      <x:c r="BG35" s="67" t="str">
        <x:v>CNRU_2026H1.pdf; PDF стр. 11; расчет: строки 1178–1184</x:v>
      </x:c>
      <x:c r="BH35" s="67"/>
      <x:c r="BI35" s="67"/>
      <x:c r="BJ35" s="67" t="str">
        <x:v>Нужны раскрытые капитализированные затраты для аналитического EBITDAC. Нули не подставлены.</x:v>
      </x:c>
      <x:c r="BK35" s="67"/>
      <x:c r="BL35" s="67" t="str">
        <x:v>CNRU_2026H1.pdf; страница не подтверждена</x:v>
      </x:c>
      <x:c r="BM35" s="67" t="str">
        <x:v>CNRU_2026H1.pdf; страница не подтверждена</x:v>
      </x:c>
      <x:c r="BN35" s="65"/>
      <x:c r="BO35" s="65" t="n">
        <x:f>'Расчетные показатели'!E533</x:f>
        <x:v>376</x:v>
      </x:c>
      <x:c r="BP35" s="65"/>
      <x:c r="BQ35" s="65"/>
      <x:c r="BR35" s="67" t="str"/>
      <x:c r="BS35" s="65" t="n">
        <x:f>'Расчетные показатели'!E1183</x:f>
        <x:v>115</x:v>
      </x:c>
      <x:c r="BT35" s="65"/>
      <x:c r="BU35" s="65"/>
      <x:c r="BV35" s="65"/>
      <x:c r="BW35" s="65"/>
      <x:c r="BX35" s="65"/>
      <x:c r="BY35" s="65"/>
      <x:c r="BZ35" s="65"/>
      <x:c r="CA35" s="65"/>
      <x:c r="CB35" s="65"/>
      <x:c r="CC35" s="65"/>
      <x:c r="CD35" s="65" t="n">
        <x:f>'Расчетные показатели'!E1181</x:f>
        <x:v>1</x:v>
      </x:c>
      <x:c r="CE35" s="65"/>
      <x:c r="CF35" s="65"/>
      <x:c r="CG35" s="65"/>
      <x:c r="CH35" s="65"/>
      <x:c r="CI35" s="65"/>
      <x:c r="CJ35" s="65"/>
      <x:c r="CK35" s="65"/>
      <x:c r="CL35" s="65"/>
      <x:c r="CM35" s="65" t="n">
        <x:f>'Расчетные показатели'!E1182</x:f>
        <x:v>31</x:v>
      </x:c>
      <x:c r="CN35" s="65"/>
    </x:row>
    <x:row r="36">
      <x:c r="A36"/>
      <x:c r="B36" s="3">
        <x:v>30</x:v>
      </x:c>
      <x:c r="C36" s="3" t="s">
        <x:v>111</x:v>
      </x:c>
      <x:c r="D36"/>
      <x:c r="E36" s="64" t="n">
        <x:f>R36</x:f>
        <x:v>1639791</x:v>
      </x:c>
      <x:c r="F36" s="64"/>
      <x:c r="G36" s="64"/>
      <x:c r="H36" s="64" t="n">
        <x:f>'Расчетные показатели'!E534</x:f>
        <x:v>639543</x:v>
      </x:c>
      <x:c r="I36" s="64"/>
      <x:c r="J36" s="64"/>
      <x:c r="K36" s="64"/>
      <x:c r="L36" s="64"/>
      <x:c r="M36" s="64"/>
      <x:c r="N36" s="64" t="n">
        <x:f>'Расчетные показатели'!E535</x:f>
        <x:v>-35429</x:v>
      </x:c>
      <x:c r="O36" s="64" t="n">
        <x:f>'Расчетные показатели'!E536</x:f>
        <x:v>-205832</x:v>
      </x:c>
      <x:c r="P36" s="65"/>
      <x:c r="Q36" s="65"/>
      <x:c r="R36" s="64" t="n">
        <x:f>S36+T36-U36+BN36</x:f>
        <x:v>1639791</x:v>
      </x:c>
      <x:c r="S36" s="66" t="n">
        <x:f>'Расчетные показатели'!E537</x:f>
        <x:v>830123</x:v>
      </x:c>
      <x:c r="T36" s="66" t="n">
        <x:f>'Расчетные показатели'!E538</x:f>
        <x:v>687238</x:v>
      </x:c>
      <x:c r="U36" s="66" t="n">
        <x:f>'Расчетные показатели'!E539</x:f>
        <x:v>98846</x:v>
      </x:c>
      <x:c r="V36" s="66"/>
      <x:c r="W36" s="64"/>
      <x:c r="X36" s="64"/>
      <x:c r="Y36" s="66" t="str">
        <x:v>н.п.</x:v>
      </x:c>
      <x:c r="Z36" s="64"/>
      <x:c r="AA36" s="64"/>
      <x:c r="AB36" s="66"/>
      <x:c r="AC36" s="66"/>
      <x:c r="AD36" s="66"/>
      <x:c r="AE36" s="66"/>
      <x:c r="AF36" s="66"/>
      <x:c r="AG36" s="64"/>
      <x:c r="AH36" s="64"/>
      <x:c r="AI36" s="64" t="str">
        <x:v>н.п.</x:v>
      </x:c>
      <x:c r="AJ36" s="64"/>
      <x:c r="AK36" s="64" t="str">
        <x:v>н.п.</x:v>
      </x:c>
      <x:c r="AL36" s="64"/>
      <x:c r="AM36" s="64"/>
      <x:c r="AN36" s="64" t="n">
        <x:f>'Расчетные показатели'!E540</x:f>
        <x:v>157093</x:v>
      </x:c>
      <x:c r="AO36" s="64" t="n">
        <x:f>'Расчетные показатели'!E541</x:f>
        <x:v>93181</x:v>
      </x:c>
      <x:c r="AP36" s="64"/>
      <x:c r="AQ36" s="64"/>
      <x:c r="AR36" s="64"/>
      <x:c r="AS36" s="65"/>
      <x:c r="AT36" s="65" t="n">
        <x:f>IF(COUNT(E36,R36)=2,E36-R36,"не сверено")</x:f>
        <x:v>0</x:v>
      </x:c>
      <x:c r="AU36" s="65" t="str">
        <x:f>IF(COUNT(F36,W36)=2,F36-W36,"не сверено")</x:f>
        <x:v>не сверено</x:v>
      </x:c>
      <x:c r="AV36" s="65" t="str">
        <x:f>IF(COUNT(G36,Y36)=2,G36-Y36,"не сверено")</x:f>
        <x:v>не сверено</x:v>
      </x:c>
      <x:c r="AW36" s="65" t="str">
        <x:f>IF(COUNT(J36,AG36)=2,J36-AG36,"не сверено")</x:f>
        <x:v>не сверено</x:v>
      </x:c>
      <x:c r="AX36" s="65" t="str">
        <x:f>IF(COUNT(K36,AI36)=2,K36-AI36,"не сверено")</x:f>
        <x:v>не сверено</x:v>
      </x:c>
      <x:c r="AY36" s="65" t="str">
        <x:f>IF(COUNT(I36,Z36)=2,I36-Z36,"не сверено")</x:f>
        <x:v>не сверено</x:v>
      </x:c>
      <x:c r="AZ36" s="65" t="str">
        <x:f>IF(COUNT(L36,AM36)=2,L36-AM36,"не сверено")</x:f>
        <x:v>не сверено</x:v>
      </x:c>
      <x:c r="BA36" s="65" t="str">
        <x:f>IF(COUNT(M36,AP36)=2,M36-AP36,"не сверено")</x:f>
        <x:v>не сверено</x:v>
      </x:c>
      <x:c r="BB36" s="65"/>
      <x:c r="BC36" s="67" t="str">
        <x:v>AFKS_2026H1.pdf; PDF стр. 8, 31; кредиты + аренда − деньги</x:v>
      </x:c>
      <x:c r="BD36" s="67"/>
      <x:c r="BE36" s="67"/>
      <x:c r="BF36" s="67" t="str">
        <x:v>AFKS_2026H1.pdf; PDF стр. 5, 19, 34</x:v>
      </x:c>
      <x:c r="BG36" s="67"/>
      <x:c r="BH36" s="67"/>
      <x:c r="BI36" s="67"/>
      <x:c r="BJ36" s="67"/>
      <x:c r="BK36" s="67"/>
      <x:c r="BL36" s="67" t="str">
        <x:v>AFKS_2026H1.pdf; PDF стр. 5, 9</x:v>
      </x:c>
      <x:c r="BM36" s="67" t="str">
        <x:v>AFKS_2026H1.pdf; PDF стр. 8, 9, 13</x:v>
      </x:c>
      <x:c r="BN36" s="65" t="n">
        <x:f>'Расчетные показатели'!E542</x:f>
        <x:v>221276</x:v>
      </x:c>
      <x:c r="BO36" s="65" t="n">
        <x:f>'Расчетные показатели'!E543</x:f>
        <x:v>52112</x:v>
      </x:c>
      <x:c r="BP36" s="65"/>
      <x:c r="BQ36" s="65"/>
      <x:c r="BR36" s="67" t="str"/>
      <x:c r="BS36" s="65"/>
      <x:c r="BT36" s="65"/>
      <x:c r="BU36" s="65"/>
      <x:c r="BV36" s="65"/>
      <x:c r="BW36" s="65"/>
      <x:c r="BX36" s="65"/>
      <x:c r="BY36" s="65"/>
      <x:c r="BZ36" s="65"/>
      <x:c r="CA36" s="65"/>
      <x:c r="CB36" s="65"/>
      <x:c r="CC36" s="65"/>
      <x:c r="CD36" s="65"/>
      <x:c r="CE36" s="65"/>
      <x:c r="CF36" s="65"/>
      <x:c r="CG36" s="65"/>
      <x:c r="CH36" s="65"/>
      <x:c r="CI36" s="65"/>
      <x:c r="CJ36" s="65"/>
      <x:c r="CK36" s="65"/>
      <x:c r="CL36" s="65"/>
      <x:c r="CM36" s="65"/>
      <x:c r="CN36" s="65"/>
    </x:row>
    <x:row r="37">
      <x:c r="A37"/>
      <x:c r="B37" s="3">
        <x:v>31</x:v>
      </x:c>
      <x:c r="C37" s="3" t="s">
        <x:v>113</x:v>
      </x:c>
      <x:c r="D37"/>
      <x:c r="E37" s="64" t="n">
        <x:f>'Расчетные показатели'!E1148</x:f>
        <x:v>69232</x:v>
      </x:c>
      <x:c r="F37" s="64"/>
      <x:c r="G37" s="64"/>
      <x:c r="H37" s="64" t="n">
        <x:f>'Расчетные показатели'!E545</x:f>
        <x:v>84124</x:v>
      </x:c>
      <x:c r="I37" s="64"/>
      <x:c r="J37" s="64" t="n">
        <x:f>'Расчетные показатели'!E637</x:f>
        <x:v>38069</x:v>
      </x:c>
      <x:c r="K37" s="64"/>
      <x:c r="L37" s="64"/>
      <x:c r="M37" s="64"/>
      <x:c r="N37" s="64" t="n">
        <x:f>'Расчетные показатели'!E547</x:f>
        <x:v>15359</x:v>
      </x:c>
      <x:c r="O37" s="64" t="n">
        <x:f>'Расчетные показатели'!E548</x:f>
        <x:v>75382</x:v>
      </x:c>
      <x:c r="P37" s="65"/>
      <x:c r="Q37" s="65"/>
      <x:c r="R37" s="64" t="n">
        <x:f>'Расчетные показатели'!E1068</x:f>
        <x:v>69432</x:v>
      </x:c>
      <x:c r="S37" s="66" t="n">
        <x:f>'Расчетные показатели'!E549</x:f>
        <x:v>46899</x:v>
      </x:c>
      <x:c r="T37" s="66" t="n">
        <x:f>'Расчетные показатели'!E550</x:f>
        <x:v>3512</x:v>
      </x:c>
      <x:c r="U37" s="66" t="n">
        <x:f>'Расчетные показатели'!E551</x:f>
        <x:v>3862</x:v>
      </x:c>
      <x:c r="V37" s="66"/>
      <x:c r="W37" s="64"/>
      <x:c r="X37" s="64"/>
      <x:c r="Y37" s="66" t="str">
        <x:v>н.п.</x:v>
      </x:c>
      <x:c r="Z37" s="64"/>
      <x:c r="AA37" s="64"/>
      <x:c r="AB37" s="66"/>
      <x:c r="AC37" s="66"/>
      <x:c r="AD37" s="66"/>
      <x:c r="AE37" s="66"/>
      <x:c r="AF37" s="66" t="n">
        <x:f>SUM('Расчетные показатели'!E633:E636)</x:f>
        <x:v>904</x:v>
      </x:c>
      <x:c r="AG37" s="64" t="n">
        <x:f>'Расчетные показатели'!E637</x:f>
        <x:v>38069</x:v>
      </x:c>
      <x:c r="AH37" s="64"/>
      <x:c r="AI37" s="64" t="str">
        <x:v>н.п.</x:v>
      </x:c>
      <x:c r="AJ37" s="64"/>
      <x:c r="AK37" s="64" t="str">
        <x:v>н.п.</x:v>
      </x:c>
      <x:c r="AL37" s="64"/>
      <x:c r="AM37" s="64"/>
      <x:c r="AN37" s="64"/>
      <x:c r="AO37" s="64"/>
      <x:c r="AP37" s="64"/>
      <x:c r="AQ37" s="64"/>
      <x:c r="AR37" s="64"/>
      <x:c r="AS37" s="65"/>
      <x:c r="AT37" s="65" t="n">
        <x:f>IF(COUNT(E37,R37)=2,E37-R37,"не сверено")</x:f>
        <x:v>-200</x:v>
      </x:c>
      <x:c r="AU37" s="65" t="str">
        <x:f>IF(COUNT(F37,W37)=2,F37-W37,"не сверено")</x:f>
        <x:v>не сверено</x:v>
      </x:c>
      <x:c r="AV37" s="65" t="str">
        <x:f>IF(COUNT(G37,Y37)=2,G37-Y37,"не сверено")</x:f>
        <x:v>не сверено</x:v>
      </x:c>
      <x:c r="AW37" s="65" t="n">
        <x:f>IF(COUNT(J37,AG37)=2,J37-AG37,"не сверено")</x:f>
        <x:v>0</x:v>
      </x:c>
      <x:c r="AX37" s="65" t="str">
        <x:f>IF(COUNT(K37,AI37)=2,K37-AI37,"не сверено")</x:f>
        <x:v>не сверено</x:v>
      </x:c>
      <x:c r="AY37" s="65" t="str">
        <x:f>IF(COUNT(I37,Z37)=2,I37-Z37,"не сверено")</x:f>
        <x:v>не сверено</x:v>
      </x:c>
      <x:c r="AZ37" s="65" t="str">
        <x:f>IF(COUNT(L37,AM37)=2,L37-AM37,"не сверено")</x:f>
        <x:v>не сверено</x:v>
      </x:c>
      <x:c r="BA37" s="65" t="str">
        <x:f>IF(COUNT(M37,AP37)=2,M37-AP37,"не сверено")</x:f>
        <x:v>не сверено</x:v>
      </x:c>
      <x:c r="BB37" s="65"/>
      <x:c r="BC37" s="67" t="str">
        <x:v>UGLD_2026H1.pdf; PDF стр. 7; кредиты + аренда − деньги</x:v>
      </x:c>
      <x:c r="BD37" s="67"/>
      <x:c r="BE37" s="67"/>
      <x:c r="BF37" s="67" t="str">
        <x:v>UGLD_2026H1.pdf; PDF стр. 6, 14, 15</x:v>
      </x:c>
      <x:c r="BG37" s="67" t="str">
        <x:v>UGLD_2026H1.pdf; PDF стр. 14; расчет: строки 630–637</x:v>
      </x:c>
      <x:c r="BH37" s="67"/>
      <x:c r="BI37" s="67"/>
      <x:c r="BJ37" s="67"/>
      <x:c r="BK37" s="67"/>
      <x:c r="BL37" s="67" t="str">
        <x:v>UGLD_2026H1.pdf; PDF стр. 6, 8, 25</x:v>
      </x:c>
      <x:c r="BM37" s="67" t="str">
        <x:v>UGLD_2026H1.pdf; PDF стр. 7, 8</x:v>
      </x:c>
      <x:c r="BN37" s="65" t="n">
        <x:f>'Расчетные показатели'!E1060</x:f>
        <x:v>4391</x:v>
      </x:c>
      <x:c r="BO37" s="65" t="n">
        <x:f>'Расчетные показатели'!E553</x:f>
        <x:v>126</x:v>
      </x:c>
      <x:c r="BP37" s="65"/>
      <x:c r="BQ37" s="65"/>
      <x:c r="BR37" s="67" t="str">
        <x:v> Кредиты в балансе на 200 млн руб. больше кредитов в расчете компании. ЧД по балансу отличается на 200 млн руб.; оба расчета показаны.</x:v>
      </x:c>
      <x:c r="BS37" s="65"/>
      <x:c r="BT37" s="65"/>
      <x:c r="BU37" s="65"/>
      <x:c r="BV37" s="65" t="n">
        <x:f>'Расчетные показатели'!E633</x:f>
        <x:v>824</x:v>
      </x:c>
      <x:c r="BW37" s="65"/>
      <x:c r="BX37" s="65"/>
      <x:c r="BY37" s="65"/>
      <x:c r="BZ37" s="65"/>
      <x:c r="CA37" s="65"/>
      <x:c r="CB37" s="65"/>
      <x:c r="CC37" s="65"/>
      <x:c r="CD37" s="65"/>
      <x:c r="CE37" s="65"/>
      <x:c r="CF37" s="65"/>
      <x:c r="CG37" s="65"/>
      <x:c r="CH37" s="65" t="n">
        <x:f>'Расчетные показатели'!E1065</x:f>
        <x:v>2608</x:v>
      </x:c>
      <x:c r="CI37" s="65" t="n">
        <x:f>'Расчетные показатели'!E1066</x:f>
        <x:v>1783</x:v>
      </x:c>
      <x:c r="CJ37" s="65" t="n">
        <x:f>'Расчетные показатели'!E1067</x:f>
        <x:v>18492</x:v>
      </x:c>
      <x:c r="CK37" s="65"/>
      <x:c r="CL37" s="65"/>
      <x:c r="CM37" s="65"/>
      <x:c r="CN37" s="65"/>
    </x:row>
    <x:row r="38">
      <x:c r="A38"/>
      <x:c r="B38" s="3">
        <x:v>32</x:v>
      </x:c>
      <x:c r="C38" s="3" t="s">
        <x:v>114</x:v>
      </x:c>
      <x:c r="D38"/>
      <x:c r="E38" s="64" t="n">
        <x:f>'Расчетные показатели'!E554</x:f>
        <x:v>12495.42</x:v>
      </x:c>
      <x:c r="F38" s="64"/>
      <x:c r="G38" s="64"/>
      <x:c r="H38" s="64" t="n">
        <x:f>'Расчетные показатели'!E555</x:f>
        <x:v>9541.471</x:v>
      </x:c>
      <x:c r="I38" s="64"/>
      <x:c r="J38" s="64" t="n">
        <x:f>'Расчетные показатели'!E556</x:f>
        <x:v>840.281</x:v>
      </x:c>
      <x:c r="K38" s="64"/>
      <x:c r="L38" s="64" t="n">
        <x:f>AM38</x:f>
        <x:v>-1820.5520000000001</x:v>
      </x:c>
      <x:c r="M38" s="64"/>
      <x:c r="N38" s="64" t="n">
        <x:f>'Расчетные показатели'!E558</x:f>
        <x:v>-1354.154</x:v>
      </x:c>
      <x:c r="O38" s="64" t="n">
        <x:f>'Расчетные показатели'!E559</x:f>
        <x:v>20987.517</x:v>
      </x:c>
      <x:c r="P38" s="65"/>
      <x:c r="Q38" s="65"/>
      <x:c r="R38" s="64"/>
      <x:c r="S38" s="66"/>
      <x:c r="T38" s="66"/>
      <x:c r="U38" s="66"/>
      <x:c r="V38" s="66"/>
      <x:c r="W38" s="64"/>
      <x:c r="X38" s="64"/>
      <x:c r="Y38" s="66" t="str">
        <x:v>н.п.</x:v>
      </x:c>
      <x:c r="Z38" s="64"/>
      <x:c r="AA38" s="64"/>
      <x:c r="AB38" s="66"/>
      <x:c r="AC38" s="66"/>
      <x:c r="AD38" s="66"/>
      <x:c r="AE38" s="66"/>
      <x:c r="AF38" s="66"/>
      <x:c r="AG38" s="64"/>
      <x:c r="AH38" s="64"/>
      <x:c r="AI38" s="64" t="str">
        <x:v>н.п.</x:v>
      </x:c>
      <x:c r="AJ38" s="64" t="n">
        <x:f>'Расчетные показатели'!E561</x:f>
        <x:v>3027.473</x:v>
      </x:c>
      <x:c r="AK38" s="64" t="n">
        <x:f>J38-AJ38</x:f>
        <x:v>-2187.192</x:v>
      </x:c>
      <x:c r="AL38" s="64" t="n">
        <x:f>'Расчетные показатели'!E562</x:f>
        <x:v>366.64</x:v>
      </x:c>
      <x:c r="AM38" s="64" t="n">
        <x:f>AK38+AL38</x:f>
        <x:v>-1820.5520000000001</x:v>
      </x:c>
      <x:c r="AN38" s="64"/>
      <x:c r="AO38" s="64"/>
      <x:c r="AP38" s="64"/>
      <x:c r="AQ38" s="64"/>
      <x:c r="AR38" s="64"/>
      <x:c r="AS38" s="65"/>
      <x:c r="AT38" s="65" t="str">
        <x:f>IF(COUNT(E38,R38)=2,E38-R38,"не сверено")</x:f>
        <x:v>не сверено</x:v>
      </x:c>
      <x:c r="AU38" s="65" t="str">
        <x:f>IF(COUNT(F38,W38)=2,F38-W38,"не сверено")</x:f>
        <x:v>не сверено</x:v>
      </x:c>
      <x:c r="AV38" s="65" t="str">
        <x:f>IF(COUNT(G38,Y38)=2,G38-Y38,"не сверено")</x:f>
        <x:v>не сверено</x:v>
      </x:c>
      <x:c r="AW38" s="65" t="str">
        <x:f>IF(COUNT(J38,AG38)=2,J38-AG38,"не сверено")</x:f>
        <x:v>не сверено</x:v>
      </x:c>
      <x:c r="AX38" s="65" t="str">
        <x:f>IF(COUNT(K38,AI38)=2,K38-AI38,"не сверено")</x:f>
        <x:v>не сверено</x:v>
      </x:c>
      <x:c r="AY38" s="65" t="str">
        <x:f>IF(COUNT(I38,Z38)=2,I38-Z38,"не сверено")</x:f>
        <x:v>не сверено</x:v>
      </x:c>
      <x:c r="AZ38" s="65" t="n">
        <x:f>IF(COUNT(L38,AM38)=2,L38-AM38,"не сверено")</x:f>
        <x:v>0</x:v>
      </x:c>
      <x:c r="BA38" s="65" t="str">
        <x:f>IF(COUNT(M38,AP38)=2,M38-AP38,"не сверено")</x:f>
        <x:v>не сверено</x:v>
      </x:c>
      <x:c r="BB38" s="65"/>
      <x:c r="BC38" s="67" t="str">
        <x:v>POSI_2026H1.pdf; PDF стр. 12</x:v>
      </x:c>
      <x:c r="BD38" s="67"/>
      <x:c r="BE38" s="67"/>
      <x:c r="BF38" s="67" t="str">
        <x:v>POSI_2026H1.pdf; PDF стр. 5, 13</x:v>
      </x:c>
      <x:c r="BG38" s="67" t="str">
        <x:v>POSI_2026H1.pdf; PDF стр. 13</x:v>
      </x:c>
      <x:c r="BH38" s="67"/>
      <x:c r="BI38" s="67"/>
      <x:c r="BJ38" s="67" t="str">
        <x:v>POSI_2026H1.pdf; PDF стр. 13; расчет: строки 979–982</x:v>
      </x:c>
      <x:c r="BK38" s="67"/>
      <x:c r="BL38" s="67" t="str">
        <x:v>POSI_2026H1.pdf; PDF стр. 5</x:v>
      </x:c>
      <x:c r="BM38" s="67" t="str">
        <x:v>POSI_2026H1.pdf; PDF стр. 6, 7, 14</x:v>
      </x:c>
      <x:c r="BN38" s="65"/>
      <x:c r="BO38" s="65" t="n">
        <x:f>'Расчетные показатели'!E560</x:f>
        <x:v>-10.018</x:v>
      </x:c>
      <x:c r="BP38" s="65"/>
      <x:c r="BQ38" s="65"/>
      <x:c r="BR38" s="67" t="str">
        <x:v>Компания называет EBITDA; содержит дополнительные корректировки, в базе — скорр. EBITDA.  ЧД компании исключает аренду и вычитает банковские депозиты. EBITDAC включает отгрузки и капитализацию.</x:v>
      </x:c>
      <x:c r="BS38" s="65"/>
      <x:c r="BT38" s="65"/>
      <x:c r="BU38" s="65"/>
      <x:c r="BV38" s="65"/>
      <x:c r="BW38" s="65"/>
      <x:c r="BX38" s="65"/>
      <x:c r="BY38" s="65"/>
      <x:c r="BZ38" s="65"/>
      <x:c r="CA38" s="65"/>
      <x:c r="CB38" s="65"/>
      <x:c r="CC38" s="65"/>
      <x:c r="CD38" s="65"/>
      <x:c r="CE38" s="65"/>
      <x:c r="CF38" s="65" t="n">
        <x:f>'Расчетные показатели'!E980</x:f>
        <x:v>-3027.473</x:v>
      </x:c>
      <x:c r="CG38" s="65" t="n">
        <x:f>'Расчетные показатели'!E981</x:f>
        <x:v>366.64</x:v>
      </x:c>
      <x:c r="CH38" s="65"/>
      <x:c r="CI38" s="65"/>
      <x:c r="CJ38" s="65"/>
      <x:c r="CK38" s="65"/>
      <x:c r="CL38" s="65"/>
      <x:c r="CM38" s="65"/>
      <x:c r="CN38" s="65"/>
    </x:row>
    <x:row r="39">
      <x:c r="A39"/>
      <x:c r="B39" s="3">
        <x:v>33</x:v>
      </x:c>
      <x:c r="C39" s="3" t="s">
        <x:v>115</x:v>
      </x:c>
      <x:c r="D39"/>
      <x:c r="E39" s="64"/>
      <x:c r="F39" s="64"/>
      <x:c r="G39" s="64"/>
      <x:c r="H39" s="64" t="n">
        <x:f>'Расчетные показатели'!E563</x:f>
        <x:v>81043</x:v>
      </x:c>
      <x:c r="I39" s="64"/>
      <x:c r="J39" s="64" t="n">
        <x:f>'Расчетные показатели'!E769</x:f>
        <x:v>14018</x:v>
      </x:c>
      <x:c r="K39" s="64"/>
      <x:c r="L39" s="64" t="str">
        <x:f>AK39</x:f>
        <x:v>н.д.</x:v>
      </x:c>
      <x:c r="M39" s="64"/>
      <x:c r="N39" s="64" t="n">
        <x:f>'Расчетные показатели'!E565</x:f>
        <x:v>-3595</x:v>
      </x:c>
      <x:c r="O39" s="64" t="n">
        <x:f>'Расчетные показатели'!E566</x:f>
        <x:v>129415</x:v>
      </x:c>
      <x:c r="P39" s="65"/>
      <x:c r="Q39" s="65"/>
      <x:c r="R39" s="64"/>
      <x:c r="S39" s="66"/>
      <x:c r="T39" s="66"/>
      <x:c r="U39" s="66"/>
      <x:c r="V39" s="66"/>
      <x:c r="W39" s="64"/>
      <x:c r="X39" s="64"/>
      <x:c r="Y39" s="66" t="str">
        <x:v>н.п.</x:v>
      </x:c>
      <x:c r="Z39" s="64"/>
      <x:c r="AA39" s="64"/>
      <x:c r="AB39" s="66"/>
      <x:c r="AC39" s="66"/>
      <x:c r="AD39" s="66"/>
      <x:c r="AE39" s="66"/>
      <x:c r="AF39" s="66" t="n">
        <x:f>SUM('Расчетные показатели'!E758:E768)</x:f>
        <x:v>-3421</x:v>
      </x:c>
      <x:c r="AG39" s="64" t="n">
        <x:f>'Расчетные показатели'!E769</x:f>
        <x:v>14018</x:v>
      </x:c>
      <x:c r="AH39" s="64"/>
      <x:c r="AI39" s="64" t="str">
        <x:v>н.п.</x:v>
      </x:c>
      <x:c r="AJ39" s="64"/>
      <x:c r="AK39" s="64" t="str">
        <x:v>н.д.</x:v>
      </x:c>
      <x:c r="AL39" s="64"/>
      <x:c r="AM39" s="64"/>
      <x:c r="AN39" s="64"/>
      <x:c r="AO39" s="64"/>
      <x:c r="AP39" s="64"/>
      <x:c r="AQ39" s="64"/>
      <x:c r="AR39" s="64"/>
      <x:c r="AS39" s="65"/>
      <x:c r="AT39" s="65" t="str">
        <x:f>IF(COUNT(E39,R39)=2,E39-R39,"не сверено")</x:f>
        <x:v>не сверено</x:v>
      </x:c>
      <x:c r="AU39" s="65" t="str">
        <x:f>IF(COUNT(F39,W39)=2,F39-W39,"не сверено")</x:f>
        <x:v>не сверено</x:v>
      </x:c>
      <x:c r="AV39" s="65" t="str">
        <x:f>IF(COUNT(G39,Y39)=2,G39-Y39,"не сверено")</x:f>
        <x:v>не сверено</x:v>
      </x:c>
      <x:c r="AW39" s="65" t="n">
        <x:f>IF(COUNT(J39,AG39)=2,J39-AG39,"не сверено")</x:f>
        <x:v>0</x:v>
      </x:c>
      <x:c r="AX39" s="65" t="str">
        <x:f>IF(COUNT(K39,AI39)=2,K39-AI39,"не сверено")</x:f>
        <x:v>не сверено</x:v>
      </x:c>
      <x:c r="AY39" s="65" t="str">
        <x:f>IF(COUNT(I39,Z39)=2,I39-Z39,"не сверено")</x:f>
        <x:v>не сверено</x:v>
      </x:c>
      <x:c r="AZ39" s="65" t="str">
        <x:f>IF(COUNT(L39,AM39)=2,L39-AM39,"не сверено")</x:f>
        <x:v>не сверено</x:v>
      </x:c>
      <x:c r="BA39" s="65" t="str">
        <x:f>IF(COUNT(M39,AP39)=2,M39-AP39,"не сверено")</x:f>
        <x:v>не сверено</x:v>
      </x:c>
      <x:c r="BB39" s="65"/>
      <x:c r="BC39" s="67"/>
      <x:c r="BD39" s="67"/>
      <x:c r="BE39" s="67"/>
      <x:c r="BF39" s="67" t="str">
        <x:v>VKCO_2026H1.pdf; PDF стр. 6, 16, 19</x:v>
      </x:c>
      <x:c r="BG39" s="67" t="str">
        <x:v>VKCO_2026H1.pdf; PDF стр. 16; расчет: строки 753–769</x:v>
      </x:c>
      <x:c r="BH39" s="67"/>
      <x:c r="BI39" s="67"/>
      <x:c r="BJ39" s="67" t="str">
        <x:v>Нужны раскрытые капитализированные затраты для аналитического EBITDAC. Нули не подставлены.</x:v>
      </x:c>
      <x:c r="BK39" s="67"/>
      <x:c r="BL39" s="67" t="str">
        <x:v>VKCO_2026H1.pdf; PDF стр. 7, 11</x:v>
      </x:c>
      <x:c r="BM39" s="67" t="str">
        <x:v>VKCO_2026H1.pdf; PDF стр. 11</x:v>
      </x:c>
      <x:c r="BN39" s="65"/>
      <x:c r="BO39" s="65" t="n">
        <x:f>'Расчетные показатели'!E567</x:f>
        <x:v>236</x:v>
      </x:c>
      <x:c r="BP39" s="65"/>
      <x:c r="BQ39" s="65"/>
      <x:c r="BR39" s="67" t="str"/>
      <x:c r="BS39" s="65" t="n">
        <x:f>'Расчетные показатели'!E758</x:f>
        <x:v>972</x:v>
      </x:c>
      <x:c r="BT39" s="65" t="n">
        <x:f>'Расчетные показатели'!E761</x:f>
        <x:v>176</x:v>
      </x:c>
      <x:c r="BU39" s="65"/>
      <x:c r="BV39" s="65" t="n">
        <x:f>'Расчетные показатели'!E767</x:f>
        <x:v>-135</x:v>
      </x:c>
      <x:c r="BW39" s="65"/>
      <x:c r="BX39" s="65"/>
      <x:c r="BY39" s="65" t="n">
        <x:f>'Расчетные показатели'!E759</x:f>
        <x:v>0</x:v>
      </x:c>
      <x:c r="BZ39" s="65" t="n">
        <x:f>'Расчетные показатели'!E760</x:f>
        <x:v>-726</x:v>
      </x:c>
      <x:c r="CA39" s="65" t="n">
        <x:f>'Расчетные показатели'!E763</x:f>
        <x:v>-3528</x:v>
      </x:c>
      <x:c r="CB39" s="65"/>
      <x:c r="CC39" s="65"/>
      <x:c r="CD39" s="65"/>
      <x:c r="CE39" s="65"/>
      <x:c r="CF39" s="65"/>
      <x:c r="CG39" s="65"/>
      <x:c r="CH39" s="65"/>
      <x:c r="CI39" s="65"/>
      <x:c r="CJ39" s="65"/>
      <x:c r="CK39" s="65"/>
      <x:c r="CL39" s="65"/>
      <x:c r="CM39" s="65"/>
      <x:c r="CN39" s="65"/>
    </x:row>
    <x:row r="40">
      <x:c r="A40"/>
      <x:c r="B40" s="3">
        <x:v>34</x:v>
      </x:c>
      <x:c r="C40" s="3" t="s">
        <x:v>116</x:v>
      </x:c>
      <x:c r="D40"/>
      <x:c r="E40" s="64"/>
      <x:c r="F40" s="64"/>
      <x:c r="G40" s="64"/>
      <x:c r="H40" s="64" t="n">
        <x:f>'Расчетные показатели'!E568</x:f>
        <x:v>183039.298</x:v>
      </x:c>
      <x:c r="I40" s="64"/>
      <x:c r="J40" s="64" t="n">
        <x:f>'Расчетные показатели'!E685</x:f>
        <x:v>9379.09</x:v>
      </x:c>
      <x:c r="K40" s="64"/>
      <x:c r="L40" s="64"/>
      <x:c r="M40" s="64"/>
      <x:c r="N40" s="64" t="n">
        <x:f>'Расчетные показатели'!E570</x:f>
        <x:v>-1399.848</x:v>
      </x:c>
      <x:c r="O40" s="64" t="n">
        <x:f>'Расчетные показатели'!E571</x:f>
        <x:v>238126.417</x:v>
      </x:c>
      <x:c r="P40" s="65"/>
      <x:c r="Q40" s="65"/>
      <x:c r="R40" s="64"/>
      <x:c r="S40" s="66"/>
      <x:c r="T40" s="66"/>
      <x:c r="U40" s="66"/>
      <x:c r="V40" s="66"/>
      <x:c r="W40" s="64"/>
      <x:c r="X40" s="64"/>
      <x:c r="Y40" s="66" t="str">
        <x:v>н.п.</x:v>
      </x:c>
      <x:c r="Z40" s="64"/>
      <x:c r="AA40" s="64"/>
      <x:c r="AB40" s="66"/>
      <x:c r="AC40" s="66"/>
      <x:c r="AD40" s="66"/>
      <x:c r="AE40" s="66"/>
      <x:c r="AF40" s="66" t="n">
        <x:f>SUM('Расчетные показатели'!E683:E684)</x:f>
        <x:v>-4402.576</x:v>
      </x:c>
      <x:c r="AG40" s="64" t="n">
        <x:f>'Расчетные показатели'!E685</x:f>
        <x:v>9379.09</x:v>
      </x:c>
      <x:c r="AH40" s="64"/>
      <x:c r="AI40" s="64" t="str">
        <x:v>н.п.</x:v>
      </x:c>
      <x:c r="AJ40" s="64"/>
      <x:c r="AK40" s="64" t="str">
        <x:v>н.п.</x:v>
      </x:c>
      <x:c r="AL40" s="64"/>
      <x:c r="AM40" s="64"/>
      <x:c r="AN40" s="64"/>
      <x:c r="AO40" s="64"/>
      <x:c r="AP40" s="64"/>
      <x:c r="AQ40" s="64"/>
      <x:c r="AR40" s="64"/>
      <x:c r="AS40" s="65"/>
      <x:c r="AT40" s="65" t="str">
        <x:f>IF(COUNT(E40,R40)=2,E40-R40,"не сверено")</x:f>
        <x:v>не сверено</x:v>
      </x:c>
      <x:c r="AU40" s="65" t="str">
        <x:f>IF(COUNT(F40,W40)=2,F40-W40,"не сверено")</x:f>
        <x:v>не сверено</x:v>
      </x:c>
      <x:c r="AV40" s="65" t="str">
        <x:f>IF(COUNT(G40,Y40)=2,G40-Y40,"не сверено")</x:f>
        <x:v>не сверено</x:v>
      </x:c>
      <x:c r="AW40" s="65" t="n">
        <x:f>IF(COUNT(J40,AG40)=2,J40-AG40,"не сверено")</x:f>
        <x:v>0</x:v>
      </x:c>
      <x:c r="AX40" s="65" t="str">
        <x:f>IF(COUNT(K40,AI40)=2,K40-AI40,"не сверено")</x:f>
        <x:v>не сверено</x:v>
      </x:c>
      <x:c r="AY40" s="65" t="str">
        <x:f>IF(COUNT(I40,Z40)=2,I40-Z40,"не сверено")</x:f>
        <x:v>не сверено</x:v>
      </x:c>
      <x:c r="AZ40" s="65" t="str">
        <x:f>IF(COUNT(L40,AM40)=2,L40-AM40,"не сверено")</x:f>
        <x:v>не сверено</x:v>
      </x:c>
      <x:c r="BA40" s="65" t="str">
        <x:f>IF(COUNT(M40,AP40)=2,M40-AP40,"не сверено")</x:f>
        <x:v>не сверено</x:v>
      </x:c>
      <x:c r="BB40" s="65"/>
      <x:c r="BC40" s="67"/>
      <x:c r="BD40" s="67"/>
      <x:c r="BE40" s="67"/>
      <x:c r="BF40" s="67" t="str">
        <x:v>RAGR_2026H1.pdf; PDF стр. 6, 20, 32</x:v>
      </x:c>
      <x:c r="BG40" s="67" t="str">
        <x:v>RAGR_2026H1.pdf; PDF стр. 32; расчет: строки 681–685</x:v>
      </x:c>
      <x:c r="BH40" s="67"/>
      <x:c r="BI40" s="67"/>
      <x:c r="BJ40" s="67"/>
      <x:c r="BK40" s="67"/>
      <x:c r="BL40" s="67" t="str">
        <x:v>RAGR_2026H1.pdf; PDF стр. 6, 7, 30</x:v>
      </x:c>
      <x:c r="BM40" s="67" t="str">
        <x:v>RAGR_2026H1.pdf; PDF стр. 7</x:v>
      </x:c>
      <x:c r="BN40" s="65"/>
      <x:c r="BO40" s="65" t="n">
        <x:f>'Расчетные показатели'!E572</x:f>
        <x:v>22308.132</x:v>
      </x:c>
      <x:c r="BP40" s="65"/>
      <x:c r="BQ40" s="65"/>
      <x:c r="BR40" s="67" t="str"/>
      <x:c r="BS40" s="65"/>
      <x:c r="BT40" s="65"/>
      <x:c r="BU40" s="65"/>
      <x:c r="BV40" s="65"/>
      <x:c r="BW40" s="65" t="n">
        <x:f>'Расчетные показатели'!E683</x:f>
        <x:v>-1439.035</x:v>
      </x:c>
      <x:c r="BX40" s="65" t="n">
        <x:f>'Расчетные показатели'!E684</x:f>
        <x:v>-2963.541</x:v>
      </x:c>
      <x:c r="BY40" s="65"/>
      <x:c r="BZ40" s="65"/>
      <x:c r="CA40" s="65"/>
      <x:c r="CB40" s="65"/>
      <x:c r="CC40" s="65"/>
      <x:c r="CD40" s="65"/>
      <x:c r="CE40" s="65"/>
      <x:c r="CF40" s="65"/>
      <x:c r="CG40" s="65"/>
      <x:c r="CH40" s="65"/>
      <x:c r="CI40" s="65"/>
      <x:c r="CJ40" s="65"/>
      <x:c r="CK40" s="65"/>
      <x:c r="CL40" s="65"/>
      <x:c r="CM40" s="65"/>
      <x:c r="CN40" s="65"/>
    </x:row>
  </x:sheetData>
  <x:pageMargins left="0.7" right="0.7" top="0.75" bottom="0.75" header="0.3" footer="0.3"/>
</x:worksheet>
</file>